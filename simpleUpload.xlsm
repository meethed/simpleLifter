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insan\Documents\keys\"/>
    </mc:Choice>
  </mc:AlternateContent>
  <xr:revisionPtr revIDLastSave="0" documentId="13_ncr:1_{BAF67D27-62DC-49F1-B560-A85D11AB6266}" xr6:coauthVersionLast="47" xr6:coauthVersionMax="47" xr10:uidLastSave="{00000000-0000-0000-0000-000000000000}"/>
  <bookViews>
    <workbookView xWindow="38280" yWindow="-120" windowWidth="29040" windowHeight="16440" xr2:uid="{79790E88-E47B-481A-9C44-9D80B475BC58}"/>
  </bookViews>
  <sheets>
    <sheet name="Entry" sheetId="1" r:id="rId1"/>
    <sheet name="Setup" sheetId="4" r:id="rId2"/>
    <sheet name="PBs from OpenIPF" sheetId="3" r:id="rId3"/>
    <sheet name="Comps" sheetId="2" r:id="rId4"/>
  </sheets>
  <functionGroups builtInGroupCount="19"/>
  <definedNames>
    <definedName name="Comps">Comps!$E$10:$E$100</definedName>
    <definedName name="ExternalData_1" localSheetId="3">Comps!$Z$1:$Z$2</definedName>
    <definedName name="ExternalData_10" localSheetId="3">Comps!$Z$1:$Z$2</definedName>
    <definedName name="ExternalData_100" localSheetId="3">Comps!$AA$1:$AA$2</definedName>
    <definedName name="ExternalData_101" localSheetId="3">Comps!$AB$1:$AB$2</definedName>
    <definedName name="ExternalData_102" localSheetId="3">Comps!$AA$1:$AA$2</definedName>
    <definedName name="ExternalData_103" localSheetId="3">Comps!$AB$1:$AB$2</definedName>
    <definedName name="ExternalData_104" localSheetId="3">Comps!$AA$1:$AA$2</definedName>
    <definedName name="ExternalData_105" localSheetId="3">Comps!$AB$1:$AB$2</definedName>
    <definedName name="ExternalData_106" localSheetId="3">Comps!$AA$1:$AA$2</definedName>
    <definedName name="ExternalData_107" localSheetId="3">Comps!$AB$1:$AB$2</definedName>
    <definedName name="ExternalData_108" localSheetId="3">Comps!$Z$1:$Z$3</definedName>
    <definedName name="ExternalData_109" localSheetId="3">Comps!$AA$1:$AA$2</definedName>
    <definedName name="ExternalData_11" localSheetId="3">Comps!$Z$1:$Z$2</definedName>
    <definedName name="ExternalData_110" localSheetId="3">Comps!$AB$1:$AB$2</definedName>
    <definedName name="ExternalData_111" localSheetId="3">Comps!$AA$1:$AA$2</definedName>
    <definedName name="ExternalData_112" localSheetId="3">Comps!$AB$1:$AB$2</definedName>
    <definedName name="ExternalData_113" localSheetId="3">Comps!$AA$1:$AA$2</definedName>
    <definedName name="ExternalData_114" localSheetId="3">Comps!$AB$1:$AB$2</definedName>
    <definedName name="ExternalData_115" localSheetId="3">Comps!$AA$1:$AA$2</definedName>
    <definedName name="ExternalData_116" localSheetId="3">Comps!$AB$1:$AB$2</definedName>
    <definedName name="ExternalData_117" localSheetId="3">Comps!$AA$1:$AA$2</definedName>
    <definedName name="ExternalData_118" localSheetId="3">Comps!$AB$1:$AB$2</definedName>
    <definedName name="ExternalData_119" localSheetId="3">Comps!$Z$1:$Z$3</definedName>
    <definedName name="ExternalData_12" localSheetId="3">Comps!$Z$1:$Z$2</definedName>
    <definedName name="ExternalData_120" localSheetId="3">Comps!$Z$1:$Z$3</definedName>
    <definedName name="ExternalData_121" localSheetId="3">Comps!$Z$1:$Z$3</definedName>
    <definedName name="ExternalData_122" localSheetId="3">Comps!$Z$1:$Z$3</definedName>
    <definedName name="ExternalData_123" localSheetId="3">Comps!$AA$1:$AA$2</definedName>
    <definedName name="ExternalData_124" localSheetId="3">Comps!$AB$1:$AB$2</definedName>
    <definedName name="ExternalData_125" localSheetId="3">Comps!$AA$1:$AA$2</definedName>
    <definedName name="ExternalData_126" localSheetId="3">Comps!$AB$1:$AB$2</definedName>
    <definedName name="ExternalData_127" localSheetId="3">Comps!$AA$1:$AA$2</definedName>
    <definedName name="ExternalData_128" localSheetId="3">Comps!$AB$1:$AB$2</definedName>
    <definedName name="ExternalData_129" localSheetId="3">Comps!$AA$1:$AA$2</definedName>
    <definedName name="ExternalData_13" localSheetId="3">Comps!$Z$1:$Z$2</definedName>
    <definedName name="ExternalData_130" localSheetId="3">Comps!$AB$1:$AB$2</definedName>
    <definedName name="ExternalData_131" localSheetId="3">Comps!$AA$1:$AA$2</definedName>
    <definedName name="ExternalData_132" localSheetId="3">Comps!$AB$1:$AB$2</definedName>
    <definedName name="ExternalData_133" localSheetId="3">Comps!$Z$1:$Z$3</definedName>
    <definedName name="ExternalData_134" localSheetId="3">Comps!$Z$1:$Z$3</definedName>
    <definedName name="ExternalData_135" localSheetId="3">Comps!$Z$1:$Z$3</definedName>
    <definedName name="ExternalData_136" localSheetId="3">Comps!$AA$1:$AA$2</definedName>
    <definedName name="ExternalData_137" localSheetId="3">Comps!$AB$1:$AB$2</definedName>
    <definedName name="ExternalData_138" localSheetId="3">Comps!$AA$1:$AA$2</definedName>
    <definedName name="ExternalData_139" localSheetId="3">Comps!$AB$1:$AB$2</definedName>
    <definedName name="ExternalData_14" localSheetId="3">Comps!$Z$1:$Z$2</definedName>
    <definedName name="ExternalData_140" localSheetId="3">Comps!$AA$1:$AA$2</definedName>
    <definedName name="ExternalData_141" localSheetId="3">Comps!$AB$1:$AB$2</definedName>
    <definedName name="ExternalData_142" localSheetId="3">Comps!$AA$1:$AA$2</definedName>
    <definedName name="ExternalData_143" localSheetId="3">Comps!$AB$1:$AB$2</definedName>
    <definedName name="ExternalData_144" localSheetId="3">Comps!$AA$1:$AA$2</definedName>
    <definedName name="ExternalData_145" localSheetId="3">Comps!$AB$1:$AB$2</definedName>
    <definedName name="ExternalData_146" localSheetId="3">Comps!$AA$1:$AA$2</definedName>
    <definedName name="ExternalData_147" localSheetId="3">Comps!$AB$1:$AB$2</definedName>
    <definedName name="ExternalData_148" localSheetId="3">Comps!$AA$1:$AA$2</definedName>
    <definedName name="ExternalData_149" localSheetId="3">Comps!$AB$1:$AB$2</definedName>
    <definedName name="ExternalData_15" localSheetId="3">Comps!$Z$1:$Z$3</definedName>
    <definedName name="ExternalData_150" localSheetId="3">Comps!$AA$1:$AA$2</definedName>
    <definedName name="ExternalData_151" localSheetId="3">Comps!$AB$1:$AB$2</definedName>
    <definedName name="ExternalData_152" localSheetId="3">Comps!$AA$1:$AA$2</definedName>
    <definedName name="ExternalData_153" localSheetId="3">Comps!$AB$1:$AB$2</definedName>
    <definedName name="ExternalData_154" localSheetId="3">Comps!$AA$1:$AA$2</definedName>
    <definedName name="ExternalData_155" localSheetId="3">Comps!$AB$1:$AB$2</definedName>
    <definedName name="ExternalData_156" localSheetId="3">Comps!$AA$1:$AA$2</definedName>
    <definedName name="ExternalData_157" localSheetId="3">Comps!$AB$1:$AB$2</definedName>
    <definedName name="ExternalData_158" localSheetId="3">Comps!$AA$1:$AA$2</definedName>
    <definedName name="ExternalData_159" localSheetId="3">Comps!$AB$1:$AB$2</definedName>
    <definedName name="ExternalData_16" localSheetId="3">Comps!$Z$1:$Z$3</definedName>
    <definedName name="ExternalData_160" localSheetId="3">Comps!$AA$1:$AA$2</definedName>
    <definedName name="ExternalData_161" localSheetId="3">Comps!$AB$1:$AB$2</definedName>
    <definedName name="ExternalData_162" localSheetId="3">Comps!$AA$1:$AA$2</definedName>
    <definedName name="ExternalData_163" localSheetId="3">Comps!$AB$1:$AB$2</definedName>
    <definedName name="ExternalData_164" localSheetId="3">Comps!$AA$1:$AA$2</definedName>
    <definedName name="ExternalData_165" localSheetId="3">Comps!$AB$1:$AB$2</definedName>
    <definedName name="ExternalData_166" localSheetId="3">Comps!$AA$1:$AA$2</definedName>
    <definedName name="ExternalData_167" localSheetId="3">Comps!$AB$1:$AB$2</definedName>
    <definedName name="ExternalData_168" localSheetId="3">Comps!$AA$1:$AA$2</definedName>
    <definedName name="ExternalData_169" localSheetId="3">Comps!$AB$1:$AB$2</definedName>
    <definedName name="ExternalData_17" localSheetId="3">Comps!$Z$1:$Z$3</definedName>
    <definedName name="ExternalData_170" localSheetId="3">Comps!$AA$1:$AA$2</definedName>
    <definedName name="ExternalData_171" localSheetId="3">Comps!$AB$1:$AB$2</definedName>
    <definedName name="ExternalData_172" localSheetId="3">Comps!$AA$1:$AA$2</definedName>
    <definedName name="ExternalData_173" localSheetId="3">Comps!$AB$1:$AB$2</definedName>
    <definedName name="ExternalData_174" localSheetId="3">Comps!$Z$1:$Z$3</definedName>
    <definedName name="ExternalData_175" localSheetId="3">Comps!$Z$1:$Z$3</definedName>
    <definedName name="ExternalData_176" localSheetId="3">Comps!$Z$1:$Z$3</definedName>
    <definedName name="ExternalData_177" localSheetId="3">Comps!$Z$1:$Z$3</definedName>
    <definedName name="ExternalData_178" localSheetId="3">Comps!$AA$1:$AA$2</definedName>
    <definedName name="ExternalData_179" localSheetId="3">Comps!$AB$1:$AB$2</definedName>
    <definedName name="ExternalData_18" localSheetId="3">Comps!$Z$1:$Z$3</definedName>
    <definedName name="ExternalData_180" localSheetId="3">Comps!$AA$1:$AA$2</definedName>
    <definedName name="ExternalData_181" localSheetId="3">Comps!$AB$1:$AB$2</definedName>
    <definedName name="ExternalData_182" localSheetId="3">Comps!$AA$1:$AA$2</definedName>
    <definedName name="ExternalData_183" localSheetId="3">Comps!$AB$1:$AB$2</definedName>
    <definedName name="ExternalData_184" localSheetId="3">Comps!$AA$1:$AA$2</definedName>
    <definedName name="ExternalData_185" localSheetId="3">Comps!$AB$1:$AB$2</definedName>
    <definedName name="ExternalData_186" localSheetId="3">Comps!$Z$1:$Z$3</definedName>
    <definedName name="ExternalData_187" localSheetId="3">Comps!$AA$1:$AA$2</definedName>
    <definedName name="ExternalData_188" localSheetId="3">Comps!$AB$1:$AB$2</definedName>
    <definedName name="ExternalData_189" localSheetId="3">Comps!$Z$1:$Z$3</definedName>
    <definedName name="ExternalData_19" localSheetId="3">Comps!$Z$1:$Z$3</definedName>
    <definedName name="ExternalData_192" localSheetId="3">Comps!$AA$1</definedName>
    <definedName name="ExternalData_193" localSheetId="3">Comps!$AA$1</definedName>
    <definedName name="ExternalData_194" localSheetId="3">Comps!$Z$1:$Z$3</definedName>
    <definedName name="ExternalData_195" localSheetId="3">Comps!$Z$1:$Z$3</definedName>
    <definedName name="ExternalData_196" localSheetId="3">Comps!$AA$1</definedName>
    <definedName name="ExternalData_197" localSheetId="3">Comps!$Z$1:$Z$3</definedName>
    <definedName name="ExternalData_198" localSheetId="3">Comps!$Z$1:$Z$3</definedName>
    <definedName name="ExternalData_199" localSheetId="3">Comps!$AA$1</definedName>
    <definedName name="ExternalData_2" localSheetId="3">Comps!$Z$1:$Z$2</definedName>
    <definedName name="ExternalData_20" localSheetId="3">Comps!$Z$1:$Z$3</definedName>
    <definedName name="ExternalData_201" localSheetId="3">Comps!$AA$1</definedName>
    <definedName name="ExternalData_203" localSheetId="3">Comps!$AA$1</definedName>
    <definedName name="ExternalData_204" localSheetId="3">Comps!$Z$1:$Z$3</definedName>
    <definedName name="ExternalData_205" localSheetId="3">Comps!$AA$1</definedName>
    <definedName name="ExternalData_207" localSheetId="3">Comps!$Z$1:$Z$3</definedName>
    <definedName name="ExternalData_208" localSheetId="3">Comps!$AA$1</definedName>
    <definedName name="ExternalData_209" localSheetId="3">Comps!$Z$1:$Z$3</definedName>
    <definedName name="ExternalData_21" localSheetId="3">Comps!$Z$1:$Z$3</definedName>
    <definedName name="ExternalData_210" localSheetId="3">Comps!$Z$1:$Z$3</definedName>
    <definedName name="ExternalData_211" localSheetId="3">Comps!$AA$1</definedName>
    <definedName name="ExternalData_213" localSheetId="3">Comps!$AA$1</definedName>
    <definedName name="ExternalData_215" localSheetId="3">Comps!$Z$1:$Z$3</definedName>
    <definedName name="ExternalData_216" localSheetId="3">Comps!$AA$1</definedName>
    <definedName name="ExternalData_218" localSheetId="3">Comps!$AA$1</definedName>
    <definedName name="ExternalData_22" localSheetId="3">Comps!$Z$1:$Z$3</definedName>
    <definedName name="ExternalData_220" localSheetId="3">Comps!$AA$1</definedName>
    <definedName name="ExternalData_222" localSheetId="3">Comps!$AA$1</definedName>
    <definedName name="ExternalData_223" localSheetId="3">Comps!$Z$1:$Z$3</definedName>
    <definedName name="ExternalData_224" localSheetId="3">Comps!$Z$1:$Z$3</definedName>
    <definedName name="ExternalData_225" localSheetId="3">Comps!$Z$1:$Z$3</definedName>
    <definedName name="ExternalData_226" localSheetId="3">Comps!$Z$1:$Z$3</definedName>
    <definedName name="ExternalData_23" localSheetId="3">Comps!$Z$1:$Z$3</definedName>
    <definedName name="ExternalData_24" localSheetId="3">Comps!$Z$1:$Z$3</definedName>
    <definedName name="ExternalData_25" localSheetId="3">Comps!$Z$1:$Z$3</definedName>
    <definedName name="ExternalData_26" localSheetId="3">Comps!$AA$1:$AA$2</definedName>
    <definedName name="ExternalData_28" localSheetId="3">Comps!$AA$1:$AA$2</definedName>
    <definedName name="ExternalData_3" localSheetId="3">Comps!$Z$1:$Z$2</definedName>
    <definedName name="ExternalData_30" localSheetId="3">Comps!$AA$1:$AA$2</definedName>
    <definedName name="ExternalData_32" localSheetId="3">Comps!$AB$1:$AB$2</definedName>
    <definedName name="ExternalData_33" localSheetId="3">Comps!$AA$1:$AA$2</definedName>
    <definedName name="ExternalData_34" localSheetId="3">Comps!$AB$1:$AB$2</definedName>
    <definedName name="ExternalData_35" localSheetId="3">Comps!$AA$1:$AA$2</definedName>
    <definedName name="ExternalData_37" localSheetId="3">Comps!$AA$1:$AA$2</definedName>
    <definedName name="ExternalData_39" localSheetId="3">Comps!$AA$1:$AA$2</definedName>
    <definedName name="ExternalData_4" localSheetId="3">Comps!$Z$1:$Z$2</definedName>
    <definedName name="ExternalData_42" localSheetId="3">Comps!$AA$1:$AA$2</definedName>
    <definedName name="ExternalData_44" localSheetId="3">Comps!$AA$1:$AA$2</definedName>
    <definedName name="ExternalData_46" localSheetId="3">Comps!$AA$1:$AA$2</definedName>
    <definedName name="ExternalData_48" localSheetId="3">Comps!$AA$1:$AA$2</definedName>
    <definedName name="ExternalData_49" localSheetId="3">Comps!$AA$1:$AA$2</definedName>
    <definedName name="ExternalData_5" localSheetId="3">Comps!$Z$1:$Z$2</definedName>
    <definedName name="ExternalData_51" localSheetId="3">Comps!$AA$1:$AA$2</definedName>
    <definedName name="ExternalData_53" localSheetId="3">Comps!$AA$1:$AA$2</definedName>
    <definedName name="ExternalData_54" localSheetId="3">Comps!$AA$1:$AA$2</definedName>
    <definedName name="ExternalData_56" localSheetId="3">Comps!$AA$1:$AA$2</definedName>
    <definedName name="ExternalData_58" localSheetId="3">Comps!$AA$1:$AA$2</definedName>
    <definedName name="ExternalData_6" localSheetId="3">Comps!$Z$1:$Z$2</definedName>
    <definedName name="ExternalData_60" localSheetId="3">Comps!$AA$1:$AA$2</definedName>
    <definedName name="ExternalData_62" localSheetId="3">Comps!$AA$1:$AA$2</definedName>
    <definedName name="ExternalData_64" localSheetId="3">Comps!$AA$1:$AA$2</definedName>
    <definedName name="ExternalData_66" localSheetId="3">Comps!$AA$1:$AA$2</definedName>
    <definedName name="ExternalData_67" localSheetId="3">Comps!$AA$1:$AA$2</definedName>
    <definedName name="ExternalData_68" localSheetId="3">Comps!$AA$1:$AA$2</definedName>
    <definedName name="ExternalData_7" localSheetId="3">Comps!$Z$1:$Z$2</definedName>
    <definedName name="ExternalData_71" localSheetId="3">Comps!$AB$1:$AB$2</definedName>
    <definedName name="ExternalData_72" localSheetId="3">Comps!$AB$1:$AB$2</definedName>
    <definedName name="ExternalData_73" localSheetId="3">Comps!$AB$1:$AB$2</definedName>
    <definedName name="ExternalData_74" localSheetId="3">Comps!$AB$1:$AB$2</definedName>
    <definedName name="ExternalData_75" localSheetId="3">Comps!$AB$1:$AB$2</definedName>
    <definedName name="ExternalData_76" localSheetId="3">Comps!$AB$1:$AB$2</definedName>
    <definedName name="ExternalData_77" localSheetId="3">Comps!$AB$1:$AB$2</definedName>
    <definedName name="ExternalData_78" localSheetId="3">Comps!$AB$1:$AB$2</definedName>
    <definedName name="ExternalData_79" localSheetId="3">Comps!$AB$1:$AB$2</definedName>
    <definedName name="ExternalData_8" localSheetId="3">Comps!$Z$1:$Z$2</definedName>
    <definedName name="ExternalData_80" localSheetId="3">Comps!$AB$1:$AB$2</definedName>
    <definedName name="ExternalData_82" localSheetId="3">Comps!$AA$1:$AA$2</definedName>
    <definedName name="ExternalData_83" localSheetId="3">Comps!$AB$1:$AB$2</definedName>
    <definedName name="ExternalData_84" localSheetId="3">Comps!$AA$1:$AA$2</definedName>
    <definedName name="ExternalData_85" localSheetId="3">Comps!$AB$1:$AB$2</definedName>
    <definedName name="ExternalData_86" localSheetId="3">Comps!$AA$1:$AA$2</definedName>
    <definedName name="ExternalData_87" localSheetId="3">Comps!$AB$1:$AB$2</definedName>
    <definedName name="ExternalData_88" localSheetId="3">Comps!$AA$1:$AA$2</definedName>
    <definedName name="ExternalData_89" localSheetId="3">Comps!$AB$1:$AB$2</definedName>
    <definedName name="ExternalData_90" localSheetId="3">Comps!$AA$1:$AA$2</definedName>
    <definedName name="ExternalData_92" localSheetId="3">Comps!$AA$1:$AA$2</definedName>
    <definedName name="ExternalData_93" localSheetId="3">Comps!$AB$1:$AB$2</definedName>
    <definedName name="ExternalData_94" localSheetId="3">Comps!$AA$1:$AA$2</definedName>
    <definedName name="ExternalData_95" localSheetId="3">Comps!$AB$1:$AB$2</definedName>
    <definedName name="ExternalData_96" localSheetId="3">Comps!$AA$1:$AA$2</definedName>
    <definedName name="ExternalData_97" localSheetId="3">Comps!$AB$1:$AB$2</definedName>
    <definedName name="ExternalData_98" localSheetId="3">Comps!$AA$1:$AA$2</definedName>
    <definedName name="ExternalData_99" localSheetId="3">Comps!$AB$1:$AB$2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4" i="4" l="1"/>
  <c r="D43" i="4"/>
  <c r="D42" i="4"/>
  <c r="D4" i="4"/>
  <c r="C42" i="4"/>
  <c r="C43" i="4"/>
  <c r="C44" i="4"/>
  <c r="O12"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Q60" i="1" s="1"/>
  <c r="AB61" i="1"/>
  <c r="AB62" i="1"/>
  <c r="AB63" i="1"/>
  <c r="AB64" i="1"/>
  <c r="AB65" i="1"/>
  <c r="AB66" i="1"/>
  <c r="AB67" i="1"/>
  <c r="AQ67" i="1" s="1"/>
  <c r="AB68" i="1"/>
  <c r="AQ68" i="1" s="1"/>
  <c r="AB69" i="1"/>
  <c r="AB70" i="1"/>
  <c r="AB71" i="1"/>
  <c r="AB72" i="1"/>
  <c r="AB73" i="1"/>
  <c r="AB74" i="1"/>
  <c r="AB75" i="1"/>
  <c r="AQ75" i="1" s="1"/>
  <c r="AB76" i="1"/>
  <c r="AQ76" i="1" s="1"/>
  <c r="AB77" i="1"/>
  <c r="AB78" i="1"/>
  <c r="AB79" i="1"/>
  <c r="AB80" i="1"/>
  <c r="AB81" i="1"/>
  <c r="AB82" i="1"/>
  <c r="AB83" i="1"/>
  <c r="AQ83" i="1" s="1"/>
  <c r="AB84" i="1"/>
  <c r="AQ84" i="1" s="1"/>
  <c r="AB85" i="1"/>
  <c r="AB86" i="1"/>
  <c r="AB87" i="1"/>
  <c r="AB88" i="1"/>
  <c r="AB89" i="1"/>
  <c r="AB90" i="1"/>
  <c r="AB91" i="1"/>
  <c r="AQ91" i="1" s="1"/>
  <c r="AB92" i="1"/>
  <c r="AQ92" i="1" s="1"/>
  <c r="AB93" i="1"/>
  <c r="AB94" i="1"/>
  <c r="AB95" i="1"/>
  <c r="AB96" i="1"/>
  <c r="AB97" i="1"/>
  <c r="AB98" i="1"/>
  <c r="AB99" i="1"/>
  <c r="AQ99" i="1" s="1"/>
  <c r="AB100" i="1"/>
  <c r="AQ100" i="1" s="1"/>
  <c r="AB101" i="1"/>
  <c r="AB102" i="1"/>
  <c r="AB103" i="1"/>
  <c r="AB104" i="1"/>
  <c r="AB105" i="1"/>
  <c r="AB106" i="1"/>
  <c r="AB107" i="1"/>
  <c r="AQ107" i="1" s="1"/>
  <c r="AB108" i="1"/>
  <c r="AQ108" i="1" s="1"/>
  <c r="AB109" i="1"/>
  <c r="AB110" i="1"/>
  <c r="AB111" i="1"/>
  <c r="AB112" i="1"/>
  <c r="AB113" i="1"/>
  <c r="AB114" i="1"/>
  <c r="AB115" i="1"/>
  <c r="AQ115" i="1" s="1"/>
  <c r="AB116" i="1"/>
  <c r="AQ116" i="1" s="1"/>
  <c r="AB117" i="1"/>
  <c r="AB118" i="1"/>
  <c r="AB119" i="1"/>
  <c r="AB120" i="1"/>
  <c r="AB121" i="1"/>
  <c r="AB122" i="1"/>
  <c r="AB123" i="1"/>
  <c r="AQ123" i="1" s="1"/>
  <c r="AB124" i="1"/>
  <c r="AQ124" i="1" s="1"/>
  <c r="AB125" i="1"/>
  <c r="AB126" i="1"/>
  <c r="AB127" i="1"/>
  <c r="AB128" i="1"/>
  <c r="AB129" i="1"/>
  <c r="AB130" i="1"/>
  <c r="AB131" i="1"/>
  <c r="AQ131" i="1" s="1"/>
  <c r="AB132" i="1"/>
  <c r="AQ132" i="1" s="1"/>
  <c r="AB133" i="1"/>
  <c r="AB134" i="1"/>
  <c r="AB135" i="1"/>
  <c r="AB136" i="1"/>
  <c r="AB137" i="1"/>
  <c r="AB138" i="1"/>
  <c r="AB139" i="1"/>
  <c r="AQ139" i="1" s="1"/>
  <c r="AB140" i="1"/>
  <c r="AQ140" i="1" s="1"/>
  <c r="AB141" i="1"/>
  <c r="AB142" i="1"/>
  <c r="AB143" i="1"/>
  <c r="AB144" i="1"/>
  <c r="AB145" i="1"/>
  <c r="AB146" i="1"/>
  <c r="AB147" i="1"/>
  <c r="AQ147" i="1" s="1"/>
  <c r="AB148" i="1"/>
  <c r="AQ148" i="1" s="1"/>
  <c r="AB149" i="1"/>
  <c r="AB150" i="1"/>
  <c r="AB151" i="1"/>
  <c r="AB152" i="1"/>
  <c r="AB153" i="1"/>
  <c r="AB154" i="1"/>
  <c r="AB155" i="1"/>
  <c r="AQ155" i="1" s="1"/>
  <c r="AB156" i="1"/>
  <c r="AQ156" i="1" s="1"/>
  <c r="AB157" i="1"/>
  <c r="AB158" i="1"/>
  <c r="AB159" i="1"/>
  <c r="AB160" i="1"/>
  <c r="AB161" i="1"/>
  <c r="AB162" i="1"/>
  <c r="AB163" i="1"/>
  <c r="AQ163" i="1" s="1"/>
  <c r="AB164" i="1"/>
  <c r="AQ164" i="1" s="1"/>
  <c r="AB165" i="1"/>
  <c r="AB166" i="1"/>
  <c r="AB167" i="1"/>
  <c r="AB168" i="1"/>
  <c r="AB169" i="1"/>
  <c r="AB170" i="1"/>
  <c r="AB171" i="1"/>
  <c r="AQ171" i="1" s="1"/>
  <c r="AB172" i="1"/>
  <c r="AQ172" i="1" s="1"/>
  <c r="AB173" i="1"/>
  <c r="AB174" i="1"/>
  <c r="AB175" i="1"/>
  <c r="AB176" i="1"/>
  <c r="AB177" i="1"/>
  <c r="AB178" i="1"/>
  <c r="AB179" i="1"/>
  <c r="AQ179" i="1" s="1"/>
  <c r="AB180" i="1"/>
  <c r="AQ180" i="1" s="1"/>
  <c r="AB181" i="1"/>
  <c r="AB182" i="1"/>
  <c r="AB183" i="1"/>
  <c r="AB184" i="1"/>
  <c r="AB185" i="1"/>
  <c r="AB186" i="1"/>
  <c r="AB187" i="1"/>
  <c r="AQ187" i="1" s="1"/>
  <c r="AB188" i="1"/>
  <c r="AB189" i="1"/>
  <c r="AB190" i="1"/>
  <c r="AB191" i="1"/>
  <c r="AB192" i="1"/>
  <c r="AB193" i="1"/>
  <c r="AB194" i="1"/>
  <c r="AB195" i="1"/>
  <c r="AB196" i="1"/>
  <c r="AQ196" i="1" s="1"/>
  <c r="AB197" i="1"/>
  <c r="AB198" i="1"/>
  <c r="AB199" i="1"/>
  <c r="AB200" i="1"/>
  <c r="AB201" i="1"/>
  <c r="AB202" i="1"/>
  <c r="AB203" i="1"/>
  <c r="AQ203" i="1" s="1"/>
  <c r="AB204" i="1"/>
  <c r="AQ204" i="1" s="1"/>
  <c r="AB205" i="1"/>
  <c r="AB206" i="1"/>
  <c r="AB207" i="1"/>
  <c r="AB208" i="1"/>
  <c r="AB209" i="1"/>
  <c r="AB210" i="1"/>
  <c r="AB211" i="1"/>
  <c r="AB212" i="1"/>
  <c r="AQ212" i="1" s="1"/>
  <c r="AB213" i="1"/>
  <c r="AB214" i="1"/>
  <c r="AB215" i="1"/>
  <c r="AB216" i="1"/>
  <c r="AB217" i="1"/>
  <c r="AB218" i="1"/>
  <c r="AB219" i="1"/>
  <c r="AB220" i="1"/>
  <c r="AQ220" i="1" s="1"/>
  <c r="AB221" i="1"/>
  <c r="AB222" i="1"/>
  <c r="AB223" i="1"/>
  <c r="AB224" i="1"/>
  <c r="AB225" i="1"/>
  <c r="AB226" i="1"/>
  <c r="AB227" i="1"/>
  <c r="AQ227" i="1" s="1"/>
  <c r="AB228" i="1"/>
  <c r="AQ228" i="1" s="1"/>
  <c r="AB229" i="1"/>
  <c r="AB230" i="1"/>
  <c r="AB231" i="1"/>
  <c r="AB232" i="1"/>
  <c r="AB233" i="1"/>
  <c r="AB234" i="1"/>
  <c r="AB235" i="1"/>
  <c r="AB236" i="1"/>
  <c r="AQ236" i="1" s="1"/>
  <c r="AB237" i="1"/>
  <c r="AB238" i="1"/>
  <c r="AB239" i="1"/>
  <c r="AB240" i="1"/>
  <c r="AB241" i="1"/>
  <c r="AB242" i="1"/>
  <c r="AB243" i="1"/>
  <c r="AQ243" i="1" s="1"/>
  <c r="AB244" i="1"/>
  <c r="AQ244" i="1" s="1"/>
  <c r="AB245" i="1"/>
  <c r="AB246" i="1"/>
  <c r="AB247" i="1"/>
  <c r="AB248" i="1"/>
  <c r="AB249" i="1"/>
  <c r="AB250" i="1"/>
  <c r="AB251" i="1"/>
  <c r="AQ251" i="1" s="1"/>
  <c r="AB252" i="1"/>
  <c r="AQ252" i="1" s="1"/>
  <c r="AB253" i="1"/>
  <c r="AB254" i="1"/>
  <c r="AB255" i="1"/>
  <c r="AB256" i="1"/>
  <c r="AB257" i="1"/>
  <c r="AB258" i="1"/>
  <c r="AB259" i="1"/>
  <c r="AQ259" i="1" s="1"/>
  <c r="AB260" i="1"/>
  <c r="AQ260" i="1" s="1"/>
  <c r="AB261" i="1"/>
  <c r="AB262" i="1"/>
  <c r="AB263" i="1"/>
  <c r="AB264" i="1"/>
  <c r="AB265" i="1"/>
  <c r="AB266" i="1"/>
  <c r="AB267" i="1"/>
  <c r="AQ267" i="1" s="1"/>
  <c r="AB268" i="1"/>
  <c r="AQ268" i="1" s="1"/>
  <c r="AB269" i="1"/>
  <c r="AB270" i="1"/>
  <c r="AB271" i="1"/>
  <c r="AB272" i="1"/>
  <c r="AB273" i="1"/>
  <c r="AB274" i="1"/>
  <c r="AB275" i="1"/>
  <c r="AQ275" i="1" s="1"/>
  <c r="AB276" i="1"/>
  <c r="AQ276" i="1" s="1"/>
  <c r="AB277" i="1"/>
  <c r="AB278" i="1"/>
  <c r="AB279" i="1"/>
  <c r="AB280" i="1"/>
  <c r="AB281" i="1"/>
  <c r="AB282" i="1"/>
  <c r="AB283" i="1"/>
  <c r="AQ283" i="1" s="1"/>
  <c r="AB284" i="1"/>
  <c r="AQ284" i="1" s="1"/>
  <c r="AB285" i="1"/>
  <c r="AB286" i="1"/>
  <c r="AB287" i="1"/>
  <c r="AB288" i="1"/>
  <c r="AB289" i="1"/>
  <c r="AB290" i="1"/>
  <c r="AB291" i="1"/>
  <c r="AQ291" i="1" s="1"/>
  <c r="AB292" i="1"/>
  <c r="AB293" i="1"/>
  <c r="AB294" i="1"/>
  <c r="AB295" i="1"/>
  <c r="AB296" i="1"/>
  <c r="AB297" i="1"/>
  <c r="AB298" i="1"/>
  <c r="AB299" i="1"/>
  <c r="AB4" i="1"/>
  <c r="BA5" i="1"/>
  <c r="BA6" i="1"/>
  <c r="BA7" i="1"/>
  <c r="BA8" i="1"/>
  <c r="BA9" i="1"/>
  <c r="BA10" i="1"/>
  <c r="BA11" i="1"/>
  <c r="BA12" i="1"/>
  <c r="BA13" i="1"/>
  <c r="BA14" i="1"/>
  <c r="BA15" i="1"/>
  <c r="BA16" i="1"/>
  <c r="BA17" i="1"/>
  <c r="BA18"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BA96" i="1"/>
  <c r="BA97" i="1"/>
  <c r="BA98" i="1"/>
  <c r="BA99" i="1"/>
  <c r="BA100" i="1"/>
  <c r="BA101" i="1"/>
  <c r="BA102" i="1"/>
  <c r="BA103" i="1"/>
  <c r="BA104" i="1"/>
  <c r="BA105" i="1"/>
  <c r="BA106" i="1"/>
  <c r="BA107" i="1"/>
  <c r="BA108" i="1"/>
  <c r="BA109" i="1"/>
  <c r="BA110" i="1"/>
  <c r="BA111" i="1"/>
  <c r="BA112" i="1"/>
  <c r="BA113" i="1"/>
  <c r="BA114" i="1"/>
  <c r="BA115" i="1"/>
  <c r="BA116" i="1"/>
  <c r="BA117" i="1"/>
  <c r="BA118" i="1"/>
  <c r="BA119" i="1"/>
  <c r="BA120" i="1"/>
  <c r="BA121" i="1"/>
  <c r="BA122" i="1"/>
  <c r="BA123" i="1"/>
  <c r="BA124" i="1"/>
  <c r="BA125" i="1"/>
  <c r="BA126" i="1"/>
  <c r="BA127" i="1"/>
  <c r="BA128" i="1"/>
  <c r="BA129" i="1"/>
  <c r="BA130" i="1"/>
  <c r="BA131" i="1"/>
  <c r="BA132" i="1"/>
  <c r="BA133" i="1"/>
  <c r="BA134" i="1"/>
  <c r="BA135" i="1"/>
  <c r="BA136" i="1"/>
  <c r="BA137" i="1"/>
  <c r="BA138" i="1"/>
  <c r="BA139" i="1"/>
  <c r="BA140" i="1"/>
  <c r="BA141" i="1"/>
  <c r="BA142"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BA225" i="1"/>
  <c r="BA226" i="1"/>
  <c r="BA227" i="1"/>
  <c r="BA228" i="1"/>
  <c r="BA229" i="1"/>
  <c r="BA230" i="1"/>
  <c r="BA231" i="1"/>
  <c r="BA232" i="1"/>
  <c r="BA233" i="1"/>
  <c r="BA234" i="1"/>
  <c r="BA235" i="1"/>
  <c r="BA236" i="1"/>
  <c r="BA237" i="1"/>
  <c r="BA238" i="1"/>
  <c r="BA239"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4" i="1"/>
  <c r="Z4" i="1"/>
  <c r="Z5" i="1"/>
  <c r="Z6" i="1"/>
  <c r="Z7" i="1"/>
  <c r="Z8" i="1"/>
  <c r="Z9" i="1"/>
  <c r="Z10" i="1"/>
  <c r="Z11" i="1"/>
  <c r="Z12" i="1"/>
  <c r="Z13" i="1"/>
  <c r="Z14" i="1"/>
  <c r="Z15" i="1"/>
  <c r="AH5" i="1"/>
  <c r="AI5" i="1"/>
  <c r="AH6" i="1"/>
  <c r="AI6" i="1"/>
  <c r="AH7" i="1"/>
  <c r="AI7" i="1"/>
  <c r="AH8" i="1"/>
  <c r="AI8" i="1"/>
  <c r="AH9" i="1"/>
  <c r="AI9" i="1"/>
  <c r="AH10" i="1"/>
  <c r="AI10" i="1"/>
  <c r="AH11" i="1"/>
  <c r="AI11" i="1"/>
  <c r="AH12" i="1"/>
  <c r="AI12" i="1"/>
  <c r="AH13" i="1"/>
  <c r="AI13" i="1"/>
  <c r="AH14" i="1"/>
  <c r="AI14" i="1"/>
  <c r="AH15" i="1"/>
  <c r="AI15" i="1"/>
  <c r="AH16" i="1"/>
  <c r="AI16" i="1"/>
  <c r="AH17" i="1"/>
  <c r="AI17" i="1"/>
  <c r="AH18" i="1"/>
  <c r="AI18" i="1"/>
  <c r="AH19" i="1"/>
  <c r="AI19" i="1"/>
  <c r="AH20" i="1"/>
  <c r="AI20" i="1"/>
  <c r="AH21" i="1"/>
  <c r="AI21" i="1"/>
  <c r="AH22" i="1"/>
  <c r="AI22" i="1"/>
  <c r="AH23" i="1"/>
  <c r="AI23" i="1"/>
  <c r="AH24" i="1"/>
  <c r="AI24" i="1"/>
  <c r="AH25" i="1"/>
  <c r="AI25" i="1"/>
  <c r="AH26" i="1"/>
  <c r="AI26" i="1"/>
  <c r="AH27" i="1"/>
  <c r="AI27" i="1"/>
  <c r="AH28" i="1"/>
  <c r="AI28" i="1"/>
  <c r="AH29" i="1"/>
  <c r="AI29" i="1"/>
  <c r="AH30" i="1"/>
  <c r="AI30" i="1"/>
  <c r="AH31" i="1"/>
  <c r="AI31" i="1"/>
  <c r="AH32" i="1"/>
  <c r="AI32" i="1"/>
  <c r="AH33" i="1"/>
  <c r="AI33" i="1"/>
  <c r="AH34" i="1"/>
  <c r="AI34" i="1"/>
  <c r="AH35" i="1"/>
  <c r="AI35" i="1"/>
  <c r="AH36" i="1"/>
  <c r="AI36" i="1"/>
  <c r="AH37" i="1"/>
  <c r="AI37" i="1"/>
  <c r="AH38" i="1"/>
  <c r="AI38" i="1"/>
  <c r="AH39" i="1"/>
  <c r="AI39" i="1"/>
  <c r="AH40" i="1"/>
  <c r="AI40" i="1"/>
  <c r="AH41" i="1"/>
  <c r="AI41" i="1"/>
  <c r="AH42" i="1"/>
  <c r="AI42" i="1"/>
  <c r="AH43" i="1"/>
  <c r="AI43" i="1"/>
  <c r="AH44" i="1"/>
  <c r="AI44" i="1"/>
  <c r="AH45" i="1"/>
  <c r="AI45" i="1"/>
  <c r="AH46" i="1"/>
  <c r="AI46" i="1"/>
  <c r="AH47" i="1"/>
  <c r="AI47" i="1"/>
  <c r="AH48" i="1"/>
  <c r="AI48" i="1"/>
  <c r="AH49" i="1"/>
  <c r="AI49" i="1"/>
  <c r="AH50" i="1"/>
  <c r="AI50" i="1"/>
  <c r="AH51" i="1"/>
  <c r="AI51" i="1"/>
  <c r="AH52" i="1"/>
  <c r="AI52" i="1"/>
  <c r="AH53" i="1"/>
  <c r="AI53" i="1"/>
  <c r="AH54" i="1"/>
  <c r="AI54" i="1"/>
  <c r="AH55" i="1"/>
  <c r="AI55" i="1"/>
  <c r="AH56" i="1"/>
  <c r="AI56" i="1"/>
  <c r="AH57" i="1"/>
  <c r="AI57" i="1"/>
  <c r="AH58" i="1"/>
  <c r="AI58" i="1"/>
  <c r="AX58" i="1" s="1"/>
  <c r="AH59" i="1"/>
  <c r="AI59" i="1"/>
  <c r="AH60" i="1"/>
  <c r="AI60" i="1"/>
  <c r="AH61" i="1"/>
  <c r="AI61" i="1"/>
  <c r="AH62" i="1"/>
  <c r="AI62" i="1"/>
  <c r="AH63" i="1"/>
  <c r="AI63" i="1"/>
  <c r="AH64" i="1"/>
  <c r="AI64" i="1"/>
  <c r="AX64" i="1" s="1"/>
  <c r="AH65" i="1"/>
  <c r="AI65" i="1"/>
  <c r="AH66" i="1"/>
  <c r="AI66" i="1"/>
  <c r="AH67" i="1"/>
  <c r="AI67" i="1"/>
  <c r="AH68" i="1"/>
  <c r="AI68" i="1"/>
  <c r="AH69" i="1"/>
  <c r="AI69" i="1"/>
  <c r="AH70" i="1"/>
  <c r="AI70" i="1"/>
  <c r="AX70" i="1" s="1"/>
  <c r="AH71" i="1"/>
  <c r="AI71" i="1"/>
  <c r="AH72" i="1"/>
  <c r="AI72" i="1"/>
  <c r="AH73" i="1"/>
  <c r="AI73" i="1"/>
  <c r="AH74" i="1"/>
  <c r="AI74" i="1"/>
  <c r="AH75" i="1"/>
  <c r="AI75" i="1"/>
  <c r="AH76" i="1"/>
  <c r="AI76" i="1"/>
  <c r="AX76" i="1" s="1"/>
  <c r="AH77" i="1"/>
  <c r="AI77" i="1"/>
  <c r="AH78" i="1"/>
  <c r="AI78" i="1"/>
  <c r="AH79" i="1"/>
  <c r="AI79" i="1"/>
  <c r="AH80" i="1"/>
  <c r="AI80" i="1"/>
  <c r="AH81" i="1"/>
  <c r="AI81" i="1"/>
  <c r="AH82" i="1"/>
  <c r="AI82" i="1"/>
  <c r="AX82" i="1" s="1"/>
  <c r="AH83" i="1"/>
  <c r="AI83" i="1"/>
  <c r="AH84" i="1"/>
  <c r="AI84" i="1"/>
  <c r="AH85" i="1"/>
  <c r="AI85" i="1"/>
  <c r="AH86" i="1"/>
  <c r="AI86" i="1"/>
  <c r="AH87" i="1"/>
  <c r="AI87" i="1"/>
  <c r="AH88" i="1"/>
  <c r="AI88" i="1"/>
  <c r="AX88" i="1" s="1"/>
  <c r="AH89" i="1"/>
  <c r="AI89" i="1"/>
  <c r="AH90" i="1"/>
  <c r="AI90" i="1"/>
  <c r="AH91" i="1"/>
  <c r="AI91" i="1"/>
  <c r="AH92" i="1"/>
  <c r="AI92" i="1"/>
  <c r="AH93" i="1"/>
  <c r="AI93" i="1"/>
  <c r="AH94" i="1"/>
  <c r="AI94" i="1"/>
  <c r="AX94" i="1" s="1"/>
  <c r="AH95" i="1"/>
  <c r="AI95" i="1"/>
  <c r="AH96" i="1"/>
  <c r="AI96" i="1"/>
  <c r="AH97" i="1"/>
  <c r="AI97" i="1"/>
  <c r="AH98" i="1"/>
  <c r="AI98" i="1"/>
  <c r="AH99" i="1"/>
  <c r="AI99" i="1"/>
  <c r="AH100" i="1"/>
  <c r="AI100" i="1"/>
  <c r="AX100" i="1" s="1"/>
  <c r="AH101" i="1"/>
  <c r="AI101" i="1"/>
  <c r="AH102" i="1"/>
  <c r="AI102" i="1"/>
  <c r="AH103" i="1"/>
  <c r="AI103" i="1"/>
  <c r="AH104" i="1"/>
  <c r="AI104" i="1"/>
  <c r="AH105" i="1"/>
  <c r="AI105" i="1"/>
  <c r="AH106" i="1"/>
  <c r="AI106" i="1"/>
  <c r="AX106" i="1" s="1"/>
  <c r="AH107" i="1"/>
  <c r="AI107" i="1"/>
  <c r="AH108" i="1"/>
  <c r="AI108" i="1"/>
  <c r="AH109" i="1"/>
  <c r="AI109" i="1"/>
  <c r="AH110" i="1"/>
  <c r="AI110" i="1"/>
  <c r="AH111" i="1"/>
  <c r="AI111" i="1"/>
  <c r="AH112" i="1"/>
  <c r="AI112" i="1"/>
  <c r="AX112" i="1" s="1"/>
  <c r="AH113" i="1"/>
  <c r="AI113" i="1"/>
  <c r="AH114" i="1"/>
  <c r="AI114" i="1"/>
  <c r="AH115" i="1"/>
  <c r="AI115" i="1"/>
  <c r="AH116" i="1"/>
  <c r="AI116" i="1"/>
  <c r="AH117" i="1"/>
  <c r="AI117" i="1"/>
  <c r="AH118" i="1"/>
  <c r="AI118" i="1"/>
  <c r="AX118" i="1" s="1"/>
  <c r="AH119" i="1"/>
  <c r="AI119" i="1"/>
  <c r="AH120" i="1"/>
  <c r="AI120" i="1"/>
  <c r="AH121" i="1"/>
  <c r="AI121" i="1"/>
  <c r="AH122" i="1"/>
  <c r="AI122" i="1"/>
  <c r="AH123" i="1"/>
  <c r="AI123" i="1"/>
  <c r="AH124" i="1"/>
  <c r="AI124" i="1"/>
  <c r="AX124" i="1" s="1"/>
  <c r="AH125" i="1"/>
  <c r="AI125" i="1"/>
  <c r="AH126" i="1"/>
  <c r="AI126" i="1"/>
  <c r="AH127" i="1"/>
  <c r="AI127" i="1"/>
  <c r="AH128" i="1"/>
  <c r="AI128" i="1"/>
  <c r="AH129" i="1"/>
  <c r="AI129" i="1"/>
  <c r="AH130" i="1"/>
  <c r="AI130" i="1"/>
  <c r="AH131" i="1"/>
  <c r="AI131" i="1"/>
  <c r="AH132" i="1"/>
  <c r="AI132" i="1"/>
  <c r="AH133" i="1"/>
  <c r="AI133" i="1"/>
  <c r="AH134" i="1"/>
  <c r="AI134" i="1"/>
  <c r="AH135" i="1"/>
  <c r="AI135" i="1"/>
  <c r="AH136" i="1"/>
  <c r="AI136" i="1"/>
  <c r="AX136" i="1" s="1"/>
  <c r="AH137" i="1"/>
  <c r="AI137" i="1"/>
  <c r="AH138" i="1"/>
  <c r="AI138" i="1"/>
  <c r="AH139" i="1"/>
  <c r="AI139" i="1"/>
  <c r="AH140" i="1"/>
  <c r="AI140" i="1"/>
  <c r="AH141" i="1"/>
  <c r="AI141" i="1"/>
  <c r="AH142" i="1"/>
  <c r="AI142" i="1"/>
  <c r="AX142" i="1" s="1"/>
  <c r="AH143" i="1"/>
  <c r="AI143" i="1"/>
  <c r="AH144" i="1"/>
  <c r="AI144" i="1"/>
  <c r="AH145" i="1"/>
  <c r="AI145" i="1"/>
  <c r="AH146" i="1"/>
  <c r="AI146" i="1"/>
  <c r="AH147" i="1"/>
  <c r="AI147" i="1"/>
  <c r="AH148" i="1"/>
  <c r="AI148" i="1"/>
  <c r="AX148" i="1" s="1"/>
  <c r="AH149" i="1"/>
  <c r="AI149" i="1"/>
  <c r="AH150" i="1"/>
  <c r="AI150" i="1"/>
  <c r="AH151" i="1"/>
  <c r="AI151" i="1"/>
  <c r="AH152" i="1"/>
  <c r="AI152" i="1"/>
  <c r="AH153" i="1"/>
  <c r="AI153" i="1"/>
  <c r="AH154" i="1"/>
  <c r="AI154" i="1"/>
  <c r="AX154" i="1" s="1"/>
  <c r="AH155" i="1"/>
  <c r="AI155" i="1"/>
  <c r="AH156" i="1"/>
  <c r="AI156" i="1"/>
  <c r="AH157" i="1"/>
  <c r="AI157" i="1"/>
  <c r="AH158" i="1"/>
  <c r="AI158" i="1"/>
  <c r="AH159" i="1"/>
  <c r="AI159" i="1"/>
  <c r="AH160" i="1"/>
  <c r="AI160" i="1"/>
  <c r="AX160" i="1" s="1"/>
  <c r="AH161" i="1"/>
  <c r="AI161" i="1"/>
  <c r="AH162" i="1"/>
  <c r="AI162" i="1"/>
  <c r="AH163" i="1"/>
  <c r="AI163" i="1"/>
  <c r="AH164" i="1"/>
  <c r="AI164" i="1"/>
  <c r="AH165" i="1"/>
  <c r="AI165" i="1"/>
  <c r="AH166" i="1"/>
  <c r="AI166" i="1"/>
  <c r="AX166" i="1" s="1"/>
  <c r="AH167" i="1"/>
  <c r="AI167" i="1"/>
  <c r="AH168" i="1"/>
  <c r="AI168" i="1"/>
  <c r="AH169" i="1"/>
  <c r="AI169" i="1"/>
  <c r="AH170" i="1"/>
  <c r="AI170" i="1"/>
  <c r="AH171" i="1"/>
  <c r="AI171" i="1"/>
  <c r="AH172" i="1"/>
  <c r="AI172" i="1"/>
  <c r="AX172" i="1" s="1"/>
  <c r="AH173" i="1"/>
  <c r="AI173" i="1"/>
  <c r="AH174" i="1"/>
  <c r="AI174" i="1"/>
  <c r="AH175" i="1"/>
  <c r="AI175" i="1"/>
  <c r="AH176" i="1"/>
  <c r="AI176" i="1"/>
  <c r="AH177" i="1"/>
  <c r="AI177" i="1"/>
  <c r="AH178" i="1"/>
  <c r="AI178" i="1"/>
  <c r="AX178" i="1" s="1"/>
  <c r="AH179" i="1"/>
  <c r="AI179" i="1"/>
  <c r="AH180" i="1"/>
  <c r="AI180" i="1"/>
  <c r="AH181" i="1"/>
  <c r="AI181" i="1"/>
  <c r="AH182" i="1"/>
  <c r="AI182" i="1"/>
  <c r="AH183" i="1"/>
  <c r="AI183" i="1"/>
  <c r="AH184" i="1"/>
  <c r="AI184" i="1"/>
  <c r="AX184" i="1" s="1"/>
  <c r="AH185" i="1"/>
  <c r="AI185" i="1"/>
  <c r="AH186" i="1"/>
  <c r="AI186" i="1"/>
  <c r="AH187" i="1"/>
  <c r="AI187" i="1"/>
  <c r="AH188" i="1"/>
  <c r="AI188" i="1"/>
  <c r="AH189" i="1"/>
  <c r="AI189" i="1"/>
  <c r="AH190" i="1"/>
  <c r="AI190" i="1"/>
  <c r="AH191" i="1"/>
  <c r="AI191" i="1"/>
  <c r="AH192" i="1"/>
  <c r="AI192" i="1"/>
  <c r="AH193" i="1"/>
  <c r="AI193" i="1"/>
  <c r="AH194" i="1"/>
  <c r="AI194" i="1"/>
  <c r="AH195" i="1"/>
  <c r="AI195" i="1"/>
  <c r="AH196" i="1"/>
  <c r="AI196" i="1"/>
  <c r="AX196" i="1" s="1"/>
  <c r="AH197" i="1"/>
  <c r="AI197" i="1"/>
  <c r="AH198" i="1"/>
  <c r="AI198" i="1"/>
  <c r="AH199" i="1"/>
  <c r="AI199" i="1"/>
  <c r="AH200" i="1"/>
  <c r="AI200" i="1"/>
  <c r="AH201" i="1"/>
  <c r="AI201" i="1"/>
  <c r="AH202" i="1"/>
  <c r="AI202" i="1"/>
  <c r="AX202" i="1" s="1"/>
  <c r="AH203" i="1"/>
  <c r="AI203" i="1"/>
  <c r="AH204" i="1"/>
  <c r="AI204" i="1"/>
  <c r="AH205" i="1"/>
  <c r="AI205" i="1"/>
  <c r="AH206" i="1"/>
  <c r="AI206" i="1"/>
  <c r="AH207" i="1"/>
  <c r="AI207" i="1"/>
  <c r="AH208" i="1"/>
  <c r="AI208" i="1"/>
  <c r="AX208" i="1" s="1"/>
  <c r="AH209" i="1"/>
  <c r="AI209" i="1"/>
  <c r="AH210" i="1"/>
  <c r="AI210" i="1"/>
  <c r="AH211" i="1"/>
  <c r="AI211" i="1"/>
  <c r="AH212" i="1"/>
  <c r="AI212" i="1"/>
  <c r="AH213" i="1"/>
  <c r="AI213" i="1"/>
  <c r="AH214" i="1"/>
  <c r="AI214" i="1"/>
  <c r="AX214" i="1" s="1"/>
  <c r="AH215" i="1"/>
  <c r="AI215" i="1"/>
  <c r="AH216" i="1"/>
  <c r="AI216" i="1"/>
  <c r="AH217" i="1"/>
  <c r="AI217" i="1"/>
  <c r="AH218" i="1"/>
  <c r="AI218" i="1"/>
  <c r="AH219" i="1"/>
  <c r="AI219" i="1"/>
  <c r="AH220" i="1"/>
  <c r="AI220" i="1"/>
  <c r="AX220" i="1" s="1"/>
  <c r="AH221" i="1"/>
  <c r="AI221" i="1"/>
  <c r="AH222" i="1"/>
  <c r="AI222" i="1"/>
  <c r="AH223" i="1"/>
  <c r="AI223" i="1"/>
  <c r="AH224" i="1"/>
  <c r="AI224" i="1"/>
  <c r="AH225" i="1"/>
  <c r="AI225" i="1"/>
  <c r="AH226" i="1"/>
  <c r="AI226" i="1"/>
  <c r="AX226" i="1" s="1"/>
  <c r="AH227" i="1"/>
  <c r="AI227" i="1"/>
  <c r="AH228" i="1"/>
  <c r="AI228" i="1"/>
  <c r="AH229" i="1"/>
  <c r="AI229" i="1"/>
  <c r="AH230" i="1"/>
  <c r="AI230" i="1"/>
  <c r="AH231" i="1"/>
  <c r="AI231" i="1"/>
  <c r="AH232" i="1"/>
  <c r="AI232" i="1"/>
  <c r="AX232" i="1" s="1"/>
  <c r="AH233" i="1"/>
  <c r="AI233" i="1"/>
  <c r="AH234" i="1"/>
  <c r="AI234" i="1"/>
  <c r="AH235" i="1"/>
  <c r="AI235" i="1"/>
  <c r="AH236" i="1"/>
  <c r="AI236" i="1"/>
  <c r="AH237" i="1"/>
  <c r="AI237" i="1"/>
  <c r="AH238" i="1"/>
  <c r="AI238" i="1"/>
  <c r="AX238" i="1" s="1"/>
  <c r="AH239" i="1"/>
  <c r="AI239" i="1"/>
  <c r="AH240" i="1"/>
  <c r="AI240" i="1"/>
  <c r="AH241" i="1"/>
  <c r="AI241" i="1"/>
  <c r="AH242" i="1"/>
  <c r="AI242" i="1"/>
  <c r="AH243" i="1"/>
  <c r="AI243" i="1"/>
  <c r="AH244" i="1"/>
  <c r="AI244" i="1"/>
  <c r="AX244" i="1" s="1"/>
  <c r="AH245" i="1"/>
  <c r="AI245" i="1"/>
  <c r="AH246" i="1"/>
  <c r="AI246" i="1"/>
  <c r="AH247" i="1"/>
  <c r="AI247" i="1"/>
  <c r="AH248" i="1"/>
  <c r="AI248" i="1"/>
  <c r="AH249" i="1"/>
  <c r="AI249" i="1"/>
  <c r="AH250" i="1"/>
  <c r="AI250" i="1"/>
  <c r="AH251" i="1"/>
  <c r="AI251" i="1"/>
  <c r="AH252" i="1"/>
  <c r="AI252" i="1"/>
  <c r="AH253" i="1"/>
  <c r="AI253" i="1"/>
  <c r="AH254" i="1"/>
  <c r="AI254" i="1"/>
  <c r="AH255" i="1"/>
  <c r="AI255" i="1"/>
  <c r="AH256" i="1"/>
  <c r="AI256" i="1"/>
  <c r="AX256" i="1" s="1"/>
  <c r="AH257" i="1"/>
  <c r="AI257" i="1"/>
  <c r="AH258" i="1"/>
  <c r="AI258" i="1"/>
  <c r="AH259" i="1"/>
  <c r="AI259" i="1"/>
  <c r="AH260" i="1"/>
  <c r="AI260" i="1"/>
  <c r="AH261" i="1"/>
  <c r="AI261" i="1"/>
  <c r="AH262" i="1"/>
  <c r="AI262" i="1"/>
  <c r="AX262" i="1" s="1"/>
  <c r="AH263" i="1"/>
  <c r="AI263" i="1"/>
  <c r="AH264" i="1"/>
  <c r="AI264" i="1"/>
  <c r="AH265" i="1"/>
  <c r="AI265" i="1"/>
  <c r="AH266" i="1"/>
  <c r="AI266" i="1"/>
  <c r="AH267" i="1"/>
  <c r="AI267" i="1"/>
  <c r="AH268" i="1"/>
  <c r="AI268" i="1"/>
  <c r="AX268" i="1" s="1"/>
  <c r="AH269" i="1"/>
  <c r="AI269" i="1"/>
  <c r="AH270" i="1"/>
  <c r="AI270" i="1"/>
  <c r="AH271" i="1"/>
  <c r="AI271" i="1"/>
  <c r="AH272" i="1"/>
  <c r="AI272" i="1"/>
  <c r="AH273" i="1"/>
  <c r="AI273" i="1"/>
  <c r="AH274" i="1"/>
  <c r="AI274" i="1"/>
  <c r="AX274" i="1" s="1"/>
  <c r="AH275" i="1"/>
  <c r="AI275" i="1"/>
  <c r="AH276" i="1"/>
  <c r="AI276" i="1"/>
  <c r="AH277" i="1"/>
  <c r="AI277" i="1"/>
  <c r="AH278" i="1"/>
  <c r="AI278" i="1"/>
  <c r="AH279" i="1"/>
  <c r="AI279" i="1"/>
  <c r="AH280" i="1"/>
  <c r="AI280" i="1"/>
  <c r="AX280" i="1" s="1"/>
  <c r="AH281" i="1"/>
  <c r="AI281" i="1"/>
  <c r="AH282" i="1"/>
  <c r="AI282" i="1"/>
  <c r="AH283" i="1"/>
  <c r="AI283" i="1"/>
  <c r="AH284" i="1"/>
  <c r="AI284" i="1"/>
  <c r="AH285" i="1"/>
  <c r="AI285" i="1"/>
  <c r="AH286" i="1"/>
  <c r="AI286" i="1"/>
  <c r="AX286" i="1" s="1"/>
  <c r="AH287" i="1"/>
  <c r="AI287" i="1"/>
  <c r="AH288" i="1"/>
  <c r="AI288" i="1"/>
  <c r="AH289" i="1"/>
  <c r="AI289" i="1"/>
  <c r="AH290" i="1"/>
  <c r="AI290" i="1"/>
  <c r="AH291" i="1"/>
  <c r="AI291" i="1"/>
  <c r="AH292" i="1"/>
  <c r="AI292" i="1"/>
  <c r="AX292" i="1" s="1"/>
  <c r="AH293" i="1"/>
  <c r="AI293" i="1"/>
  <c r="AH294" i="1"/>
  <c r="AI294" i="1"/>
  <c r="AH295" i="1"/>
  <c r="AI295" i="1"/>
  <c r="AH296" i="1"/>
  <c r="AI296" i="1"/>
  <c r="AH297" i="1"/>
  <c r="AI297" i="1"/>
  <c r="AH298" i="1"/>
  <c r="AI298" i="1"/>
  <c r="AH299" i="1"/>
  <c r="AI299" i="1"/>
  <c r="O11" i="1"/>
  <c r="O10" i="1"/>
  <c r="O9" i="1"/>
  <c r="O8" i="1"/>
  <c r="O5" i="1"/>
  <c r="O6" i="1"/>
  <c r="O7" i="1"/>
  <c r="O4" i="1"/>
  <c r="AI4" i="1"/>
  <c r="AH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T59" i="1" s="1"/>
  <c r="AE60" i="1"/>
  <c r="AE61" i="1"/>
  <c r="AT61" i="1" s="1"/>
  <c r="AE62" i="1"/>
  <c r="AT62" i="1" s="1"/>
  <c r="AE63" i="1"/>
  <c r="AE64" i="1"/>
  <c r="AE65" i="1"/>
  <c r="AE66" i="1"/>
  <c r="AE67" i="1"/>
  <c r="AE68" i="1"/>
  <c r="AE69" i="1"/>
  <c r="AE70" i="1"/>
  <c r="AE71" i="1"/>
  <c r="AT71" i="1" s="1"/>
  <c r="AE72" i="1"/>
  <c r="AE73" i="1"/>
  <c r="AT73" i="1" s="1"/>
  <c r="AE74" i="1"/>
  <c r="AT74" i="1" s="1"/>
  <c r="AE75" i="1"/>
  <c r="AE76" i="1"/>
  <c r="AE77" i="1"/>
  <c r="AT77" i="1" s="1"/>
  <c r="AE78" i="1"/>
  <c r="AE79" i="1"/>
  <c r="AE80" i="1"/>
  <c r="AE81" i="1"/>
  <c r="AE82" i="1"/>
  <c r="AE83" i="1"/>
  <c r="AT83" i="1" s="1"/>
  <c r="AE84" i="1"/>
  <c r="AE85" i="1"/>
  <c r="AT85" i="1" s="1"/>
  <c r="AE86" i="1"/>
  <c r="AT86" i="1" s="1"/>
  <c r="AE87" i="1"/>
  <c r="AE88" i="1"/>
  <c r="AE89" i="1"/>
  <c r="AE90" i="1"/>
  <c r="AE91" i="1"/>
  <c r="AE92" i="1"/>
  <c r="AE93" i="1"/>
  <c r="AE94" i="1"/>
  <c r="AE95" i="1"/>
  <c r="AT95" i="1" s="1"/>
  <c r="AE96" i="1"/>
  <c r="AE97" i="1"/>
  <c r="AT97" i="1" s="1"/>
  <c r="AE98" i="1"/>
  <c r="AT98" i="1" s="1"/>
  <c r="AE99" i="1"/>
  <c r="AE100" i="1"/>
  <c r="AE101" i="1"/>
  <c r="AE102" i="1"/>
  <c r="AE103" i="1"/>
  <c r="AE104" i="1"/>
  <c r="AE105" i="1"/>
  <c r="AE106" i="1"/>
  <c r="AE107" i="1"/>
  <c r="AT107" i="1" s="1"/>
  <c r="AE108" i="1"/>
  <c r="AE109" i="1"/>
  <c r="AT109" i="1" s="1"/>
  <c r="AE110" i="1"/>
  <c r="AT110" i="1" s="1"/>
  <c r="AE111" i="1"/>
  <c r="AE112" i="1"/>
  <c r="AE113" i="1"/>
  <c r="AE114" i="1"/>
  <c r="AE115" i="1"/>
  <c r="AE116" i="1"/>
  <c r="AE117" i="1"/>
  <c r="AE118" i="1"/>
  <c r="AE119" i="1"/>
  <c r="AT119" i="1" s="1"/>
  <c r="AE120" i="1"/>
  <c r="AE121" i="1"/>
  <c r="AE122" i="1"/>
  <c r="AT122" i="1" s="1"/>
  <c r="AE123" i="1"/>
  <c r="AE124" i="1"/>
  <c r="AE125" i="1"/>
  <c r="AE126" i="1"/>
  <c r="AE127" i="1"/>
  <c r="AE128" i="1"/>
  <c r="AE129" i="1"/>
  <c r="AT129" i="1" s="1"/>
  <c r="AE130" i="1"/>
  <c r="AE131" i="1"/>
  <c r="AT131" i="1" s="1"/>
  <c r="AE132" i="1"/>
  <c r="AE133" i="1"/>
  <c r="AT133" i="1" s="1"/>
  <c r="AE134" i="1"/>
  <c r="AT134" i="1" s="1"/>
  <c r="AE135" i="1"/>
  <c r="AE136" i="1"/>
  <c r="AE137" i="1"/>
  <c r="AE138" i="1"/>
  <c r="AE139" i="1"/>
  <c r="AE140" i="1"/>
  <c r="AE141" i="1"/>
  <c r="AT141" i="1" s="1"/>
  <c r="AE142" i="1"/>
  <c r="AE143" i="1"/>
  <c r="AT143" i="1" s="1"/>
  <c r="AE144" i="1"/>
  <c r="AE145" i="1"/>
  <c r="AT145" i="1" s="1"/>
  <c r="AE146" i="1"/>
  <c r="AT146" i="1" s="1"/>
  <c r="AE147" i="1"/>
  <c r="AE148" i="1"/>
  <c r="AE149" i="1"/>
  <c r="AE150" i="1"/>
  <c r="AE151" i="1"/>
  <c r="AE152" i="1"/>
  <c r="AE153" i="1"/>
  <c r="AT153" i="1" s="1"/>
  <c r="AE154" i="1"/>
  <c r="AE155" i="1"/>
  <c r="AT155" i="1" s="1"/>
  <c r="AE156" i="1"/>
  <c r="AE157" i="1"/>
  <c r="AT157" i="1" s="1"/>
  <c r="AE158" i="1"/>
  <c r="AT158" i="1" s="1"/>
  <c r="AE159" i="1"/>
  <c r="AE160" i="1"/>
  <c r="AE161" i="1"/>
  <c r="AE162" i="1"/>
  <c r="AE163" i="1"/>
  <c r="AE164" i="1"/>
  <c r="AE165" i="1"/>
  <c r="AT165" i="1" s="1"/>
  <c r="AE166" i="1"/>
  <c r="AE167" i="1"/>
  <c r="AT167" i="1" s="1"/>
  <c r="AE168" i="1"/>
  <c r="AE169" i="1"/>
  <c r="AT169" i="1" s="1"/>
  <c r="AE170" i="1"/>
  <c r="AT170" i="1" s="1"/>
  <c r="AE171" i="1"/>
  <c r="AE172" i="1"/>
  <c r="AE173" i="1"/>
  <c r="AE174" i="1"/>
  <c r="AE175" i="1"/>
  <c r="AE176" i="1"/>
  <c r="AE177" i="1"/>
  <c r="AT177" i="1" s="1"/>
  <c r="AE178" i="1"/>
  <c r="AE179" i="1"/>
  <c r="AE180" i="1"/>
  <c r="AE181" i="1"/>
  <c r="AT181" i="1" s="1"/>
  <c r="AE182" i="1"/>
  <c r="AT182" i="1" s="1"/>
  <c r="AE183" i="1"/>
  <c r="AE184" i="1"/>
  <c r="AE185" i="1"/>
  <c r="AE186" i="1"/>
  <c r="AE187" i="1"/>
  <c r="AE188" i="1"/>
  <c r="AE189" i="1"/>
  <c r="AT189" i="1" s="1"/>
  <c r="AE190" i="1"/>
  <c r="AE191" i="1"/>
  <c r="AT191" i="1" s="1"/>
  <c r="AE192" i="1"/>
  <c r="AE193" i="1"/>
  <c r="AT193" i="1" s="1"/>
  <c r="AE194" i="1"/>
  <c r="AT194" i="1" s="1"/>
  <c r="AE195" i="1"/>
  <c r="AE196" i="1"/>
  <c r="AE197" i="1"/>
  <c r="AE198" i="1"/>
  <c r="AE199" i="1"/>
  <c r="AE200" i="1"/>
  <c r="AE201" i="1"/>
  <c r="AT201" i="1" s="1"/>
  <c r="AE202" i="1"/>
  <c r="AE203" i="1"/>
  <c r="AT203" i="1" s="1"/>
  <c r="AE204" i="1"/>
  <c r="AE205" i="1"/>
  <c r="AT205" i="1" s="1"/>
  <c r="AE206" i="1"/>
  <c r="AT206" i="1" s="1"/>
  <c r="AE207" i="1"/>
  <c r="AE208" i="1"/>
  <c r="AE209" i="1"/>
  <c r="AE210" i="1"/>
  <c r="AE211" i="1"/>
  <c r="AE212" i="1"/>
  <c r="AE213" i="1"/>
  <c r="AT213" i="1" s="1"/>
  <c r="AE214" i="1"/>
  <c r="AE215" i="1"/>
  <c r="AT215" i="1" s="1"/>
  <c r="AE216" i="1"/>
  <c r="AE217" i="1"/>
  <c r="AT217" i="1" s="1"/>
  <c r="AE218" i="1"/>
  <c r="AT218" i="1" s="1"/>
  <c r="AE219" i="1"/>
  <c r="AE220" i="1"/>
  <c r="AE221" i="1"/>
  <c r="AE222" i="1"/>
  <c r="AE223" i="1"/>
  <c r="AE224" i="1"/>
  <c r="AE225" i="1"/>
  <c r="AT225" i="1" s="1"/>
  <c r="AE226" i="1"/>
  <c r="AE227" i="1"/>
  <c r="AT227" i="1" s="1"/>
  <c r="AE228" i="1"/>
  <c r="AE229" i="1"/>
  <c r="AT229" i="1" s="1"/>
  <c r="AE230" i="1"/>
  <c r="AT230" i="1" s="1"/>
  <c r="AE231" i="1"/>
  <c r="AE232" i="1"/>
  <c r="AE233" i="1"/>
  <c r="AE234" i="1"/>
  <c r="AE235" i="1"/>
  <c r="AE236" i="1"/>
  <c r="AE237" i="1"/>
  <c r="AT237" i="1" s="1"/>
  <c r="AE238" i="1"/>
  <c r="AE239" i="1"/>
  <c r="AT239" i="1" s="1"/>
  <c r="AE240" i="1"/>
  <c r="AE241" i="1"/>
  <c r="AE242" i="1"/>
  <c r="AT242" i="1" s="1"/>
  <c r="AE243" i="1"/>
  <c r="AE244" i="1"/>
  <c r="AE245" i="1"/>
  <c r="AE246" i="1"/>
  <c r="AE247" i="1"/>
  <c r="AE248" i="1"/>
  <c r="AE249" i="1"/>
  <c r="AT249" i="1" s="1"/>
  <c r="AE250" i="1"/>
  <c r="AE251" i="1"/>
  <c r="AT251" i="1" s="1"/>
  <c r="AE252" i="1"/>
  <c r="AE253" i="1"/>
  <c r="AT253" i="1" s="1"/>
  <c r="AE254" i="1"/>
  <c r="AT254" i="1" s="1"/>
  <c r="AE255" i="1"/>
  <c r="AE256" i="1"/>
  <c r="AE257" i="1"/>
  <c r="AE258" i="1"/>
  <c r="AE259" i="1"/>
  <c r="AE260" i="1"/>
  <c r="AE261" i="1"/>
  <c r="AT261" i="1" s="1"/>
  <c r="AE262" i="1"/>
  <c r="AE263" i="1"/>
  <c r="AT263" i="1" s="1"/>
  <c r="AE264" i="1"/>
  <c r="AE265" i="1"/>
  <c r="AE266" i="1"/>
  <c r="AT266" i="1" s="1"/>
  <c r="AE267" i="1"/>
  <c r="AE268" i="1"/>
  <c r="AE269" i="1"/>
  <c r="AE270" i="1"/>
  <c r="AE271" i="1"/>
  <c r="AE272" i="1"/>
  <c r="AE273" i="1"/>
  <c r="AT273" i="1" s="1"/>
  <c r="AE274" i="1"/>
  <c r="AE275" i="1"/>
  <c r="AT275" i="1" s="1"/>
  <c r="AE276" i="1"/>
  <c r="AE277" i="1"/>
  <c r="AT277" i="1" s="1"/>
  <c r="AE278" i="1"/>
  <c r="AE279" i="1"/>
  <c r="AE280" i="1"/>
  <c r="AE281" i="1"/>
  <c r="AE282" i="1"/>
  <c r="AE283" i="1"/>
  <c r="AE284" i="1"/>
  <c r="AE285" i="1"/>
  <c r="AT285" i="1" s="1"/>
  <c r="AE286" i="1"/>
  <c r="AE287" i="1"/>
  <c r="AT287" i="1" s="1"/>
  <c r="AE288" i="1"/>
  <c r="AE289" i="1"/>
  <c r="AT289" i="1" s="1"/>
  <c r="AE290" i="1"/>
  <c r="AE291" i="1"/>
  <c r="AE292" i="1"/>
  <c r="AE293" i="1"/>
  <c r="AE294" i="1"/>
  <c r="AE295" i="1"/>
  <c r="AE296" i="1"/>
  <c r="AE297" i="1"/>
  <c r="AT297" i="1" s="1"/>
  <c r="AE298" i="1"/>
  <c r="AE299" i="1"/>
  <c r="AE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U54" i="1" s="1"/>
  <c r="AF55" i="1"/>
  <c r="AF56" i="1"/>
  <c r="AU56" i="1" s="1"/>
  <c r="AF57" i="1"/>
  <c r="AU57" i="1" s="1"/>
  <c r="AF58" i="1"/>
  <c r="AF59" i="1"/>
  <c r="AF60" i="1"/>
  <c r="AU60" i="1" s="1"/>
  <c r="AF61" i="1"/>
  <c r="AU61" i="1" s="1"/>
  <c r="AF62" i="1"/>
  <c r="AU62" i="1" s="1"/>
  <c r="AF63" i="1"/>
  <c r="AU63" i="1" s="1"/>
  <c r="AF64" i="1"/>
  <c r="AU64" i="1" s="1"/>
  <c r="AF65" i="1"/>
  <c r="AU65" i="1" s="1"/>
  <c r="AF66" i="1"/>
  <c r="AU66" i="1" s="1"/>
  <c r="AF67" i="1"/>
  <c r="AU67" i="1" s="1"/>
  <c r="AF68" i="1"/>
  <c r="AF69" i="1"/>
  <c r="AU69" i="1" s="1"/>
  <c r="AF70" i="1"/>
  <c r="AF71" i="1"/>
  <c r="AF72" i="1"/>
  <c r="AU72" i="1" s="1"/>
  <c r="AF73" i="1"/>
  <c r="AU73" i="1" s="1"/>
  <c r="AF74" i="1"/>
  <c r="AU74" i="1" s="1"/>
  <c r="AF75" i="1"/>
  <c r="AU75" i="1" s="1"/>
  <c r="AF76" i="1"/>
  <c r="AU76" i="1" s="1"/>
  <c r="AF77" i="1"/>
  <c r="AU77" i="1" s="1"/>
  <c r="AF78" i="1"/>
  <c r="AU78" i="1" s="1"/>
  <c r="AF79" i="1"/>
  <c r="AF80" i="1"/>
  <c r="AF81" i="1"/>
  <c r="AU81" i="1" s="1"/>
  <c r="AF82" i="1"/>
  <c r="AF83" i="1"/>
  <c r="AF84" i="1"/>
  <c r="AU84" i="1" s="1"/>
  <c r="AF85" i="1"/>
  <c r="AU85" i="1" s="1"/>
  <c r="AF86" i="1"/>
  <c r="AU86" i="1" s="1"/>
  <c r="AF87" i="1"/>
  <c r="AU87" i="1" s="1"/>
  <c r="AF88" i="1"/>
  <c r="AU88" i="1" s="1"/>
  <c r="AF89" i="1"/>
  <c r="AU89" i="1" s="1"/>
  <c r="AF90" i="1"/>
  <c r="AU90" i="1" s="1"/>
  <c r="AF91" i="1"/>
  <c r="AF92" i="1"/>
  <c r="AF93" i="1"/>
  <c r="AU93" i="1" s="1"/>
  <c r="AF94" i="1"/>
  <c r="AF95" i="1"/>
  <c r="AF96" i="1"/>
  <c r="AU96" i="1" s="1"/>
  <c r="AF97" i="1"/>
  <c r="AF98" i="1"/>
  <c r="AU98" i="1" s="1"/>
  <c r="AF99" i="1"/>
  <c r="AU99" i="1" s="1"/>
  <c r="AF100" i="1"/>
  <c r="AU100" i="1" s="1"/>
  <c r="AF101" i="1"/>
  <c r="AU101" i="1" s="1"/>
  <c r="AF102" i="1"/>
  <c r="AU102" i="1" s="1"/>
  <c r="AF103" i="1"/>
  <c r="AF104" i="1"/>
  <c r="AF105" i="1"/>
  <c r="AU105" i="1" s="1"/>
  <c r="AF106" i="1"/>
  <c r="AF107" i="1"/>
  <c r="AF108" i="1"/>
  <c r="AU108" i="1" s="1"/>
  <c r="AF109" i="1"/>
  <c r="AF110" i="1"/>
  <c r="AU110" i="1" s="1"/>
  <c r="AF111" i="1"/>
  <c r="AU111" i="1" s="1"/>
  <c r="AF112" i="1"/>
  <c r="AU112" i="1" s="1"/>
  <c r="AF113" i="1"/>
  <c r="AU113" i="1" s="1"/>
  <c r="AF114" i="1"/>
  <c r="AU114" i="1" s="1"/>
  <c r="AF115" i="1"/>
  <c r="AF116" i="1"/>
  <c r="AF117" i="1"/>
  <c r="AU117" i="1" s="1"/>
  <c r="AF118" i="1"/>
  <c r="AF119" i="1"/>
  <c r="AF120" i="1"/>
  <c r="AU120" i="1" s="1"/>
  <c r="AF121" i="1"/>
  <c r="AF122" i="1"/>
  <c r="AU122" i="1" s="1"/>
  <c r="AF123" i="1"/>
  <c r="AU123" i="1" s="1"/>
  <c r="AF124" i="1"/>
  <c r="AU124" i="1" s="1"/>
  <c r="AF125" i="1"/>
  <c r="AU125" i="1" s="1"/>
  <c r="AF126" i="1"/>
  <c r="AU126" i="1" s="1"/>
  <c r="AF127" i="1"/>
  <c r="AF128" i="1"/>
  <c r="AF129" i="1"/>
  <c r="AF130" i="1"/>
  <c r="AF131" i="1"/>
  <c r="AF132" i="1"/>
  <c r="AU132" i="1" s="1"/>
  <c r="AF133" i="1"/>
  <c r="AF134" i="1"/>
  <c r="AU134" i="1" s="1"/>
  <c r="AF135" i="1"/>
  <c r="AU135" i="1" s="1"/>
  <c r="AF136" i="1"/>
  <c r="AU136" i="1" s="1"/>
  <c r="AF137" i="1"/>
  <c r="AU137" i="1" s="1"/>
  <c r="AF138" i="1"/>
  <c r="AU138" i="1" s="1"/>
  <c r="AF139" i="1"/>
  <c r="AF140" i="1"/>
  <c r="AF141" i="1"/>
  <c r="AF142" i="1"/>
  <c r="AF143" i="1"/>
  <c r="AF144" i="1"/>
  <c r="AU144" i="1" s="1"/>
  <c r="AF145" i="1"/>
  <c r="AF146" i="1"/>
  <c r="AU146" i="1" s="1"/>
  <c r="AF147" i="1"/>
  <c r="AU147" i="1" s="1"/>
  <c r="AF148" i="1"/>
  <c r="AU148" i="1" s="1"/>
  <c r="AF149" i="1"/>
  <c r="AU149" i="1" s="1"/>
  <c r="AF150" i="1"/>
  <c r="AU150" i="1" s="1"/>
  <c r="AF151" i="1"/>
  <c r="AF152" i="1"/>
  <c r="AF153" i="1"/>
  <c r="AF154" i="1"/>
  <c r="AF155" i="1"/>
  <c r="AF156" i="1"/>
  <c r="AU156" i="1" s="1"/>
  <c r="AF157" i="1"/>
  <c r="AF158" i="1"/>
  <c r="AU158" i="1" s="1"/>
  <c r="AF159" i="1"/>
  <c r="AU159" i="1" s="1"/>
  <c r="AF160" i="1"/>
  <c r="AU160" i="1" s="1"/>
  <c r="AF161" i="1"/>
  <c r="AU161" i="1" s="1"/>
  <c r="AF162" i="1"/>
  <c r="AU162" i="1" s="1"/>
  <c r="AF163" i="1"/>
  <c r="AF164" i="1"/>
  <c r="AF165" i="1"/>
  <c r="AF166" i="1"/>
  <c r="AF167" i="1"/>
  <c r="AF168" i="1"/>
  <c r="AU168" i="1" s="1"/>
  <c r="AF169" i="1"/>
  <c r="AF170" i="1"/>
  <c r="AU170" i="1" s="1"/>
  <c r="AF171" i="1"/>
  <c r="AU171" i="1" s="1"/>
  <c r="AF172" i="1"/>
  <c r="AU172" i="1" s="1"/>
  <c r="AF173" i="1"/>
  <c r="AF174" i="1"/>
  <c r="AU174" i="1" s="1"/>
  <c r="AF175" i="1"/>
  <c r="AF176" i="1"/>
  <c r="AF177" i="1"/>
  <c r="AF178" i="1"/>
  <c r="AF179" i="1"/>
  <c r="AF180" i="1"/>
  <c r="AU180" i="1" s="1"/>
  <c r="AF181" i="1"/>
  <c r="AF182" i="1"/>
  <c r="AU182" i="1" s="1"/>
  <c r="AF183" i="1"/>
  <c r="AU183" i="1" s="1"/>
  <c r="AF184" i="1"/>
  <c r="AU184" i="1" s="1"/>
  <c r="AF185" i="1"/>
  <c r="AU185" i="1" s="1"/>
  <c r="AF186" i="1"/>
  <c r="AU186" i="1" s="1"/>
  <c r="AF187" i="1"/>
  <c r="AF188" i="1"/>
  <c r="AF189" i="1"/>
  <c r="AF190" i="1"/>
  <c r="AF191" i="1"/>
  <c r="AF192" i="1"/>
  <c r="AU192" i="1" s="1"/>
  <c r="AF193" i="1"/>
  <c r="AF194" i="1"/>
  <c r="AU194" i="1" s="1"/>
  <c r="AF195" i="1"/>
  <c r="AU195" i="1" s="1"/>
  <c r="AF196" i="1"/>
  <c r="AU196" i="1" s="1"/>
  <c r="AF197" i="1"/>
  <c r="AF198" i="1"/>
  <c r="AU198" i="1" s="1"/>
  <c r="AF199" i="1"/>
  <c r="AF200" i="1"/>
  <c r="AF201" i="1"/>
  <c r="AF202" i="1"/>
  <c r="AF203" i="1"/>
  <c r="AF204" i="1"/>
  <c r="AU204" i="1" s="1"/>
  <c r="AF205" i="1"/>
  <c r="AF206" i="1"/>
  <c r="AU206" i="1" s="1"/>
  <c r="AF207" i="1"/>
  <c r="AU207" i="1" s="1"/>
  <c r="AF208" i="1"/>
  <c r="AU208" i="1" s="1"/>
  <c r="AF209" i="1"/>
  <c r="AU209" i="1" s="1"/>
  <c r="AF210" i="1"/>
  <c r="AU210" i="1" s="1"/>
  <c r="AF211" i="1"/>
  <c r="AF212" i="1"/>
  <c r="AF213" i="1"/>
  <c r="AF214" i="1"/>
  <c r="AF215" i="1"/>
  <c r="AF216" i="1"/>
  <c r="AU216" i="1" s="1"/>
  <c r="AF217" i="1"/>
  <c r="AF218" i="1"/>
  <c r="AU218" i="1" s="1"/>
  <c r="AF219" i="1"/>
  <c r="AU219" i="1" s="1"/>
  <c r="AF220" i="1"/>
  <c r="AU220" i="1" s="1"/>
  <c r="AF221" i="1"/>
  <c r="AU221" i="1" s="1"/>
  <c r="AF222" i="1"/>
  <c r="AU222" i="1" s="1"/>
  <c r="AF223" i="1"/>
  <c r="AF224" i="1"/>
  <c r="AF225" i="1"/>
  <c r="AF226" i="1"/>
  <c r="AF227" i="1"/>
  <c r="AF228" i="1"/>
  <c r="AU228" i="1" s="1"/>
  <c r="AF229" i="1"/>
  <c r="AF230" i="1"/>
  <c r="AU230" i="1" s="1"/>
  <c r="AF231" i="1"/>
  <c r="AU231" i="1" s="1"/>
  <c r="AF232" i="1"/>
  <c r="AU232" i="1" s="1"/>
  <c r="AF233" i="1"/>
  <c r="AU233" i="1" s="1"/>
  <c r="AF234" i="1"/>
  <c r="AU234" i="1" s="1"/>
  <c r="AF235" i="1"/>
  <c r="AF236" i="1"/>
  <c r="AF237" i="1"/>
  <c r="AF238" i="1"/>
  <c r="AF239" i="1"/>
  <c r="AF240" i="1"/>
  <c r="AU240" i="1" s="1"/>
  <c r="AF241" i="1"/>
  <c r="AF242" i="1"/>
  <c r="AU242" i="1" s="1"/>
  <c r="AF243" i="1"/>
  <c r="AU243" i="1" s="1"/>
  <c r="AF244" i="1"/>
  <c r="AU244" i="1" s="1"/>
  <c r="AF245" i="1"/>
  <c r="AU245" i="1" s="1"/>
  <c r="AF246" i="1"/>
  <c r="AU246" i="1" s="1"/>
  <c r="AF247" i="1"/>
  <c r="AF248" i="1"/>
  <c r="AF249" i="1"/>
  <c r="AF250" i="1"/>
  <c r="AF251" i="1"/>
  <c r="AF252" i="1"/>
  <c r="AU252" i="1" s="1"/>
  <c r="AF253" i="1"/>
  <c r="AF254" i="1"/>
  <c r="AU254" i="1" s="1"/>
  <c r="AF255" i="1"/>
  <c r="AU255" i="1" s="1"/>
  <c r="AF256" i="1"/>
  <c r="AU256" i="1" s="1"/>
  <c r="AF257" i="1"/>
  <c r="AU257" i="1" s="1"/>
  <c r="AF258" i="1"/>
  <c r="AU258" i="1" s="1"/>
  <c r="AF259" i="1"/>
  <c r="AF260" i="1"/>
  <c r="AF261" i="1"/>
  <c r="AF262" i="1"/>
  <c r="AF263" i="1"/>
  <c r="AF264" i="1"/>
  <c r="AU264" i="1" s="1"/>
  <c r="AF265" i="1"/>
  <c r="AF266" i="1"/>
  <c r="AU266" i="1" s="1"/>
  <c r="AF267" i="1"/>
  <c r="AU267" i="1" s="1"/>
  <c r="AF268" i="1"/>
  <c r="AU268" i="1" s="1"/>
  <c r="AF269" i="1"/>
  <c r="AU269" i="1" s="1"/>
  <c r="AF270" i="1"/>
  <c r="AU270" i="1" s="1"/>
  <c r="AF271" i="1"/>
  <c r="AF272" i="1"/>
  <c r="AF273" i="1"/>
  <c r="AF274" i="1"/>
  <c r="AF275" i="1"/>
  <c r="AF276" i="1"/>
  <c r="AU276" i="1" s="1"/>
  <c r="AF277" i="1"/>
  <c r="AF278" i="1"/>
  <c r="AU278" i="1" s="1"/>
  <c r="AF279" i="1"/>
  <c r="AU279" i="1" s="1"/>
  <c r="AF280" i="1"/>
  <c r="AU280" i="1" s="1"/>
  <c r="AF281" i="1"/>
  <c r="AF282" i="1"/>
  <c r="AU282" i="1" s="1"/>
  <c r="AF283" i="1"/>
  <c r="AF284" i="1"/>
  <c r="AF285" i="1"/>
  <c r="AF286" i="1"/>
  <c r="AF287" i="1"/>
  <c r="AF288" i="1"/>
  <c r="AU288" i="1" s="1"/>
  <c r="AF289" i="1"/>
  <c r="AF290" i="1"/>
  <c r="AU290" i="1" s="1"/>
  <c r="AF291" i="1"/>
  <c r="AU291" i="1" s="1"/>
  <c r="AF292" i="1"/>
  <c r="AU292" i="1" s="1"/>
  <c r="AF293" i="1"/>
  <c r="AU293" i="1" s="1"/>
  <c r="AF294" i="1"/>
  <c r="AU294" i="1" s="1"/>
  <c r="AF295" i="1"/>
  <c r="AF296" i="1"/>
  <c r="AF297" i="1"/>
  <c r="AF298" i="1"/>
  <c r="AF299" i="1"/>
  <c r="AF4" i="1"/>
  <c r="Z54" i="1"/>
  <c r="AO54" i="1" s="1"/>
  <c r="AA54" i="1"/>
  <c r="AP54" i="1" s="1"/>
  <c r="AQ54" i="1"/>
  <c r="AC54" i="1"/>
  <c r="AR54" i="1" s="1"/>
  <c r="AD54" i="1"/>
  <c r="AS54" i="1" s="1"/>
  <c r="AT54" i="1"/>
  <c r="AN54" i="1"/>
  <c r="AV54" i="1"/>
  <c r="AW54" i="1"/>
  <c r="AX54" i="1"/>
  <c r="Z55" i="1"/>
  <c r="AO55" i="1" s="1"/>
  <c r="AA55" i="1"/>
  <c r="AY55" i="1" s="1"/>
  <c r="AQ55" i="1"/>
  <c r="AC55" i="1"/>
  <c r="AR55" i="1" s="1"/>
  <c r="AD55" i="1"/>
  <c r="AS55" i="1" s="1"/>
  <c r="AT55" i="1"/>
  <c r="AN55" i="1"/>
  <c r="AU55" i="1"/>
  <c r="AV55" i="1"/>
  <c r="AW55" i="1"/>
  <c r="AX55" i="1"/>
  <c r="Z56" i="1"/>
  <c r="AO56" i="1" s="1"/>
  <c r="AA56" i="1"/>
  <c r="AP56" i="1" s="1"/>
  <c r="AQ56" i="1"/>
  <c r="AC56" i="1"/>
  <c r="AR56" i="1" s="1"/>
  <c r="AD56" i="1"/>
  <c r="AS56" i="1" s="1"/>
  <c r="AT56" i="1"/>
  <c r="AN56" i="1"/>
  <c r="AV56" i="1"/>
  <c r="AW56" i="1"/>
  <c r="AX56" i="1"/>
  <c r="Z57" i="1"/>
  <c r="AO57" i="1" s="1"/>
  <c r="AA57" i="1"/>
  <c r="AY57" i="1" s="1"/>
  <c r="AQ57" i="1"/>
  <c r="AC57" i="1"/>
  <c r="AR57" i="1" s="1"/>
  <c r="AD57" i="1"/>
  <c r="AS57" i="1" s="1"/>
  <c r="AT57" i="1"/>
  <c r="AN57" i="1"/>
  <c r="AV57" i="1"/>
  <c r="AW57" i="1"/>
  <c r="AX57" i="1"/>
  <c r="Z58" i="1"/>
  <c r="AO58" i="1" s="1"/>
  <c r="AA58" i="1"/>
  <c r="AP58" i="1" s="1"/>
  <c r="AQ58" i="1"/>
  <c r="AC58" i="1"/>
  <c r="AR58" i="1" s="1"/>
  <c r="AD58" i="1"/>
  <c r="AS58" i="1" s="1"/>
  <c r="AT58" i="1"/>
  <c r="AN58" i="1"/>
  <c r="AU58" i="1"/>
  <c r="AV58" i="1"/>
  <c r="AW58" i="1"/>
  <c r="Z59" i="1"/>
  <c r="AO59" i="1" s="1"/>
  <c r="AA59" i="1"/>
  <c r="AY59" i="1" s="1"/>
  <c r="AQ59" i="1"/>
  <c r="AC59" i="1"/>
  <c r="AR59" i="1" s="1"/>
  <c r="AD59" i="1"/>
  <c r="AS59" i="1" s="1"/>
  <c r="AN59" i="1"/>
  <c r="AU59" i="1"/>
  <c r="AV59" i="1"/>
  <c r="AW59" i="1"/>
  <c r="AX59" i="1"/>
  <c r="Z60" i="1"/>
  <c r="AO60" i="1" s="1"/>
  <c r="AA60" i="1"/>
  <c r="AP60" i="1" s="1"/>
  <c r="AC60" i="1"/>
  <c r="AR60" i="1" s="1"/>
  <c r="AD60" i="1"/>
  <c r="AS60" i="1" s="1"/>
  <c r="AT60" i="1"/>
  <c r="AN60" i="1"/>
  <c r="AV60" i="1"/>
  <c r="AW60" i="1"/>
  <c r="AX60" i="1"/>
  <c r="Z61" i="1"/>
  <c r="AO61" i="1" s="1"/>
  <c r="AA61" i="1"/>
  <c r="AP61" i="1" s="1"/>
  <c r="AQ61" i="1"/>
  <c r="AC61" i="1"/>
  <c r="AR61" i="1" s="1"/>
  <c r="AD61" i="1"/>
  <c r="AS61" i="1" s="1"/>
  <c r="AN61" i="1"/>
  <c r="AV61" i="1"/>
  <c r="AW61" i="1"/>
  <c r="AX61" i="1"/>
  <c r="Z62" i="1"/>
  <c r="AO62" i="1" s="1"/>
  <c r="AA62" i="1"/>
  <c r="AY62" i="1" s="1"/>
  <c r="AQ62" i="1"/>
  <c r="AC62" i="1"/>
  <c r="AR62" i="1" s="1"/>
  <c r="AD62" i="1"/>
  <c r="AS62" i="1" s="1"/>
  <c r="AN62" i="1"/>
  <c r="AV62" i="1"/>
  <c r="AW62" i="1"/>
  <c r="AX62" i="1"/>
  <c r="Z63" i="1"/>
  <c r="AO63" i="1" s="1"/>
  <c r="AA63" i="1"/>
  <c r="AP63" i="1" s="1"/>
  <c r="AQ63" i="1"/>
  <c r="AC63" i="1"/>
  <c r="AR63" i="1" s="1"/>
  <c r="AD63" i="1"/>
  <c r="AS63" i="1" s="1"/>
  <c r="AT63" i="1"/>
  <c r="AN63" i="1"/>
  <c r="AV63" i="1"/>
  <c r="AW63" i="1"/>
  <c r="AX63" i="1"/>
  <c r="Z64" i="1"/>
  <c r="AO64" i="1" s="1"/>
  <c r="AA64" i="1"/>
  <c r="AP64" i="1" s="1"/>
  <c r="AQ64" i="1"/>
  <c r="AC64" i="1"/>
  <c r="AR64" i="1" s="1"/>
  <c r="AD64" i="1"/>
  <c r="AS64" i="1" s="1"/>
  <c r="AT64" i="1"/>
  <c r="AN64" i="1"/>
  <c r="AV64" i="1"/>
  <c r="AW64" i="1"/>
  <c r="Z65" i="1"/>
  <c r="AO65" i="1" s="1"/>
  <c r="AA65" i="1"/>
  <c r="AP65" i="1" s="1"/>
  <c r="AQ65" i="1"/>
  <c r="AC65" i="1"/>
  <c r="AR65" i="1" s="1"/>
  <c r="AD65" i="1"/>
  <c r="AS65" i="1" s="1"/>
  <c r="AT65" i="1"/>
  <c r="AN65" i="1"/>
  <c r="AV65" i="1"/>
  <c r="AW65" i="1"/>
  <c r="AX65" i="1"/>
  <c r="Z66" i="1"/>
  <c r="AO66" i="1" s="1"/>
  <c r="AA66" i="1"/>
  <c r="AY66" i="1" s="1"/>
  <c r="AQ66" i="1"/>
  <c r="AC66" i="1"/>
  <c r="AR66" i="1" s="1"/>
  <c r="AD66" i="1"/>
  <c r="AS66" i="1" s="1"/>
  <c r="AT66" i="1"/>
  <c r="AN66" i="1"/>
  <c r="AV66" i="1"/>
  <c r="AW66" i="1"/>
  <c r="AX66" i="1"/>
  <c r="Z67" i="1"/>
  <c r="AO67" i="1" s="1"/>
  <c r="AA67" i="1"/>
  <c r="AP67" i="1" s="1"/>
  <c r="AC67" i="1"/>
  <c r="AR67" i="1" s="1"/>
  <c r="AD67" i="1"/>
  <c r="AS67" i="1" s="1"/>
  <c r="AT67" i="1"/>
  <c r="AN67" i="1"/>
  <c r="AV67" i="1"/>
  <c r="AW67" i="1"/>
  <c r="AX67" i="1"/>
  <c r="Z68" i="1"/>
  <c r="AO68" i="1" s="1"/>
  <c r="AA68" i="1"/>
  <c r="AP68" i="1" s="1"/>
  <c r="AC68" i="1"/>
  <c r="AR68" i="1" s="1"/>
  <c r="AD68" i="1"/>
  <c r="AS68" i="1" s="1"/>
  <c r="AT68" i="1"/>
  <c r="AN68" i="1"/>
  <c r="AU68" i="1"/>
  <c r="AV68" i="1"/>
  <c r="AW68" i="1"/>
  <c r="AX68" i="1"/>
  <c r="Z69" i="1"/>
  <c r="AO69" i="1" s="1"/>
  <c r="AA69" i="1"/>
  <c r="AY69" i="1" s="1"/>
  <c r="AQ69" i="1"/>
  <c r="AC69" i="1"/>
  <c r="AR69" i="1" s="1"/>
  <c r="AD69" i="1"/>
  <c r="AS69" i="1" s="1"/>
  <c r="AT69" i="1"/>
  <c r="AN69" i="1"/>
  <c r="AV69" i="1"/>
  <c r="AW69" i="1"/>
  <c r="AX69" i="1"/>
  <c r="Z70" i="1"/>
  <c r="AO70" i="1" s="1"/>
  <c r="AA70" i="1"/>
  <c r="AP70" i="1" s="1"/>
  <c r="AQ70" i="1"/>
  <c r="AC70" i="1"/>
  <c r="AR70" i="1" s="1"/>
  <c r="AD70" i="1"/>
  <c r="AS70" i="1" s="1"/>
  <c r="AT70" i="1"/>
  <c r="AN70" i="1"/>
  <c r="AU70" i="1"/>
  <c r="AV70" i="1"/>
  <c r="AW70" i="1"/>
  <c r="Z71" i="1"/>
  <c r="AO71" i="1" s="1"/>
  <c r="AA71" i="1"/>
  <c r="AQ71" i="1"/>
  <c r="AC71" i="1"/>
  <c r="AR71" i="1" s="1"/>
  <c r="AD71" i="1"/>
  <c r="AS71" i="1" s="1"/>
  <c r="AN71" i="1"/>
  <c r="AU71" i="1"/>
  <c r="AV71" i="1"/>
  <c r="AW71" i="1"/>
  <c r="AX71" i="1"/>
  <c r="Z72" i="1"/>
  <c r="AO72" i="1" s="1"/>
  <c r="AA72" i="1"/>
  <c r="AY72" i="1" s="1"/>
  <c r="AQ72" i="1"/>
  <c r="AC72" i="1"/>
  <c r="AR72" i="1" s="1"/>
  <c r="AD72" i="1"/>
  <c r="AS72" i="1" s="1"/>
  <c r="AT72" i="1"/>
  <c r="AN72" i="1"/>
  <c r="AV72" i="1"/>
  <c r="AW72" i="1"/>
  <c r="AX72" i="1"/>
  <c r="Z73" i="1"/>
  <c r="AO73" i="1" s="1"/>
  <c r="AA73" i="1"/>
  <c r="AY73" i="1" s="1"/>
  <c r="AQ73" i="1"/>
  <c r="AC73" i="1"/>
  <c r="AR73" i="1" s="1"/>
  <c r="AD73" i="1"/>
  <c r="AS73" i="1" s="1"/>
  <c r="AN73" i="1"/>
  <c r="AV73" i="1"/>
  <c r="AW73" i="1"/>
  <c r="AX73" i="1"/>
  <c r="Z74" i="1"/>
  <c r="AO74" i="1" s="1"/>
  <c r="AA74" i="1"/>
  <c r="AY74" i="1" s="1"/>
  <c r="AQ74" i="1"/>
  <c r="AC74" i="1"/>
  <c r="AR74" i="1" s="1"/>
  <c r="AD74" i="1"/>
  <c r="AS74" i="1" s="1"/>
  <c r="AN74" i="1"/>
  <c r="AV74" i="1"/>
  <c r="AW74" i="1"/>
  <c r="AX74" i="1"/>
  <c r="Z75" i="1"/>
  <c r="AO75" i="1" s="1"/>
  <c r="AA75" i="1"/>
  <c r="AP75" i="1" s="1"/>
  <c r="AC75" i="1"/>
  <c r="AR75" i="1" s="1"/>
  <c r="AD75" i="1"/>
  <c r="AS75" i="1" s="1"/>
  <c r="AT75" i="1"/>
  <c r="AN75" i="1"/>
  <c r="AV75" i="1"/>
  <c r="AW75" i="1"/>
  <c r="AX75" i="1"/>
  <c r="Z76" i="1"/>
  <c r="AO76" i="1" s="1"/>
  <c r="AA76" i="1"/>
  <c r="AP76" i="1" s="1"/>
  <c r="AC76" i="1"/>
  <c r="AR76" i="1" s="1"/>
  <c r="AD76" i="1"/>
  <c r="AS76" i="1" s="1"/>
  <c r="AT76" i="1"/>
  <c r="AN76" i="1"/>
  <c r="AV76" i="1"/>
  <c r="AW76" i="1"/>
  <c r="Z77" i="1"/>
  <c r="AO77" i="1" s="1"/>
  <c r="AA77" i="1"/>
  <c r="AP77" i="1" s="1"/>
  <c r="AQ77" i="1"/>
  <c r="AC77" i="1"/>
  <c r="AR77" i="1" s="1"/>
  <c r="AD77" i="1"/>
  <c r="AS77" i="1" s="1"/>
  <c r="AN77" i="1"/>
  <c r="AV77" i="1"/>
  <c r="AW77" i="1"/>
  <c r="AX77" i="1"/>
  <c r="Z78" i="1"/>
  <c r="AO78" i="1" s="1"/>
  <c r="AA78" i="1"/>
  <c r="AP78" i="1" s="1"/>
  <c r="AQ78" i="1"/>
  <c r="AC78" i="1"/>
  <c r="AR78" i="1" s="1"/>
  <c r="AD78" i="1"/>
  <c r="AS78" i="1" s="1"/>
  <c r="AT78" i="1"/>
  <c r="AN78" i="1"/>
  <c r="AV78" i="1"/>
  <c r="AW78" i="1"/>
  <c r="AX78" i="1"/>
  <c r="Z79" i="1"/>
  <c r="AO79" i="1" s="1"/>
  <c r="AA79" i="1"/>
  <c r="AP79" i="1" s="1"/>
  <c r="AQ79" i="1"/>
  <c r="AC79" i="1"/>
  <c r="AR79" i="1" s="1"/>
  <c r="AD79" i="1"/>
  <c r="AS79" i="1" s="1"/>
  <c r="AT79" i="1"/>
  <c r="AN79" i="1"/>
  <c r="AU79" i="1"/>
  <c r="AV79" i="1"/>
  <c r="AW79" i="1"/>
  <c r="AX79" i="1"/>
  <c r="Z80" i="1"/>
  <c r="AO80" i="1" s="1"/>
  <c r="AA80" i="1"/>
  <c r="AP80" i="1" s="1"/>
  <c r="AQ80" i="1"/>
  <c r="AC80" i="1"/>
  <c r="AR80" i="1" s="1"/>
  <c r="AD80" i="1"/>
  <c r="AS80" i="1" s="1"/>
  <c r="AT80" i="1"/>
  <c r="AN80" i="1"/>
  <c r="AU80" i="1"/>
  <c r="AV80" i="1"/>
  <c r="AW80" i="1"/>
  <c r="AX80" i="1"/>
  <c r="Z81" i="1"/>
  <c r="AO81" i="1" s="1"/>
  <c r="AA81" i="1"/>
  <c r="AY81" i="1" s="1"/>
  <c r="AQ81" i="1"/>
  <c r="AC81" i="1"/>
  <c r="AR81" i="1" s="1"/>
  <c r="AD81" i="1"/>
  <c r="AS81" i="1" s="1"/>
  <c r="AT81" i="1"/>
  <c r="AN81" i="1"/>
  <c r="AV81" i="1"/>
  <c r="AW81" i="1"/>
  <c r="AX81" i="1"/>
  <c r="Z82" i="1"/>
  <c r="AO82" i="1" s="1"/>
  <c r="AA82" i="1"/>
  <c r="AP82" i="1" s="1"/>
  <c r="AQ82" i="1"/>
  <c r="AC82" i="1"/>
  <c r="AR82" i="1" s="1"/>
  <c r="AD82" i="1"/>
  <c r="AS82" i="1" s="1"/>
  <c r="AT82" i="1"/>
  <c r="AN82" i="1"/>
  <c r="AU82" i="1"/>
  <c r="AV82" i="1"/>
  <c r="AW82" i="1"/>
  <c r="Z83" i="1"/>
  <c r="AO83" i="1" s="1"/>
  <c r="AA83" i="1"/>
  <c r="AY83" i="1" s="1"/>
  <c r="AC83" i="1"/>
  <c r="AR83" i="1" s="1"/>
  <c r="AD83" i="1"/>
  <c r="AS83" i="1" s="1"/>
  <c r="AN83" i="1"/>
  <c r="AU83" i="1"/>
  <c r="AV83" i="1"/>
  <c r="AW83" i="1"/>
  <c r="AX83" i="1"/>
  <c r="Z84" i="1"/>
  <c r="AO84" i="1" s="1"/>
  <c r="AA84" i="1"/>
  <c r="AP84" i="1" s="1"/>
  <c r="AC84" i="1"/>
  <c r="AR84" i="1" s="1"/>
  <c r="AD84" i="1"/>
  <c r="AS84" i="1" s="1"/>
  <c r="AT84" i="1"/>
  <c r="AN84" i="1"/>
  <c r="AV84" i="1"/>
  <c r="AW84" i="1"/>
  <c r="AX84" i="1"/>
  <c r="Z85" i="1"/>
  <c r="AO85" i="1" s="1"/>
  <c r="AA85" i="1"/>
  <c r="AY85" i="1" s="1"/>
  <c r="AQ85" i="1"/>
  <c r="AC85" i="1"/>
  <c r="AR85" i="1" s="1"/>
  <c r="AD85" i="1"/>
  <c r="AS85" i="1" s="1"/>
  <c r="AN85" i="1"/>
  <c r="AV85" i="1"/>
  <c r="AW85" i="1"/>
  <c r="AX85" i="1"/>
  <c r="Z86" i="1"/>
  <c r="AO86" i="1" s="1"/>
  <c r="AA86" i="1"/>
  <c r="AY86" i="1" s="1"/>
  <c r="AQ86" i="1"/>
  <c r="AC86" i="1"/>
  <c r="AR86" i="1" s="1"/>
  <c r="AD86" i="1"/>
  <c r="AS86" i="1" s="1"/>
  <c r="AN86" i="1"/>
  <c r="AV86" i="1"/>
  <c r="AW86" i="1"/>
  <c r="AX86" i="1"/>
  <c r="Z87" i="1"/>
  <c r="AO87" i="1" s="1"/>
  <c r="AA87" i="1"/>
  <c r="AP87" i="1" s="1"/>
  <c r="AQ87" i="1"/>
  <c r="AC87" i="1"/>
  <c r="AR87" i="1" s="1"/>
  <c r="AD87" i="1"/>
  <c r="AS87" i="1" s="1"/>
  <c r="AT87" i="1"/>
  <c r="AN87" i="1"/>
  <c r="AV87" i="1"/>
  <c r="AW87" i="1"/>
  <c r="AX87" i="1"/>
  <c r="Z88" i="1"/>
  <c r="AO88" i="1" s="1"/>
  <c r="AA88" i="1"/>
  <c r="AP88" i="1" s="1"/>
  <c r="AQ88" i="1"/>
  <c r="AC88" i="1"/>
  <c r="AR88" i="1" s="1"/>
  <c r="AD88" i="1"/>
  <c r="AS88" i="1" s="1"/>
  <c r="AT88" i="1"/>
  <c r="AN88" i="1"/>
  <c r="AV88" i="1"/>
  <c r="AW88" i="1"/>
  <c r="Z89" i="1"/>
  <c r="AO89" i="1" s="1"/>
  <c r="AA89" i="1"/>
  <c r="AP89" i="1" s="1"/>
  <c r="AQ89" i="1"/>
  <c r="AC89" i="1"/>
  <c r="AR89" i="1" s="1"/>
  <c r="AD89" i="1"/>
  <c r="AS89" i="1" s="1"/>
  <c r="AT89" i="1"/>
  <c r="AN89" i="1"/>
  <c r="AV89" i="1"/>
  <c r="AW89" i="1"/>
  <c r="AX89" i="1"/>
  <c r="Z90" i="1"/>
  <c r="AO90" i="1" s="1"/>
  <c r="AA90" i="1"/>
  <c r="AP90" i="1" s="1"/>
  <c r="AQ90" i="1"/>
  <c r="AC90" i="1"/>
  <c r="AR90" i="1" s="1"/>
  <c r="AD90" i="1"/>
  <c r="AS90" i="1" s="1"/>
  <c r="AT90" i="1"/>
  <c r="AN90" i="1"/>
  <c r="AV90" i="1"/>
  <c r="AW90" i="1"/>
  <c r="AX90" i="1"/>
  <c r="Z91" i="1"/>
  <c r="AO91" i="1" s="1"/>
  <c r="AA91" i="1"/>
  <c r="AY91" i="1" s="1"/>
  <c r="AC91" i="1"/>
  <c r="AR91" i="1" s="1"/>
  <c r="AD91" i="1"/>
  <c r="AS91" i="1" s="1"/>
  <c r="AT91" i="1"/>
  <c r="AN91" i="1"/>
  <c r="AU91" i="1"/>
  <c r="AV91" i="1"/>
  <c r="AW91" i="1"/>
  <c r="AX91" i="1"/>
  <c r="Z92" i="1"/>
  <c r="AO92" i="1" s="1"/>
  <c r="AA92" i="1"/>
  <c r="AP92" i="1" s="1"/>
  <c r="AC92" i="1"/>
  <c r="AR92" i="1" s="1"/>
  <c r="AD92" i="1"/>
  <c r="AS92" i="1" s="1"/>
  <c r="AT92" i="1"/>
  <c r="AN92" i="1"/>
  <c r="AU92" i="1"/>
  <c r="AV92" i="1"/>
  <c r="AW92" i="1"/>
  <c r="AX92" i="1"/>
  <c r="Z93" i="1"/>
  <c r="AO93" i="1" s="1"/>
  <c r="AA93" i="1"/>
  <c r="AY93" i="1" s="1"/>
  <c r="AQ93" i="1"/>
  <c r="AC93" i="1"/>
  <c r="AR93" i="1" s="1"/>
  <c r="AD93" i="1"/>
  <c r="AS93" i="1" s="1"/>
  <c r="AT93" i="1"/>
  <c r="AN93" i="1"/>
  <c r="AV93" i="1"/>
  <c r="AW93" i="1"/>
  <c r="AX93" i="1"/>
  <c r="Z94" i="1"/>
  <c r="AO94" i="1" s="1"/>
  <c r="AA94" i="1"/>
  <c r="AP94" i="1" s="1"/>
  <c r="AQ94" i="1"/>
  <c r="AC94" i="1"/>
  <c r="AR94" i="1" s="1"/>
  <c r="AD94" i="1"/>
  <c r="AS94" i="1" s="1"/>
  <c r="AT94" i="1"/>
  <c r="AN94" i="1"/>
  <c r="AU94" i="1"/>
  <c r="AV94" i="1"/>
  <c r="AW94" i="1"/>
  <c r="Z95" i="1"/>
  <c r="AO95" i="1" s="1"/>
  <c r="AA95" i="1"/>
  <c r="AQ95" i="1"/>
  <c r="AC95" i="1"/>
  <c r="AR95" i="1" s="1"/>
  <c r="AD95" i="1"/>
  <c r="AS95" i="1" s="1"/>
  <c r="AN95" i="1"/>
  <c r="AU95" i="1"/>
  <c r="AV95" i="1"/>
  <c r="AW95" i="1"/>
  <c r="AX95" i="1"/>
  <c r="Z96" i="1"/>
  <c r="AO96" i="1" s="1"/>
  <c r="AA96" i="1"/>
  <c r="AY96" i="1" s="1"/>
  <c r="AQ96" i="1"/>
  <c r="AC96" i="1"/>
  <c r="AR96" i="1" s="1"/>
  <c r="AD96" i="1"/>
  <c r="AS96" i="1" s="1"/>
  <c r="AT96" i="1"/>
  <c r="AN96" i="1"/>
  <c r="AV96" i="1"/>
  <c r="AW96" i="1"/>
  <c r="AX96" i="1"/>
  <c r="Z97" i="1"/>
  <c r="AO97" i="1" s="1"/>
  <c r="AA97" i="1"/>
  <c r="AY97" i="1" s="1"/>
  <c r="AQ97" i="1"/>
  <c r="AC97" i="1"/>
  <c r="AR97" i="1" s="1"/>
  <c r="AD97" i="1"/>
  <c r="AS97" i="1" s="1"/>
  <c r="AN97" i="1"/>
  <c r="AU97" i="1"/>
  <c r="AV97" i="1"/>
  <c r="AW97" i="1"/>
  <c r="AX97" i="1"/>
  <c r="Z98" i="1"/>
  <c r="AO98" i="1" s="1"/>
  <c r="AA98" i="1"/>
  <c r="AY98" i="1" s="1"/>
  <c r="AQ98" i="1"/>
  <c r="AC98" i="1"/>
  <c r="AR98" i="1" s="1"/>
  <c r="AD98" i="1"/>
  <c r="AS98" i="1" s="1"/>
  <c r="AN98" i="1"/>
  <c r="AV98" i="1"/>
  <c r="AW98" i="1"/>
  <c r="AX98" i="1"/>
  <c r="Z99" i="1"/>
  <c r="AO99" i="1" s="1"/>
  <c r="AA99" i="1"/>
  <c r="AP99" i="1" s="1"/>
  <c r="AC99" i="1"/>
  <c r="AR99" i="1" s="1"/>
  <c r="AD99" i="1"/>
  <c r="AS99" i="1" s="1"/>
  <c r="AT99" i="1"/>
  <c r="AN99" i="1"/>
  <c r="AV99" i="1"/>
  <c r="AW99" i="1"/>
  <c r="AX99" i="1"/>
  <c r="Z100" i="1"/>
  <c r="AO100" i="1" s="1"/>
  <c r="AA100" i="1"/>
  <c r="AP100" i="1" s="1"/>
  <c r="AC100" i="1"/>
  <c r="AR100" i="1" s="1"/>
  <c r="AD100" i="1"/>
  <c r="AS100" i="1" s="1"/>
  <c r="AT100" i="1"/>
  <c r="AN100" i="1"/>
  <c r="AV100" i="1"/>
  <c r="AW100" i="1"/>
  <c r="Z101" i="1"/>
  <c r="AO101" i="1" s="1"/>
  <c r="AA101" i="1"/>
  <c r="AP101" i="1" s="1"/>
  <c r="AQ101" i="1"/>
  <c r="AC101" i="1"/>
  <c r="AR101" i="1" s="1"/>
  <c r="AD101" i="1"/>
  <c r="AS101" i="1" s="1"/>
  <c r="AT101" i="1"/>
  <c r="AN101" i="1"/>
  <c r="AV101" i="1"/>
  <c r="AW101" i="1"/>
  <c r="AX101" i="1"/>
  <c r="Z102" i="1"/>
  <c r="AO102" i="1" s="1"/>
  <c r="AA102" i="1"/>
  <c r="AP102" i="1" s="1"/>
  <c r="AQ102" i="1"/>
  <c r="AC102" i="1"/>
  <c r="AR102" i="1" s="1"/>
  <c r="AD102" i="1"/>
  <c r="AS102" i="1" s="1"/>
  <c r="AT102" i="1"/>
  <c r="AN102" i="1"/>
  <c r="AV102" i="1"/>
  <c r="AW102" i="1"/>
  <c r="AX102" i="1"/>
  <c r="Z103" i="1"/>
  <c r="AO103" i="1" s="1"/>
  <c r="AA103" i="1"/>
  <c r="AY103" i="1" s="1"/>
  <c r="AQ103" i="1"/>
  <c r="AC103" i="1"/>
  <c r="AR103" i="1" s="1"/>
  <c r="AD103" i="1"/>
  <c r="AS103" i="1" s="1"/>
  <c r="AT103" i="1"/>
  <c r="AN103" i="1"/>
  <c r="AU103" i="1"/>
  <c r="AV103" i="1"/>
  <c r="AW103" i="1"/>
  <c r="AX103" i="1"/>
  <c r="Z104" i="1"/>
  <c r="AO104" i="1" s="1"/>
  <c r="AA104" i="1"/>
  <c r="AP104" i="1" s="1"/>
  <c r="AQ104" i="1"/>
  <c r="AC104" i="1"/>
  <c r="AR104" i="1" s="1"/>
  <c r="AD104" i="1"/>
  <c r="AS104" i="1" s="1"/>
  <c r="AT104" i="1"/>
  <c r="AN104" i="1"/>
  <c r="AU104" i="1"/>
  <c r="AV104" i="1"/>
  <c r="AW104" i="1"/>
  <c r="AX104" i="1"/>
  <c r="Z105" i="1"/>
  <c r="AO105" i="1" s="1"/>
  <c r="AA105" i="1"/>
  <c r="AY105" i="1" s="1"/>
  <c r="AQ105" i="1"/>
  <c r="AC105" i="1"/>
  <c r="AR105" i="1" s="1"/>
  <c r="AD105" i="1"/>
  <c r="AS105" i="1" s="1"/>
  <c r="AT105" i="1"/>
  <c r="AN105" i="1"/>
  <c r="AV105" i="1"/>
  <c r="AW105" i="1"/>
  <c r="AX105" i="1"/>
  <c r="Z106" i="1"/>
  <c r="AO106" i="1" s="1"/>
  <c r="AA106" i="1"/>
  <c r="AP106" i="1" s="1"/>
  <c r="AQ106" i="1"/>
  <c r="AC106" i="1"/>
  <c r="AR106" i="1" s="1"/>
  <c r="AD106" i="1"/>
  <c r="AS106" i="1" s="1"/>
  <c r="AT106" i="1"/>
  <c r="AN106" i="1"/>
  <c r="AU106" i="1"/>
  <c r="AV106" i="1"/>
  <c r="AW106" i="1"/>
  <c r="Z107" i="1"/>
  <c r="AO107" i="1" s="1"/>
  <c r="AA107" i="1"/>
  <c r="AC107" i="1"/>
  <c r="AR107" i="1" s="1"/>
  <c r="AD107" i="1"/>
  <c r="AS107" i="1" s="1"/>
  <c r="AN107" i="1"/>
  <c r="AU107" i="1"/>
  <c r="AV107" i="1"/>
  <c r="AW107" i="1"/>
  <c r="AX107" i="1"/>
  <c r="Z108" i="1"/>
  <c r="AO108" i="1" s="1"/>
  <c r="AA108" i="1"/>
  <c r="AC108" i="1"/>
  <c r="AR108" i="1" s="1"/>
  <c r="AD108" i="1"/>
  <c r="AS108" i="1" s="1"/>
  <c r="AT108" i="1"/>
  <c r="AN108" i="1"/>
  <c r="AV108" i="1"/>
  <c r="AW108" i="1"/>
  <c r="AX108" i="1"/>
  <c r="Z109" i="1"/>
  <c r="AO109" i="1" s="1"/>
  <c r="AA109" i="1"/>
  <c r="AY109" i="1" s="1"/>
  <c r="AQ109" i="1"/>
  <c r="AC109" i="1"/>
  <c r="AR109" i="1" s="1"/>
  <c r="AD109" i="1"/>
  <c r="AS109" i="1" s="1"/>
  <c r="AN109" i="1"/>
  <c r="AU109" i="1"/>
  <c r="AV109" i="1"/>
  <c r="AW109" i="1"/>
  <c r="AX109" i="1"/>
  <c r="Z110" i="1"/>
  <c r="AO110" i="1" s="1"/>
  <c r="AA110" i="1"/>
  <c r="AY110" i="1" s="1"/>
  <c r="AQ110" i="1"/>
  <c r="AC110" i="1"/>
  <c r="AR110" i="1" s="1"/>
  <c r="AD110" i="1"/>
  <c r="AS110" i="1" s="1"/>
  <c r="AN110" i="1"/>
  <c r="AV110" i="1"/>
  <c r="AW110" i="1"/>
  <c r="AX110" i="1"/>
  <c r="Z111" i="1"/>
  <c r="AO111" i="1" s="1"/>
  <c r="AA111" i="1"/>
  <c r="AP111" i="1" s="1"/>
  <c r="AQ111" i="1"/>
  <c r="AC111" i="1"/>
  <c r="AR111" i="1" s="1"/>
  <c r="AD111" i="1"/>
  <c r="AS111" i="1" s="1"/>
  <c r="AT111" i="1"/>
  <c r="AN111" i="1"/>
  <c r="AV111" i="1"/>
  <c r="AW111" i="1"/>
  <c r="AX111" i="1"/>
  <c r="Z112" i="1"/>
  <c r="AO112" i="1" s="1"/>
  <c r="AA112" i="1"/>
  <c r="AP112" i="1" s="1"/>
  <c r="AQ112" i="1"/>
  <c r="AC112" i="1"/>
  <c r="AR112" i="1" s="1"/>
  <c r="AD112" i="1"/>
  <c r="AS112" i="1" s="1"/>
  <c r="AT112" i="1"/>
  <c r="AN112" i="1"/>
  <c r="AV112" i="1"/>
  <c r="AW112" i="1"/>
  <c r="Z113" i="1"/>
  <c r="AO113" i="1" s="1"/>
  <c r="AA113" i="1"/>
  <c r="AP113" i="1" s="1"/>
  <c r="AQ113" i="1"/>
  <c r="AC113" i="1"/>
  <c r="AR113" i="1" s="1"/>
  <c r="AD113" i="1"/>
  <c r="AS113" i="1" s="1"/>
  <c r="AT113" i="1"/>
  <c r="AN113" i="1"/>
  <c r="AV113" i="1"/>
  <c r="AW113" i="1"/>
  <c r="AX113" i="1"/>
  <c r="Z114" i="1"/>
  <c r="AO114" i="1" s="1"/>
  <c r="AA114" i="1"/>
  <c r="AQ114" i="1"/>
  <c r="AC114" i="1"/>
  <c r="AR114" i="1" s="1"/>
  <c r="AD114" i="1"/>
  <c r="AS114" i="1" s="1"/>
  <c r="AT114" i="1"/>
  <c r="AN114" i="1"/>
  <c r="AV114" i="1"/>
  <c r="AW114" i="1"/>
  <c r="AX114" i="1"/>
  <c r="Z115" i="1"/>
  <c r="AO115" i="1" s="1"/>
  <c r="AA115" i="1"/>
  <c r="AY115" i="1" s="1"/>
  <c r="AC115" i="1"/>
  <c r="AR115" i="1" s="1"/>
  <c r="AD115" i="1"/>
  <c r="AS115" i="1" s="1"/>
  <c r="AT115" i="1"/>
  <c r="AN115" i="1"/>
  <c r="AU115" i="1"/>
  <c r="AV115" i="1"/>
  <c r="AW115" i="1"/>
  <c r="AX115" i="1"/>
  <c r="Z116" i="1"/>
  <c r="AO116" i="1" s="1"/>
  <c r="AA116" i="1"/>
  <c r="AP116" i="1" s="1"/>
  <c r="AC116" i="1"/>
  <c r="AR116" i="1" s="1"/>
  <c r="AD116" i="1"/>
  <c r="AS116" i="1" s="1"/>
  <c r="AT116" i="1"/>
  <c r="AN116" i="1"/>
  <c r="AU116" i="1"/>
  <c r="AV116" i="1"/>
  <c r="AW116" i="1"/>
  <c r="AX116" i="1"/>
  <c r="Z117" i="1"/>
  <c r="AO117" i="1" s="1"/>
  <c r="AA117" i="1"/>
  <c r="AY117" i="1" s="1"/>
  <c r="AQ117" i="1"/>
  <c r="AC117" i="1"/>
  <c r="AR117" i="1" s="1"/>
  <c r="AD117" i="1"/>
  <c r="AS117" i="1" s="1"/>
  <c r="AT117" i="1"/>
  <c r="AN117" i="1"/>
  <c r="AV117" i="1"/>
  <c r="AW117" i="1"/>
  <c r="AX117" i="1"/>
  <c r="Z118" i="1"/>
  <c r="AO118" i="1" s="1"/>
  <c r="AA118" i="1"/>
  <c r="AP118" i="1" s="1"/>
  <c r="AQ118" i="1"/>
  <c r="AC118" i="1"/>
  <c r="AR118" i="1" s="1"/>
  <c r="AD118" i="1"/>
  <c r="AS118" i="1" s="1"/>
  <c r="AT118" i="1"/>
  <c r="AN118" i="1"/>
  <c r="AU118" i="1"/>
  <c r="AV118" i="1"/>
  <c r="AW118" i="1"/>
  <c r="Z119" i="1"/>
  <c r="AO119" i="1" s="1"/>
  <c r="AA119" i="1"/>
  <c r="AY119" i="1" s="1"/>
  <c r="AQ119" i="1"/>
  <c r="AC119" i="1"/>
  <c r="AR119" i="1" s="1"/>
  <c r="AD119" i="1"/>
  <c r="AS119" i="1" s="1"/>
  <c r="AN119" i="1"/>
  <c r="AU119" i="1"/>
  <c r="AV119" i="1"/>
  <c r="AW119" i="1"/>
  <c r="AX119" i="1"/>
  <c r="Z120" i="1"/>
  <c r="AO120" i="1" s="1"/>
  <c r="AA120" i="1"/>
  <c r="AQ120" i="1"/>
  <c r="AC120" i="1"/>
  <c r="AR120" i="1" s="1"/>
  <c r="AD120" i="1"/>
  <c r="AS120" i="1" s="1"/>
  <c r="AT120" i="1"/>
  <c r="AN120" i="1"/>
  <c r="AV120" i="1"/>
  <c r="AW120" i="1"/>
  <c r="AX120" i="1"/>
  <c r="Z121" i="1"/>
  <c r="AO121" i="1" s="1"/>
  <c r="AA121" i="1"/>
  <c r="AY121" i="1" s="1"/>
  <c r="AQ121" i="1"/>
  <c r="AC121" i="1"/>
  <c r="AR121" i="1" s="1"/>
  <c r="AD121" i="1"/>
  <c r="AS121" i="1" s="1"/>
  <c r="AT121" i="1"/>
  <c r="AN121" i="1"/>
  <c r="AU121" i="1"/>
  <c r="AV121" i="1"/>
  <c r="AW121" i="1"/>
  <c r="AX121" i="1"/>
  <c r="Z122" i="1"/>
  <c r="AO122" i="1" s="1"/>
  <c r="AA122" i="1"/>
  <c r="AY122" i="1" s="1"/>
  <c r="AQ122" i="1"/>
  <c r="AC122" i="1"/>
  <c r="AR122" i="1" s="1"/>
  <c r="AD122" i="1"/>
  <c r="AS122" i="1" s="1"/>
  <c r="AN122" i="1"/>
  <c r="AV122" i="1"/>
  <c r="AW122" i="1"/>
  <c r="AX122" i="1"/>
  <c r="Z123" i="1"/>
  <c r="AO123" i="1" s="1"/>
  <c r="AA123" i="1"/>
  <c r="AP123" i="1" s="1"/>
  <c r="AC123" i="1"/>
  <c r="AR123" i="1" s="1"/>
  <c r="AD123" i="1"/>
  <c r="AS123" i="1" s="1"/>
  <c r="AT123" i="1"/>
  <c r="AN123" i="1"/>
  <c r="AV123" i="1"/>
  <c r="AW123" i="1"/>
  <c r="AX123" i="1"/>
  <c r="Z124" i="1"/>
  <c r="AO124" i="1" s="1"/>
  <c r="AA124" i="1"/>
  <c r="AP124" i="1" s="1"/>
  <c r="AC124" i="1"/>
  <c r="AR124" i="1" s="1"/>
  <c r="AD124" i="1"/>
  <c r="AS124" i="1" s="1"/>
  <c r="AT124" i="1"/>
  <c r="AN124" i="1"/>
  <c r="AV124" i="1"/>
  <c r="AW124" i="1"/>
  <c r="Z125" i="1"/>
  <c r="AO125" i="1" s="1"/>
  <c r="AA125" i="1"/>
  <c r="AP125" i="1" s="1"/>
  <c r="AQ125" i="1"/>
  <c r="AC125" i="1"/>
  <c r="AR125" i="1" s="1"/>
  <c r="AD125" i="1"/>
  <c r="AS125" i="1" s="1"/>
  <c r="AT125" i="1"/>
  <c r="AN125" i="1"/>
  <c r="AV125" i="1"/>
  <c r="AW125" i="1"/>
  <c r="AX125" i="1"/>
  <c r="Z126" i="1"/>
  <c r="AO126" i="1" s="1"/>
  <c r="AA126" i="1"/>
  <c r="AQ126" i="1"/>
  <c r="AC126" i="1"/>
  <c r="AR126" i="1" s="1"/>
  <c r="AD126" i="1"/>
  <c r="AS126" i="1" s="1"/>
  <c r="AT126" i="1"/>
  <c r="AN126" i="1"/>
  <c r="AV126" i="1"/>
  <c r="AW126" i="1"/>
  <c r="AX126" i="1"/>
  <c r="Z127" i="1"/>
  <c r="AO127" i="1" s="1"/>
  <c r="AA127" i="1"/>
  <c r="AY127" i="1" s="1"/>
  <c r="AQ127" i="1"/>
  <c r="AC127" i="1"/>
  <c r="AR127" i="1" s="1"/>
  <c r="AD127" i="1"/>
  <c r="AS127" i="1" s="1"/>
  <c r="AT127" i="1"/>
  <c r="AN127" i="1"/>
  <c r="AU127" i="1"/>
  <c r="AV127" i="1"/>
  <c r="AW127" i="1"/>
  <c r="AX127" i="1"/>
  <c r="Z128" i="1"/>
  <c r="AO128" i="1" s="1"/>
  <c r="AA128" i="1"/>
  <c r="AP128" i="1" s="1"/>
  <c r="AQ128" i="1"/>
  <c r="AC128" i="1"/>
  <c r="AR128" i="1" s="1"/>
  <c r="AD128" i="1"/>
  <c r="AS128" i="1" s="1"/>
  <c r="AT128" i="1"/>
  <c r="AN128" i="1"/>
  <c r="AU128" i="1"/>
  <c r="AV128" i="1"/>
  <c r="AW128" i="1"/>
  <c r="AX128" i="1"/>
  <c r="Z129" i="1"/>
  <c r="AO129" i="1" s="1"/>
  <c r="AA129" i="1"/>
  <c r="AY129" i="1" s="1"/>
  <c r="AQ129" i="1"/>
  <c r="AC129" i="1"/>
  <c r="AR129" i="1" s="1"/>
  <c r="AD129" i="1"/>
  <c r="AS129" i="1" s="1"/>
  <c r="AN129" i="1"/>
  <c r="AU129" i="1"/>
  <c r="AV129" i="1"/>
  <c r="AW129" i="1"/>
  <c r="AX129" i="1"/>
  <c r="Z130" i="1"/>
  <c r="AO130" i="1" s="1"/>
  <c r="AA130" i="1"/>
  <c r="AP130" i="1" s="1"/>
  <c r="AQ130" i="1"/>
  <c r="AC130" i="1"/>
  <c r="AR130" i="1" s="1"/>
  <c r="AD130" i="1"/>
  <c r="AS130" i="1" s="1"/>
  <c r="AT130" i="1"/>
  <c r="AN130" i="1"/>
  <c r="AU130" i="1"/>
  <c r="AV130" i="1"/>
  <c r="AW130" i="1"/>
  <c r="AX130" i="1"/>
  <c r="Z131" i="1"/>
  <c r="AO131" i="1" s="1"/>
  <c r="AA131" i="1"/>
  <c r="AY131" i="1" s="1"/>
  <c r="AC131" i="1"/>
  <c r="AR131" i="1" s="1"/>
  <c r="AD131" i="1"/>
  <c r="AS131" i="1" s="1"/>
  <c r="AN131" i="1"/>
  <c r="AU131" i="1"/>
  <c r="AV131" i="1"/>
  <c r="AW131" i="1"/>
  <c r="AX131" i="1"/>
  <c r="Z132" i="1"/>
  <c r="AO132" i="1" s="1"/>
  <c r="AA132" i="1"/>
  <c r="AC132" i="1"/>
  <c r="AR132" i="1" s="1"/>
  <c r="AD132" i="1"/>
  <c r="AS132" i="1" s="1"/>
  <c r="AT132" i="1"/>
  <c r="AN132" i="1"/>
  <c r="AV132" i="1"/>
  <c r="AW132" i="1"/>
  <c r="AX132" i="1"/>
  <c r="Z133" i="1"/>
  <c r="AO133" i="1" s="1"/>
  <c r="AA133" i="1"/>
  <c r="AY133" i="1" s="1"/>
  <c r="AQ133" i="1"/>
  <c r="AC133" i="1"/>
  <c r="AR133" i="1" s="1"/>
  <c r="AD133" i="1"/>
  <c r="AS133" i="1" s="1"/>
  <c r="AN133" i="1"/>
  <c r="AU133" i="1"/>
  <c r="AV133" i="1"/>
  <c r="AW133" i="1"/>
  <c r="AX133" i="1"/>
  <c r="Z134" i="1"/>
  <c r="AO134" i="1" s="1"/>
  <c r="AA134" i="1"/>
  <c r="AP134" i="1" s="1"/>
  <c r="AQ134" i="1"/>
  <c r="AC134" i="1"/>
  <c r="AR134" i="1" s="1"/>
  <c r="AD134" i="1"/>
  <c r="AS134" i="1" s="1"/>
  <c r="AN134" i="1"/>
  <c r="AV134" i="1"/>
  <c r="AW134" i="1"/>
  <c r="AX134" i="1"/>
  <c r="Z135" i="1"/>
  <c r="AO135" i="1" s="1"/>
  <c r="AA135" i="1"/>
  <c r="AP135" i="1" s="1"/>
  <c r="AQ135" i="1"/>
  <c r="AC135" i="1"/>
  <c r="AR135" i="1" s="1"/>
  <c r="AD135" i="1"/>
  <c r="AS135" i="1" s="1"/>
  <c r="AT135" i="1"/>
  <c r="AN135" i="1"/>
  <c r="AV135" i="1"/>
  <c r="AW135" i="1"/>
  <c r="AX135" i="1"/>
  <c r="Z136" i="1"/>
  <c r="AO136" i="1" s="1"/>
  <c r="AA136" i="1"/>
  <c r="AY136" i="1" s="1"/>
  <c r="AQ136" i="1"/>
  <c r="AC136" i="1"/>
  <c r="AR136" i="1" s="1"/>
  <c r="AD136" i="1"/>
  <c r="AS136" i="1" s="1"/>
  <c r="AT136" i="1"/>
  <c r="AN136" i="1"/>
  <c r="AV136" i="1"/>
  <c r="AW136" i="1"/>
  <c r="Z137" i="1"/>
  <c r="AO137" i="1" s="1"/>
  <c r="AA137" i="1"/>
  <c r="AP137" i="1" s="1"/>
  <c r="AQ137" i="1"/>
  <c r="AC137" i="1"/>
  <c r="AR137" i="1" s="1"/>
  <c r="AD137" i="1"/>
  <c r="AS137" i="1" s="1"/>
  <c r="AT137" i="1"/>
  <c r="AN137" i="1"/>
  <c r="AV137" i="1"/>
  <c r="AW137" i="1"/>
  <c r="AX137" i="1"/>
  <c r="Z138" i="1"/>
  <c r="AO138" i="1" s="1"/>
  <c r="AA138" i="1"/>
  <c r="AP138" i="1" s="1"/>
  <c r="AQ138" i="1"/>
  <c r="AC138" i="1"/>
  <c r="AR138" i="1" s="1"/>
  <c r="AD138" i="1"/>
  <c r="AS138" i="1" s="1"/>
  <c r="AT138" i="1"/>
  <c r="AN138" i="1"/>
  <c r="AV138" i="1"/>
  <c r="AW138" i="1"/>
  <c r="AX138" i="1"/>
  <c r="Z139" i="1"/>
  <c r="AO139" i="1" s="1"/>
  <c r="AA139" i="1"/>
  <c r="AY139" i="1" s="1"/>
  <c r="AC139" i="1"/>
  <c r="AR139" i="1" s="1"/>
  <c r="AD139" i="1"/>
  <c r="AS139" i="1" s="1"/>
  <c r="AT139" i="1"/>
  <c r="AN139" i="1"/>
  <c r="AU139" i="1"/>
  <c r="AV139" i="1"/>
  <c r="AW139" i="1"/>
  <c r="AX139" i="1"/>
  <c r="Z140" i="1"/>
  <c r="AO140" i="1" s="1"/>
  <c r="AA140" i="1"/>
  <c r="AP140" i="1" s="1"/>
  <c r="AC140" i="1"/>
  <c r="AR140" i="1" s="1"/>
  <c r="AD140" i="1"/>
  <c r="AS140" i="1" s="1"/>
  <c r="AT140" i="1"/>
  <c r="AN140" i="1"/>
  <c r="AU140" i="1"/>
  <c r="AV140" i="1"/>
  <c r="AW140" i="1"/>
  <c r="AX140" i="1"/>
  <c r="Z141" i="1"/>
  <c r="AO141" i="1" s="1"/>
  <c r="AA141" i="1"/>
  <c r="AY141" i="1" s="1"/>
  <c r="AQ141" i="1"/>
  <c r="AC141" i="1"/>
  <c r="AR141" i="1" s="1"/>
  <c r="AD141" i="1"/>
  <c r="AS141" i="1" s="1"/>
  <c r="AN141" i="1"/>
  <c r="AU141" i="1"/>
  <c r="AV141" i="1"/>
  <c r="AW141" i="1"/>
  <c r="AX141" i="1"/>
  <c r="Z142" i="1"/>
  <c r="AO142" i="1" s="1"/>
  <c r="AA142" i="1"/>
  <c r="AP142" i="1" s="1"/>
  <c r="AQ142" i="1"/>
  <c r="AC142" i="1"/>
  <c r="AR142" i="1" s="1"/>
  <c r="AD142" i="1"/>
  <c r="AS142" i="1" s="1"/>
  <c r="AT142" i="1"/>
  <c r="AN142" i="1"/>
  <c r="AU142" i="1"/>
  <c r="AV142" i="1"/>
  <c r="AW142" i="1"/>
  <c r="Z143" i="1"/>
  <c r="AO143" i="1" s="1"/>
  <c r="AA143" i="1"/>
  <c r="AQ143" i="1"/>
  <c r="AC143" i="1"/>
  <c r="AR143" i="1" s="1"/>
  <c r="AD143" i="1"/>
  <c r="AS143" i="1" s="1"/>
  <c r="AN143" i="1"/>
  <c r="AU143" i="1"/>
  <c r="AV143" i="1"/>
  <c r="AW143" i="1"/>
  <c r="AX143" i="1"/>
  <c r="Z144" i="1"/>
  <c r="AO144" i="1" s="1"/>
  <c r="AA144" i="1"/>
  <c r="AY144" i="1" s="1"/>
  <c r="AQ144" i="1"/>
  <c r="AC144" i="1"/>
  <c r="AR144" i="1" s="1"/>
  <c r="AD144" i="1"/>
  <c r="AS144" i="1" s="1"/>
  <c r="AT144" i="1"/>
  <c r="AN144" i="1"/>
  <c r="AV144" i="1"/>
  <c r="AW144" i="1"/>
  <c r="AX144" i="1"/>
  <c r="Z145" i="1"/>
  <c r="AO145" i="1" s="1"/>
  <c r="AA145" i="1"/>
  <c r="AY145" i="1" s="1"/>
  <c r="AQ145" i="1"/>
  <c r="AC145" i="1"/>
  <c r="AR145" i="1" s="1"/>
  <c r="AD145" i="1"/>
  <c r="AS145" i="1" s="1"/>
  <c r="AN145" i="1"/>
  <c r="AU145" i="1"/>
  <c r="AV145" i="1"/>
  <c r="AW145" i="1"/>
  <c r="AX145" i="1"/>
  <c r="Z146" i="1"/>
  <c r="AO146" i="1" s="1"/>
  <c r="AA146" i="1"/>
  <c r="AP146" i="1" s="1"/>
  <c r="AQ146" i="1"/>
  <c r="AC146" i="1"/>
  <c r="AR146" i="1" s="1"/>
  <c r="AD146" i="1"/>
  <c r="AS146" i="1" s="1"/>
  <c r="AN146" i="1"/>
  <c r="AV146" i="1"/>
  <c r="AW146" i="1"/>
  <c r="AX146" i="1"/>
  <c r="Z147" i="1"/>
  <c r="AO147" i="1" s="1"/>
  <c r="AA147" i="1"/>
  <c r="AP147" i="1" s="1"/>
  <c r="AC147" i="1"/>
  <c r="AR147" i="1" s="1"/>
  <c r="AD147" i="1"/>
  <c r="AS147" i="1" s="1"/>
  <c r="AT147" i="1"/>
  <c r="AN147" i="1"/>
  <c r="AV147" i="1"/>
  <c r="AW147" i="1"/>
  <c r="AX147" i="1"/>
  <c r="Z148" i="1"/>
  <c r="AO148" i="1" s="1"/>
  <c r="AA148" i="1"/>
  <c r="AP148" i="1" s="1"/>
  <c r="AC148" i="1"/>
  <c r="AR148" i="1" s="1"/>
  <c r="AD148" i="1"/>
  <c r="AS148" i="1" s="1"/>
  <c r="AT148" i="1"/>
  <c r="AN148" i="1"/>
  <c r="AV148" i="1"/>
  <c r="AW148" i="1"/>
  <c r="Z149" i="1"/>
  <c r="AO149" i="1" s="1"/>
  <c r="AA149" i="1"/>
  <c r="AP149" i="1" s="1"/>
  <c r="AQ149" i="1"/>
  <c r="AC149" i="1"/>
  <c r="AR149" i="1" s="1"/>
  <c r="AD149" i="1"/>
  <c r="AS149" i="1" s="1"/>
  <c r="AT149" i="1"/>
  <c r="AN149" i="1"/>
  <c r="AV149" i="1"/>
  <c r="AW149" i="1"/>
  <c r="AX149" i="1"/>
  <c r="Z150" i="1"/>
  <c r="AO150" i="1" s="1"/>
  <c r="AA150" i="1"/>
  <c r="AP150" i="1" s="1"/>
  <c r="AQ150" i="1"/>
  <c r="AC150" i="1"/>
  <c r="AR150" i="1" s="1"/>
  <c r="AD150" i="1"/>
  <c r="AS150" i="1" s="1"/>
  <c r="AT150" i="1"/>
  <c r="AN150" i="1"/>
  <c r="AV150" i="1"/>
  <c r="AW150" i="1"/>
  <c r="AX150" i="1"/>
  <c r="Z151" i="1"/>
  <c r="AO151" i="1" s="1"/>
  <c r="AA151" i="1"/>
  <c r="AY151" i="1" s="1"/>
  <c r="AQ151" i="1"/>
  <c r="AC151" i="1"/>
  <c r="AR151" i="1" s="1"/>
  <c r="AD151" i="1"/>
  <c r="AS151" i="1" s="1"/>
  <c r="AT151" i="1"/>
  <c r="AN151" i="1"/>
  <c r="AU151" i="1"/>
  <c r="AV151" i="1"/>
  <c r="AW151" i="1"/>
  <c r="AX151" i="1"/>
  <c r="Z152" i="1"/>
  <c r="AO152" i="1" s="1"/>
  <c r="AA152" i="1"/>
  <c r="AP152" i="1" s="1"/>
  <c r="AQ152" i="1"/>
  <c r="AC152" i="1"/>
  <c r="AR152" i="1" s="1"/>
  <c r="AD152" i="1"/>
  <c r="AS152" i="1" s="1"/>
  <c r="AT152" i="1"/>
  <c r="AN152" i="1"/>
  <c r="AU152" i="1"/>
  <c r="AV152" i="1"/>
  <c r="AW152" i="1"/>
  <c r="AX152" i="1"/>
  <c r="Z153" i="1"/>
  <c r="AO153" i="1" s="1"/>
  <c r="AA153" i="1"/>
  <c r="AY153" i="1" s="1"/>
  <c r="AQ153" i="1"/>
  <c r="AC153" i="1"/>
  <c r="AR153" i="1" s="1"/>
  <c r="AD153" i="1"/>
  <c r="AS153" i="1" s="1"/>
  <c r="AN153" i="1"/>
  <c r="AU153" i="1"/>
  <c r="AV153" i="1"/>
  <c r="AW153" i="1"/>
  <c r="AX153" i="1"/>
  <c r="Z154" i="1"/>
  <c r="AO154" i="1" s="1"/>
  <c r="AA154" i="1"/>
  <c r="AP154" i="1" s="1"/>
  <c r="AQ154" i="1"/>
  <c r="AC154" i="1"/>
  <c r="AR154" i="1" s="1"/>
  <c r="AD154" i="1"/>
  <c r="AS154" i="1" s="1"/>
  <c r="AT154" i="1"/>
  <c r="AN154" i="1"/>
  <c r="AU154" i="1"/>
  <c r="AV154" i="1"/>
  <c r="AW154" i="1"/>
  <c r="Z155" i="1"/>
  <c r="AO155" i="1" s="1"/>
  <c r="AA155" i="1"/>
  <c r="AC155" i="1"/>
  <c r="AR155" i="1" s="1"/>
  <c r="AD155" i="1"/>
  <c r="AS155" i="1" s="1"/>
  <c r="AN155" i="1"/>
  <c r="AU155" i="1"/>
  <c r="AV155" i="1"/>
  <c r="AW155" i="1"/>
  <c r="AX155" i="1"/>
  <c r="Z156" i="1"/>
  <c r="AO156" i="1" s="1"/>
  <c r="AA156" i="1"/>
  <c r="AC156" i="1"/>
  <c r="AR156" i="1" s="1"/>
  <c r="AD156" i="1"/>
  <c r="AS156" i="1" s="1"/>
  <c r="AT156" i="1"/>
  <c r="AN156" i="1"/>
  <c r="AV156" i="1"/>
  <c r="AW156" i="1"/>
  <c r="AX156" i="1"/>
  <c r="Z157" i="1"/>
  <c r="AO157" i="1" s="1"/>
  <c r="AA157" i="1"/>
  <c r="AY157" i="1" s="1"/>
  <c r="AQ157" i="1"/>
  <c r="AC157" i="1"/>
  <c r="AR157" i="1" s="1"/>
  <c r="AD157" i="1"/>
  <c r="AS157" i="1" s="1"/>
  <c r="AN157" i="1"/>
  <c r="AU157" i="1"/>
  <c r="AV157" i="1"/>
  <c r="AW157" i="1"/>
  <c r="AX157" i="1"/>
  <c r="Z158" i="1"/>
  <c r="AO158" i="1" s="1"/>
  <c r="AA158" i="1"/>
  <c r="AP158" i="1" s="1"/>
  <c r="AQ158" i="1"/>
  <c r="AC158" i="1"/>
  <c r="AR158" i="1" s="1"/>
  <c r="AD158" i="1"/>
  <c r="AS158" i="1" s="1"/>
  <c r="AN158" i="1"/>
  <c r="AV158" i="1"/>
  <c r="AW158" i="1"/>
  <c r="AX158" i="1"/>
  <c r="Z159" i="1"/>
  <c r="AO159" i="1" s="1"/>
  <c r="AA159" i="1"/>
  <c r="AP159" i="1" s="1"/>
  <c r="AQ159" i="1"/>
  <c r="AC159" i="1"/>
  <c r="AR159" i="1" s="1"/>
  <c r="AD159" i="1"/>
  <c r="AS159" i="1" s="1"/>
  <c r="AT159" i="1"/>
  <c r="AN159" i="1"/>
  <c r="AV159" i="1"/>
  <c r="AW159" i="1"/>
  <c r="AX159" i="1"/>
  <c r="Z160" i="1"/>
  <c r="AO160" i="1" s="1"/>
  <c r="AA160" i="1"/>
  <c r="AP160" i="1" s="1"/>
  <c r="AQ160" i="1"/>
  <c r="AC160" i="1"/>
  <c r="AR160" i="1" s="1"/>
  <c r="AD160" i="1"/>
  <c r="AS160" i="1" s="1"/>
  <c r="AT160" i="1"/>
  <c r="AN160" i="1"/>
  <c r="AV160" i="1"/>
  <c r="AW160" i="1"/>
  <c r="Z161" i="1"/>
  <c r="AO161" i="1" s="1"/>
  <c r="AA161" i="1"/>
  <c r="AP161" i="1" s="1"/>
  <c r="AQ161" i="1"/>
  <c r="AC161" i="1"/>
  <c r="AR161" i="1" s="1"/>
  <c r="AD161" i="1"/>
  <c r="AS161" i="1" s="1"/>
  <c r="AT161" i="1"/>
  <c r="AN161" i="1"/>
  <c r="AV161" i="1"/>
  <c r="AW161" i="1"/>
  <c r="AX161" i="1"/>
  <c r="Z162" i="1"/>
  <c r="AO162" i="1" s="1"/>
  <c r="AA162" i="1"/>
  <c r="AP162" i="1" s="1"/>
  <c r="AQ162" i="1"/>
  <c r="AC162" i="1"/>
  <c r="AR162" i="1" s="1"/>
  <c r="AD162" i="1"/>
  <c r="AS162" i="1" s="1"/>
  <c r="AT162" i="1"/>
  <c r="AN162" i="1"/>
  <c r="AV162" i="1"/>
  <c r="AW162" i="1"/>
  <c r="AX162" i="1"/>
  <c r="Z163" i="1"/>
  <c r="AO163" i="1" s="1"/>
  <c r="AA163" i="1"/>
  <c r="AP163" i="1" s="1"/>
  <c r="AC163" i="1"/>
  <c r="AR163" i="1" s="1"/>
  <c r="AD163" i="1"/>
  <c r="AS163" i="1" s="1"/>
  <c r="AT163" i="1"/>
  <c r="AN163" i="1"/>
  <c r="AU163" i="1"/>
  <c r="AV163" i="1"/>
  <c r="AW163" i="1"/>
  <c r="AX163" i="1"/>
  <c r="Z164" i="1"/>
  <c r="AO164" i="1" s="1"/>
  <c r="AA164" i="1"/>
  <c r="AP164" i="1" s="1"/>
  <c r="AC164" i="1"/>
  <c r="AR164" i="1" s="1"/>
  <c r="AD164" i="1"/>
  <c r="AS164" i="1" s="1"/>
  <c r="AT164" i="1"/>
  <c r="AN164" i="1"/>
  <c r="AU164" i="1"/>
  <c r="AV164" i="1"/>
  <c r="AW164" i="1"/>
  <c r="AX164" i="1"/>
  <c r="Z165" i="1"/>
  <c r="AO165" i="1" s="1"/>
  <c r="AA165" i="1"/>
  <c r="AP165" i="1" s="1"/>
  <c r="AQ165" i="1"/>
  <c r="AC165" i="1"/>
  <c r="AR165" i="1" s="1"/>
  <c r="AD165" i="1"/>
  <c r="AS165" i="1" s="1"/>
  <c r="AN165" i="1"/>
  <c r="AU165" i="1"/>
  <c r="AV165" i="1"/>
  <c r="AW165" i="1"/>
  <c r="AX165" i="1"/>
  <c r="Z166" i="1"/>
  <c r="AO166" i="1" s="1"/>
  <c r="AA166" i="1"/>
  <c r="AP166" i="1" s="1"/>
  <c r="AQ166" i="1"/>
  <c r="AC166" i="1"/>
  <c r="AR166" i="1" s="1"/>
  <c r="AD166" i="1"/>
  <c r="AS166" i="1" s="1"/>
  <c r="AT166" i="1"/>
  <c r="AN166" i="1"/>
  <c r="AU166" i="1"/>
  <c r="AV166" i="1"/>
  <c r="AW166" i="1"/>
  <c r="Z167" i="1"/>
  <c r="AO167" i="1" s="1"/>
  <c r="AA167" i="1"/>
  <c r="AY167" i="1" s="1"/>
  <c r="AQ167" i="1"/>
  <c r="AC167" i="1"/>
  <c r="AR167" i="1" s="1"/>
  <c r="AD167" i="1"/>
  <c r="AS167" i="1" s="1"/>
  <c r="AN167" i="1"/>
  <c r="AU167" i="1"/>
  <c r="AV167" i="1"/>
  <c r="AW167" i="1"/>
  <c r="AX167" i="1"/>
  <c r="Z168" i="1"/>
  <c r="AO168" i="1" s="1"/>
  <c r="AA168" i="1"/>
  <c r="AQ168" i="1"/>
  <c r="AC168" i="1"/>
  <c r="AR168" i="1" s="1"/>
  <c r="AD168" i="1"/>
  <c r="AS168" i="1" s="1"/>
  <c r="AT168" i="1"/>
  <c r="AN168" i="1"/>
  <c r="AV168" i="1"/>
  <c r="AW168" i="1"/>
  <c r="AX168" i="1"/>
  <c r="Z169" i="1"/>
  <c r="AO169" i="1" s="1"/>
  <c r="AA169" i="1"/>
  <c r="AQ169" i="1"/>
  <c r="AC169" i="1"/>
  <c r="AR169" i="1" s="1"/>
  <c r="AD169" i="1"/>
  <c r="AS169" i="1" s="1"/>
  <c r="AN169" i="1"/>
  <c r="AU169" i="1"/>
  <c r="AV169" i="1"/>
  <c r="AW169" i="1"/>
  <c r="AX169" i="1"/>
  <c r="Z170" i="1"/>
  <c r="AO170" i="1" s="1"/>
  <c r="AA170" i="1"/>
  <c r="AY170" i="1" s="1"/>
  <c r="AQ170" i="1"/>
  <c r="AC170" i="1"/>
  <c r="AR170" i="1" s="1"/>
  <c r="AD170" i="1"/>
  <c r="AS170" i="1" s="1"/>
  <c r="AN170" i="1"/>
  <c r="AV170" i="1"/>
  <c r="AW170" i="1"/>
  <c r="AX170" i="1"/>
  <c r="Z171" i="1"/>
  <c r="AO171" i="1" s="1"/>
  <c r="AA171" i="1"/>
  <c r="AP171" i="1" s="1"/>
  <c r="AC171" i="1"/>
  <c r="AR171" i="1" s="1"/>
  <c r="AD171" i="1"/>
  <c r="AS171" i="1" s="1"/>
  <c r="AT171" i="1"/>
  <c r="AN171" i="1"/>
  <c r="AV171" i="1"/>
  <c r="AW171" i="1"/>
  <c r="AX171" i="1"/>
  <c r="Z172" i="1"/>
  <c r="AO172" i="1" s="1"/>
  <c r="AA172" i="1"/>
  <c r="AP172" i="1" s="1"/>
  <c r="AC172" i="1"/>
  <c r="AR172" i="1" s="1"/>
  <c r="AD172" i="1"/>
  <c r="AS172" i="1" s="1"/>
  <c r="AT172" i="1"/>
  <c r="AN172" i="1"/>
  <c r="AV172" i="1"/>
  <c r="AW172" i="1"/>
  <c r="Z173" i="1"/>
  <c r="AO173" i="1" s="1"/>
  <c r="AA173" i="1"/>
  <c r="AP173" i="1" s="1"/>
  <c r="AQ173" i="1"/>
  <c r="AC173" i="1"/>
  <c r="AR173" i="1" s="1"/>
  <c r="AD173" i="1"/>
  <c r="AS173" i="1" s="1"/>
  <c r="AT173" i="1"/>
  <c r="AN173" i="1"/>
  <c r="AU173" i="1"/>
  <c r="AV173" i="1"/>
  <c r="AW173" i="1"/>
  <c r="AX173" i="1"/>
  <c r="Z174" i="1"/>
  <c r="AO174" i="1" s="1"/>
  <c r="AA174" i="1"/>
  <c r="AY174" i="1" s="1"/>
  <c r="AQ174" i="1"/>
  <c r="AC174" i="1"/>
  <c r="AR174" i="1" s="1"/>
  <c r="AD174" i="1"/>
  <c r="AS174" i="1" s="1"/>
  <c r="AT174" i="1"/>
  <c r="AN174" i="1"/>
  <c r="AV174" i="1"/>
  <c r="AW174" i="1"/>
  <c r="AX174" i="1"/>
  <c r="Z175" i="1"/>
  <c r="AO175" i="1" s="1"/>
  <c r="AA175" i="1"/>
  <c r="AP175" i="1" s="1"/>
  <c r="AQ175" i="1"/>
  <c r="AC175" i="1"/>
  <c r="AR175" i="1" s="1"/>
  <c r="AD175" i="1"/>
  <c r="AS175" i="1" s="1"/>
  <c r="AT175" i="1"/>
  <c r="AN175" i="1"/>
  <c r="AU175" i="1"/>
  <c r="AV175" i="1"/>
  <c r="AW175" i="1"/>
  <c r="AX175" i="1"/>
  <c r="Z176" i="1"/>
  <c r="AO176" i="1" s="1"/>
  <c r="AA176" i="1"/>
  <c r="AP176" i="1" s="1"/>
  <c r="AQ176" i="1"/>
  <c r="AC176" i="1"/>
  <c r="AR176" i="1" s="1"/>
  <c r="AD176" i="1"/>
  <c r="AS176" i="1" s="1"/>
  <c r="AT176" i="1"/>
  <c r="AN176" i="1"/>
  <c r="AU176" i="1"/>
  <c r="AV176" i="1"/>
  <c r="AW176" i="1"/>
  <c r="AX176" i="1"/>
  <c r="Z177" i="1"/>
  <c r="AO177" i="1" s="1"/>
  <c r="AA177" i="1"/>
  <c r="AP177" i="1" s="1"/>
  <c r="AQ177" i="1"/>
  <c r="AC177" i="1"/>
  <c r="AR177" i="1" s="1"/>
  <c r="AD177" i="1"/>
  <c r="AS177" i="1" s="1"/>
  <c r="AN177" i="1"/>
  <c r="AU177" i="1"/>
  <c r="AV177" i="1"/>
  <c r="AW177" i="1"/>
  <c r="AX177" i="1"/>
  <c r="Z178" i="1"/>
  <c r="AO178" i="1" s="1"/>
  <c r="AA178" i="1"/>
  <c r="AQ178" i="1"/>
  <c r="AC178" i="1"/>
  <c r="AR178" i="1" s="1"/>
  <c r="AD178" i="1"/>
  <c r="AS178" i="1" s="1"/>
  <c r="AT178" i="1"/>
  <c r="AN178" i="1"/>
  <c r="AU178" i="1"/>
  <c r="AV178" i="1"/>
  <c r="AW178" i="1"/>
  <c r="Z179" i="1"/>
  <c r="AO179" i="1" s="1"/>
  <c r="AA179" i="1"/>
  <c r="AY179" i="1" s="1"/>
  <c r="AC179" i="1"/>
  <c r="AR179" i="1" s="1"/>
  <c r="AD179" i="1"/>
  <c r="AS179" i="1" s="1"/>
  <c r="AT179" i="1"/>
  <c r="AN179" i="1"/>
  <c r="AU179" i="1"/>
  <c r="AV179" i="1"/>
  <c r="AW179" i="1"/>
  <c r="AX179" i="1"/>
  <c r="Z180" i="1"/>
  <c r="AO180" i="1" s="1"/>
  <c r="AA180" i="1"/>
  <c r="AP180" i="1" s="1"/>
  <c r="AC180" i="1"/>
  <c r="AR180" i="1" s="1"/>
  <c r="AD180" i="1"/>
  <c r="AS180" i="1" s="1"/>
  <c r="AT180" i="1"/>
  <c r="AN180" i="1"/>
  <c r="AV180" i="1"/>
  <c r="AW180" i="1"/>
  <c r="AX180" i="1"/>
  <c r="Z181" i="1"/>
  <c r="AO181" i="1" s="1"/>
  <c r="AA181" i="1"/>
  <c r="AP181" i="1" s="1"/>
  <c r="AQ181" i="1"/>
  <c r="AC181" i="1"/>
  <c r="AR181" i="1" s="1"/>
  <c r="AD181" i="1"/>
  <c r="AS181" i="1" s="1"/>
  <c r="AN181" i="1"/>
  <c r="AU181" i="1"/>
  <c r="AV181" i="1"/>
  <c r="AW181" i="1"/>
  <c r="AX181" i="1"/>
  <c r="Z182" i="1"/>
  <c r="AO182" i="1" s="1"/>
  <c r="AA182" i="1"/>
  <c r="AQ182" i="1"/>
  <c r="AC182" i="1"/>
  <c r="AR182" i="1" s="1"/>
  <c r="AD182" i="1"/>
  <c r="AS182" i="1" s="1"/>
  <c r="AN182" i="1"/>
  <c r="AV182" i="1"/>
  <c r="AW182" i="1"/>
  <c r="AX182" i="1"/>
  <c r="Z183" i="1"/>
  <c r="AO183" i="1" s="1"/>
  <c r="AA183" i="1"/>
  <c r="AY183" i="1" s="1"/>
  <c r="AQ183" i="1"/>
  <c r="AC183" i="1"/>
  <c r="AR183" i="1" s="1"/>
  <c r="AD183" i="1"/>
  <c r="AS183" i="1" s="1"/>
  <c r="AT183" i="1"/>
  <c r="AN183" i="1"/>
  <c r="AV183" i="1"/>
  <c r="AW183" i="1"/>
  <c r="AX183" i="1"/>
  <c r="Z184" i="1"/>
  <c r="AO184" i="1" s="1"/>
  <c r="AA184" i="1"/>
  <c r="AP184" i="1" s="1"/>
  <c r="AQ184" i="1"/>
  <c r="AC184" i="1"/>
  <c r="AR184" i="1" s="1"/>
  <c r="AD184" i="1"/>
  <c r="AS184" i="1" s="1"/>
  <c r="AT184" i="1"/>
  <c r="AN184" i="1"/>
  <c r="AV184" i="1"/>
  <c r="AW184" i="1"/>
  <c r="Z185" i="1"/>
  <c r="AO185" i="1" s="1"/>
  <c r="AA185" i="1"/>
  <c r="AP185" i="1" s="1"/>
  <c r="AQ185" i="1"/>
  <c r="AC185" i="1"/>
  <c r="AR185" i="1" s="1"/>
  <c r="AD185" i="1"/>
  <c r="AS185" i="1" s="1"/>
  <c r="AT185" i="1"/>
  <c r="AN185" i="1"/>
  <c r="AV185" i="1"/>
  <c r="AW185" i="1"/>
  <c r="AX185" i="1"/>
  <c r="Z186" i="1"/>
  <c r="AO186" i="1" s="1"/>
  <c r="AA186" i="1"/>
  <c r="AP186" i="1" s="1"/>
  <c r="AQ186" i="1"/>
  <c r="AC186" i="1"/>
  <c r="AR186" i="1" s="1"/>
  <c r="AD186" i="1"/>
  <c r="AS186" i="1" s="1"/>
  <c r="AT186" i="1"/>
  <c r="AN186" i="1"/>
  <c r="AV186" i="1"/>
  <c r="AW186" i="1"/>
  <c r="AX186" i="1"/>
  <c r="Z187" i="1"/>
  <c r="AO187" i="1" s="1"/>
  <c r="AA187" i="1"/>
  <c r="AP187" i="1" s="1"/>
  <c r="AC187" i="1"/>
  <c r="AR187" i="1" s="1"/>
  <c r="AD187" i="1"/>
  <c r="AS187" i="1" s="1"/>
  <c r="AT187" i="1"/>
  <c r="AN187" i="1"/>
  <c r="AU187" i="1"/>
  <c r="AV187" i="1"/>
  <c r="AW187" i="1"/>
  <c r="AX187" i="1"/>
  <c r="Z188" i="1"/>
  <c r="AO188" i="1" s="1"/>
  <c r="AA188" i="1"/>
  <c r="AP188" i="1" s="1"/>
  <c r="AQ188" i="1"/>
  <c r="AC188" i="1"/>
  <c r="AR188" i="1" s="1"/>
  <c r="AD188" i="1"/>
  <c r="AS188" i="1" s="1"/>
  <c r="AT188" i="1"/>
  <c r="AN188" i="1"/>
  <c r="AU188" i="1"/>
  <c r="AV188" i="1"/>
  <c r="AW188" i="1"/>
  <c r="AX188" i="1"/>
  <c r="Z189" i="1"/>
  <c r="AO189" i="1" s="1"/>
  <c r="AA189" i="1"/>
  <c r="AY189" i="1" s="1"/>
  <c r="AQ189" i="1"/>
  <c r="AC189" i="1"/>
  <c r="AR189" i="1" s="1"/>
  <c r="AD189" i="1"/>
  <c r="AS189" i="1" s="1"/>
  <c r="AN189" i="1"/>
  <c r="AU189" i="1"/>
  <c r="AV189" i="1"/>
  <c r="AW189" i="1"/>
  <c r="AX189" i="1"/>
  <c r="Z190" i="1"/>
  <c r="AO190" i="1" s="1"/>
  <c r="AA190" i="1"/>
  <c r="AY190" i="1" s="1"/>
  <c r="AQ190" i="1"/>
  <c r="AC190" i="1"/>
  <c r="AR190" i="1" s="1"/>
  <c r="AD190" i="1"/>
  <c r="AS190" i="1" s="1"/>
  <c r="AT190" i="1"/>
  <c r="AN190" i="1"/>
  <c r="AU190" i="1"/>
  <c r="AV190" i="1"/>
  <c r="AW190" i="1"/>
  <c r="AX190" i="1"/>
  <c r="Z191" i="1"/>
  <c r="AO191" i="1" s="1"/>
  <c r="AA191" i="1"/>
  <c r="AP191" i="1" s="1"/>
  <c r="AQ191" i="1"/>
  <c r="AC191" i="1"/>
  <c r="AR191" i="1" s="1"/>
  <c r="AD191" i="1"/>
  <c r="AS191" i="1" s="1"/>
  <c r="AN191" i="1"/>
  <c r="AU191" i="1"/>
  <c r="AV191" i="1"/>
  <c r="AW191" i="1"/>
  <c r="AX191" i="1"/>
  <c r="Z192" i="1"/>
  <c r="AO192" i="1" s="1"/>
  <c r="AA192" i="1"/>
  <c r="AP192" i="1" s="1"/>
  <c r="AQ192" i="1"/>
  <c r="AC192" i="1"/>
  <c r="AR192" i="1" s="1"/>
  <c r="AD192" i="1"/>
  <c r="AS192" i="1" s="1"/>
  <c r="AT192" i="1"/>
  <c r="AN192" i="1"/>
  <c r="AV192" i="1"/>
  <c r="AW192" i="1"/>
  <c r="AX192" i="1"/>
  <c r="Z193" i="1"/>
  <c r="AO193" i="1" s="1"/>
  <c r="AA193" i="1"/>
  <c r="AY193" i="1" s="1"/>
  <c r="AQ193" i="1"/>
  <c r="AC193" i="1"/>
  <c r="AR193" i="1" s="1"/>
  <c r="AD193" i="1"/>
  <c r="AS193" i="1" s="1"/>
  <c r="AN193" i="1"/>
  <c r="AU193" i="1"/>
  <c r="AV193" i="1"/>
  <c r="AW193" i="1"/>
  <c r="AX193" i="1"/>
  <c r="Z194" i="1"/>
  <c r="AO194" i="1" s="1"/>
  <c r="AA194" i="1"/>
  <c r="AY194" i="1" s="1"/>
  <c r="AQ194" i="1"/>
  <c r="AC194" i="1"/>
  <c r="AR194" i="1" s="1"/>
  <c r="AD194" i="1"/>
  <c r="AS194" i="1" s="1"/>
  <c r="AN194" i="1"/>
  <c r="AV194" i="1"/>
  <c r="AW194" i="1"/>
  <c r="AX194" i="1"/>
  <c r="Z195" i="1"/>
  <c r="AO195" i="1" s="1"/>
  <c r="AA195" i="1"/>
  <c r="AY195" i="1" s="1"/>
  <c r="AQ195" i="1"/>
  <c r="AC195" i="1"/>
  <c r="AR195" i="1" s="1"/>
  <c r="AD195" i="1"/>
  <c r="AS195" i="1" s="1"/>
  <c r="AT195" i="1"/>
  <c r="AN195" i="1"/>
  <c r="AV195" i="1"/>
  <c r="AW195" i="1"/>
  <c r="AX195" i="1"/>
  <c r="Z196" i="1"/>
  <c r="AO196" i="1" s="1"/>
  <c r="AA196" i="1"/>
  <c r="AP196" i="1" s="1"/>
  <c r="AC196" i="1"/>
  <c r="AR196" i="1" s="1"/>
  <c r="AD196" i="1"/>
  <c r="AS196" i="1" s="1"/>
  <c r="AT196" i="1"/>
  <c r="AN196" i="1"/>
  <c r="AV196" i="1"/>
  <c r="AW196" i="1"/>
  <c r="Z197" i="1"/>
  <c r="AO197" i="1" s="1"/>
  <c r="AA197" i="1"/>
  <c r="AP197" i="1" s="1"/>
  <c r="AQ197" i="1"/>
  <c r="AC197" i="1"/>
  <c r="AR197" i="1" s="1"/>
  <c r="AD197" i="1"/>
  <c r="AS197" i="1" s="1"/>
  <c r="AT197" i="1"/>
  <c r="AN197" i="1"/>
  <c r="AU197" i="1"/>
  <c r="AV197" i="1"/>
  <c r="AW197" i="1"/>
  <c r="AX197" i="1"/>
  <c r="Z198" i="1"/>
  <c r="AO198" i="1" s="1"/>
  <c r="AA198" i="1"/>
  <c r="AQ198" i="1"/>
  <c r="AC198" i="1"/>
  <c r="AR198" i="1" s="1"/>
  <c r="AD198" i="1"/>
  <c r="AS198" i="1" s="1"/>
  <c r="AT198" i="1"/>
  <c r="AN198" i="1"/>
  <c r="AV198" i="1"/>
  <c r="AW198" i="1"/>
  <c r="AX198" i="1"/>
  <c r="Z199" i="1"/>
  <c r="AO199" i="1" s="1"/>
  <c r="AA199" i="1"/>
  <c r="AP199" i="1" s="1"/>
  <c r="AQ199" i="1"/>
  <c r="AC199" i="1"/>
  <c r="AR199" i="1" s="1"/>
  <c r="AD199" i="1"/>
  <c r="AS199" i="1" s="1"/>
  <c r="AT199" i="1"/>
  <c r="AN199" i="1"/>
  <c r="AU199" i="1"/>
  <c r="AV199" i="1"/>
  <c r="AW199" i="1"/>
  <c r="AX199" i="1"/>
  <c r="Z200" i="1"/>
  <c r="AO200" i="1" s="1"/>
  <c r="AA200" i="1"/>
  <c r="AP200" i="1" s="1"/>
  <c r="AQ200" i="1"/>
  <c r="AC200" i="1"/>
  <c r="AR200" i="1" s="1"/>
  <c r="AD200" i="1"/>
  <c r="AS200" i="1" s="1"/>
  <c r="AT200" i="1"/>
  <c r="AN200" i="1"/>
  <c r="AU200" i="1"/>
  <c r="AV200" i="1"/>
  <c r="AW200" i="1"/>
  <c r="AX200" i="1"/>
  <c r="Z201" i="1"/>
  <c r="AO201" i="1" s="1"/>
  <c r="AA201" i="1"/>
  <c r="AY201" i="1" s="1"/>
  <c r="AQ201" i="1"/>
  <c r="AC201" i="1"/>
  <c r="AR201" i="1" s="1"/>
  <c r="AD201" i="1"/>
  <c r="AS201" i="1" s="1"/>
  <c r="AN201" i="1"/>
  <c r="AU201" i="1"/>
  <c r="AV201" i="1"/>
  <c r="AW201" i="1"/>
  <c r="AX201" i="1"/>
  <c r="Z202" i="1"/>
  <c r="AO202" i="1" s="1"/>
  <c r="AA202" i="1"/>
  <c r="AQ202" i="1"/>
  <c r="AC202" i="1"/>
  <c r="AR202" i="1" s="1"/>
  <c r="AD202" i="1"/>
  <c r="AS202" i="1" s="1"/>
  <c r="AT202" i="1"/>
  <c r="AN202" i="1"/>
  <c r="AU202" i="1"/>
  <c r="AV202" i="1"/>
  <c r="AW202" i="1"/>
  <c r="Z203" i="1"/>
  <c r="AO203" i="1" s="1"/>
  <c r="AA203" i="1"/>
  <c r="AP203" i="1" s="1"/>
  <c r="AC203" i="1"/>
  <c r="AR203" i="1" s="1"/>
  <c r="AD203" i="1"/>
  <c r="AS203" i="1" s="1"/>
  <c r="AN203" i="1"/>
  <c r="AU203" i="1"/>
  <c r="AV203" i="1"/>
  <c r="AW203" i="1"/>
  <c r="AX203" i="1"/>
  <c r="Z204" i="1"/>
  <c r="AO204" i="1" s="1"/>
  <c r="AA204" i="1"/>
  <c r="AP204" i="1" s="1"/>
  <c r="AC204" i="1"/>
  <c r="AR204" i="1" s="1"/>
  <c r="AD204" i="1"/>
  <c r="AS204" i="1" s="1"/>
  <c r="AT204" i="1"/>
  <c r="AN204" i="1"/>
  <c r="AV204" i="1"/>
  <c r="AW204" i="1"/>
  <c r="AX204" i="1"/>
  <c r="Z205" i="1"/>
  <c r="AO205" i="1" s="1"/>
  <c r="AA205" i="1"/>
  <c r="AQ205" i="1"/>
  <c r="AC205" i="1"/>
  <c r="AR205" i="1" s="1"/>
  <c r="AD205" i="1"/>
  <c r="AS205" i="1" s="1"/>
  <c r="AN205" i="1"/>
  <c r="AU205" i="1"/>
  <c r="AV205" i="1"/>
  <c r="AW205" i="1"/>
  <c r="AX205" i="1"/>
  <c r="Z206" i="1"/>
  <c r="AO206" i="1" s="1"/>
  <c r="AA206" i="1"/>
  <c r="AY206" i="1" s="1"/>
  <c r="AQ206" i="1"/>
  <c r="AC206" i="1"/>
  <c r="AR206" i="1" s="1"/>
  <c r="AD206" i="1"/>
  <c r="AS206" i="1" s="1"/>
  <c r="AN206" i="1"/>
  <c r="AV206" i="1"/>
  <c r="AW206" i="1"/>
  <c r="AX206" i="1"/>
  <c r="Z207" i="1"/>
  <c r="AO207" i="1" s="1"/>
  <c r="AA207" i="1"/>
  <c r="AP207" i="1" s="1"/>
  <c r="AQ207" i="1"/>
  <c r="AC207" i="1"/>
  <c r="AR207" i="1" s="1"/>
  <c r="AD207" i="1"/>
  <c r="AS207" i="1" s="1"/>
  <c r="AT207" i="1"/>
  <c r="AN207" i="1"/>
  <c r="AV207" i="1"/>
  <c r="AW207" i="1"/>
  <c r="AX207" i="1"/>
  <c r="Z208" i="1"/>
  <c r="AO208" i="1" s="1"/>
  <c r="AA208" i="1"/>
  <c r="AP208" i="1" s="1"/>
  <c r="AQ208" i="1"/>
  <c r="AC208" i="1"/>
  <c r="AR208" i="1" s="1"/>
  <c r="AD208" i="1"/>
  <c r="AS208" i="1" s="1"/>
  <c r="AT208" i="1"/>
  <c r="AN208" i="1"/>
  <c r="AV208" i="1"/>
  <c r="AW208" i="1"/>
  <c r="Z209" i="1"/>
  <c r="AO209" i="1" s="1"/>
  <c r="AA209" i="1"/>
  <c r="AQ209" i="1"/>
  <c r="AC209" i="1"/>
  <c r="AR209" i="1" s="1"/>
  <c r="AD209" i="1"/>
  <c r="AS209" i="1" s="1"/>
  <c r="AT209" i="1"/>
  <c r="AN209" i="1"/>
  <c r="AV209" i="1"/>
  <c r="AW209" i="1"/>
  <c r="AX209" i="1"/>
  <c r="Z210" i="1"/>
  <c r="AO210" i="1" s="1"/>
  <c r="AA210" i="1"/>
  <c r="AP210" i="1" s="1"/>
  <c r="AQ210" i="1"/>
  <c r="AC210" i="1"/>
  <c r="AR210" i="1" s="1"/>
  <c r="AD210" i="1"/>
  <c r="AS210" i="1" s="1"/>
  <c r="AT210" i="1"/>
  <c r="AN210" i="1"/>
  <c r="AV210" i="1"/>
  <c r="AW210" i="1"/>
  <c r="AX210" i="1"/>
  <c r="Z211" i="1"/>
  <c r="AO211" i="1" s="1"/>
  <c r="AA211" i="1"/>
  <c r="AP211" i="1" s="1"/>
  <c r="AQ211" i="1"/>
  <c r="AC211" i="1"/>
  <c r="AR211" i="1" s="1"/>
  <c r="AD211" i="1"/>
  <c r="AS211" i="1" s="1"/>
  <c r="AT211" i="1"/>
  <c r="AN211" i="1"/>
  <c r="AU211" i="1"/>
  <c r="AV211" i="1"/>
  <c r="AW211" i="1"/>
  <c r="AX211" i="1"/>
  <c r="Z212" i="1"/>
  <c r="AO212" i="1" s="1"/>
  <c r="AA212" i="1"/>
  <c r="AP212" i="1" s="1"/>
  <c r="AC212" i="1"/>
  <c r="AR212" i="1" s="1"/>
  <c r="AD212" i="1"/>
  <c r="AS212" i="1" s="1"/>
  <c r="AT212" i="1"/>
  <c r="AN212" i="1"/>
  <c r="AU212" i="1"/>
  <c r="AV212" i="1"/>
  <c r="AW212" i="1"/>
  <c r="AX212" i="1"/>
  <c r="Z213" i="1"/>
  <c r="AO213" i="1" s="1"/>
  <c r="AA213" i="1"/>
  <c r="AQ213" i="1"/>
  <c r="AC213" i="1"/>
  <c r="AR213" i="1" s="1"/>
  <c r="AD213" i="1"/>
  <c r="AS213" i="1" s="1"/>
  <c r="AN213" i="1"/>
  <c r="AU213" i="1"/>
  <c r="AV213" i="1"/>
  <c r="AW213" i="1"/>
  <c r="AX213" i="1"/>
  <c r="Z214" i="1"/>
  <c r="AO214" i="1" s="1"/>
  <c r="AA214" i="1"/>
  <c r="AY214" i="1" s="1"/>
  <c r="AQ214" i="1"/>
  <c r="AC214" i="1"/>
  <c r="AR214" i="1" s="1"/>
  <c r="AD214" i="1"/>
  <c r="AS214" i="1" s="1"/>
  <c r="AT214" i="1"/>
  <c r="AN214" i="1"/>
  <c r="AU214" i="1"/>
  <c r="AV214" i="1"/>
  <c r="AW214" i="1"/>
  <c r="Z215" i="1"/>
  <c r="AO215" i="1" s="1"/>
  <c r="AA215" i="1"/>
  <c r="AP215" i="1" s="1"/>
  <c r="AQ215" i="1"/>
  <c r="AC215" i="1"/>
  <c r="AR215" i="1" s="1"/>
  <c r="AD215" i="1"/>
  <c r="AS215" i="1" s="1"/>
  <c r="AN215" i="1"/>
  <c r="AU215" i="1"/>
  <c r="AV215" i="1"/>
  <c r="AW215" i="1"/>
  <c r="AX215" i="1"/>
  <c r="Z216" i="1"/>
  <c r="AO216" i="1" s="1"/>
  <c r="AA216" i="1"/>
  <c r="AP216" i="1" s="1"/>
  <c r="AQ216" i="1"/>
  <c r="AC216" i="1"/>
  <c r="AR216" i="1" s="1"/>
  <c r="AD216" i="1"/>
  <c r="AS216" i="1" s="1"/>
  <c r="AT216" i="1"/>
  <c r="AN216" i="1"/>
  <c r="AV216" i="1"/>
  <c r="AW216" i="1"/>
  <c r="AX216" i="1"/>
  <c r="Z217" i="1"/>
  <c r="AO217" i="1" s="1"/>
  <c r="AA217" i="1"/>
  <c r="AY217" i="1" s="1"/>
  <c r="AQ217" i="1"/>
  <c r="AC217" i="1"/>
  <c r="AR217" i="1" s="1"/>
  <c r="AD217" i="1"/>
  <c r="AS217" i="1" s="1"/>
  <c r="AN217" i="1"/>
  <c r="AU217" i="1"/>
  <c r="AV217" i="1"/>
  <c r="AW217" i="1"/>
  <c r="AX217" i="1"/>
  <c r="Z218" i="1"/>
  <c r="AO218" i="1" s="1"/>
  <c r="AA218" i="1"/>
  <c r="AQ218" i="1"/>
  <c r="AC218" i="1"/>
  <c r="AR218" i="1" s="1"/>
  <c r="AD218" i="1"/>
  <c r="AS218" i="1" s="1"/>
  <c r="AN218" i="1"/>
  <c r="AV218" i="1"/>
  <c r="AW218" i="1"/>
  <c r="AX218" i="1"/>
  <c r="Z219" i="1"/>
  <c r="AO219" i="1" s="1"/>
  <c r="AA219" i="1"/>
  <c r="AP219" i="1" s="1"/>
  <c r="AQ219" i="1"/>
  <c r="AC219" i="1"/>
  <c r="AR219" i="1" s="1"/>
  <c r="AD219" i="1"/>
  <c r="AS219" i="1" s="1"/>
  <c r="AT219" i="1"/>
  <c r="AN219" i="1"/>
  <c r="AV219" i="1"/>
  <c r="AW219" i="1"/>
  <c r="AX219" i="1"/>
  <c r="Z220" i="1"/>
  <c r="AO220" i="1" s="1"/>
  <c r="AA220" i="1"/>
  <c r="AY220" i="1" s="1"/>
  <c r="AC220" i="1"/>
  <c r="AR220" i="1" s="1"/>
  <c r="AD220" i="1"/>
  <c r="AS220" i="1" s="1"/>
  <c r="AT220" i="1"/>
  <c r="AN220" i="1"/>
  <c r="AV220" i="1"/>
  <c r="AW220" i="1"/>
  <c r="Z221" i="1"/>
  <c r="AO221" i="1" s="1"/>
  <c r="AA221" i="1"/>
  <c r="AP221" i="1" s="1"/>
  <c r="AQ221" i="1"/>
  <c r="AC221" i="1"/>
  <c r="AR221" i="1" s="1"/>
  <c r="AD221" i="1"/>
  <c r="AS221" i="1" s="1"/>
  <c r="AT221" i="1"/>
  <c r="AN221" i="1"/>
  <c r="AV221" i="1"/>
  <c r="AW221" i="1"/>
  <c r="AX221" i="1"/>
  <c r="Z222" i="1"/>
  <c r="AO222" i="1" s="1"/>
  <c r="AA222" i="1"/>
  <c r="AP222" i="1" s="1"/>
  <c r="AQ222" i="1"/>
  <c r="AC222" i="1"/>
  <c r="AR222" i="1" s="1"/>
  <c r="AD222" i="1"/>
  <c r="AS222" i="1" s="1"/>
  <c r="AT222" i="1"/>
  <c r="AN222" i="1"/>
  <c r="AV222" i="1"/>
  <c r="AW222" i="1"/>
  <c r="AX222" i="1"/>
  <c r="Z223" i="1"/>
  <c r="AO223" i="1" s="1"/>
  <c r="AA223" i="1"/>
  <c r="AP223" i="1" s="1"/>
  <c r="AQ223" i="1"/>
  <c r="AC223" i="1"/>
  <c r="AR223" i="1" s="1"/>
  <c r="AD223" i="1"/>
  <c r="AS223" i="1" s="1"/>
  <c r="AT223" i="1"/>
  <c r="AN223" i="1"/>
  <c r="AU223" i="1"/>
  <c r="AV223" i="1"/>
  <c r="AW223" i="1"/>
  <c r="AX223" i="1"/>
  <c r="Z224" i="1"/>
  <c r="AO224" i="1" s="1"/>
  <c r="AA224" i="1"/>
  <c r="AP224" i="1" s="1"/>
  <c r="AQ224" i="1"/>
  <c r="AC224" i="1"/>
  <c r="AR224" i="1" s="1"/>
  <c r="AD224" i="1"/>
  <c r="AS224" i="1" s="1"/>
  <c r="AT224" i="1"/>
  <c r="AN224" i="1"/>
  <c r="AU224" i="1"/>
  <c r="AV224" i="1"/>
  <c r="AW224" i="1"/>
  <c r="AX224" i="1"/>
  <c r="Z225" i="1"/>
  <c r="AO225" i="1" s="1"/>
  <c r="AA225" i="1"/>
  <c r="AY225" i="1" s="1"/>
  <c r="AQ225" i="1"/>
  <c r="AC225" i="1"/>
  <c r="AR225" i="1" s="1"/>
  <c r="AD225" i="1"/>
  <c r="AS225" i="1" s="1"/>
  <c r="AN225" i="1"/>
  <c r="AU225" i="1"/>
  <c r="AV225" i="1"/>
  <c r="AW225" i="1"/>
  <c r="AX225" i="1"/>
  <c r="Z226" i="1"/>
  <c r="AO226" i="1" s="1"/>
  <c r="AA226" i="1"/>
  <c r="AP226" i="1" s="1"/>
  <c r="AQ226" i="1"/>
  <c r="AC226" i="1"/>
  <c r="AR226" i="1" s="1"/>
  <c r="AD226" i="1"/>
  <c r="AS226" i="1" s="1"/>
  <c r="AT226" i="1"/>
  <c r="AN226" i="1"/>
  <c r="AU226" i="1"/>
  <c r="AV226" i="1"/>
  <c r="AW226" i="1"/>
  <c r="Z227" i="1"/>
  <c r="AO227" i="1" s="1"/>
  <c r="AA227" i="1"/>
  <c r="AY227" i="1" s="1"/>
  <c r="AC227" i="1"/>
  <c r="AR227" i="1" s="1"/>
  <c r="AD227" i="1"/>
  <c r="AS227" i="1" s="1"/>
  <c r="AN227" i="1"/>
  <c r="AU227" i="1"/>
  <c r="AV227" i="1"/>
  <c r="AW227" i="1"/>
  <c r="AX227" i="1"/>
  <c r="Z228" i="1"/>
  <c r="AO228" i="1" s="1"/>
  <c r="AA228" i="1"/>
  <c r="AP228" i="1" s="1"/>
  <c r="AC228" i="1"/>
  <c r="AR228" i="1" s="1"/>
  <c r="AD228" i="1"/>
  <c r="AS228" i="1" s="1"/>
  <c r="AT228" i="1"/>
  <c r="AN228" i="1"/>
  <c r="AV228" i="1"/>
  <c r="AW228" i="1"/>
  <c r="AX228" i="1"/>
  <c r="Z229" i="1"/>
  <c r="AO229" i="1" s="1"/>
  <c r="AA229" i="1"/>
  <c r="AQ229" i="1"/>
  <c r="AC229" i="1"/>
  <c r="AR229" i="1" s="1"/>
  <c r="AD229" i="1"/>
  <c r="AS229" i="1" s="1"/>
  <c r="AN229" i="1"/>
  <c r="AU229" i="1"/>
  <c r="AV229" i="1"/>
  <c r="AW229" i="1"/>
  <c r="AX229" i="1"/>
  <c r="Z230" i="1"/>
  <c r="AO230" i="1" s="1"/>
  <c r="AA230" i="1"/>
  <c r="AQ230" i="1"/>
  <c r="AC230" i="1"/>
  <c r="AR230" i="1" s="1"/>
  <c r="AD230" i="1"/>
  <c r="AS230" i="1" s="1"/>
  <c r="AN230" i="1"/>
  <c r="AV230" i="1"/>
  <c r="AW230" i="1"/>
  <c r="AX230" i="1"/>
  <c r="Z231" i="1"/>
  <c r="AO231" i="1" s="1"/>
  <c r="AA231" i="1"/>
  <c r="AQ231" i="1"/>
  <c r="AC231" i="1"/>
  <c r="AR231" i="1" s="1"/>
  <c r="AD231" i="1"/>
  <c r="AS231" i="1" s="1"/>
  <c r="AT231" i="1"/>
  <c r="AN231" i="1"/>
  <c r="AV231" i="1"/>
  <c r="AW231" i="1"/>
  <c r="AX231" i="1"/>
  <c r="Z232" i="1"/>
  <c r="AO232" i="1" s="1"/>
  <c r="AA232" i="1"/>
  <c r="AY232" i="1" s="1"/>
  <c r="AQ232" i="1"/>
  <c r="AC232" i="1"/>
  <c r="AR232" i="1" s="1"/>
  <c r="AD232" i="1"/>
  <c r="AS232" i="1" s="1"/>
  <c r="AT232" i="1"/>
  <c r="AN232" i="1"/>
  <c r="AV232" i="1"/>
  <c r="AW232" i="1"/>
  <c r="Z233" i="1"/>
  <c r="AO233" i="1" s="1"/>
  <c r="AA233" i="1"/>
  <c r="AP233" i="1" s="1"/>
  <c r="AQ233" i="1"/>
  <c r="AC233" i="1"/>
  <c r="AR233" i="1" s="1"/>
  <c r="AD233" i="1"/>
  <c r="AS233" i="1" s="1"/>
  <c r="AT233" i="1"/>
  <c r="AN233" i="1"/>
  <c r="AV233" i="1"/>
  <c r="AW233" i="1"/>
  <c r="AX233" i="1"/>
  <c r="Z234" i="1"/>
  <c r="AO234" i="1" s="1"/>
  <c r="AA234" i="1"/>
  <c r="AP234" i="1" s="1"/>
  <c r="AQ234" i="1"/>
  <c r="AC234" i="1"/>
  <c r="AR234" i="1" s="1"/>
  <c r="AD234" i="1"/>
  <c r="AS234" i="1" s="1"/>
  <c r="AT234" i="1"/>
  <c r="AN234" i="1"/>
  <c r="AV234" i="1"/>
  <c r="AW234" i="1"/>
  <c r="AX234" i="1"/>
  <c r="Z235" i="1"/>
  <c r="AO235" i="1" s="1"/>
  <c r="AA235" i="1"/>
  <c r="AP235" i="1" s="1"/>
  <c r="AQ235" i="1"/>
  <c r="AC235" i="1"/>
  <c r="AR235" i="1" s="1"/>
  <c r="AD235" i="1"/>
  <c r="AS235" i="1" s="1"/>
  <c r="AT235" i="1"/>
  <c r="AN235" i="1"/>
  <c r="AU235" i="1"/>
  <c r="AV235" i="1"/>
  <c r="AW235" i="1"/>
  <c r="AX235" i="1"/>
  <c r="Z236" i="1"/>
  <c r="AO236" i="1" s="1"/>
  <c r="AA236" i="1"/>
  <c r="AP236" i="1" s="1"/>
  <c r="AC236" i="1"/>
  <c r="AR236" i="1" s="1"/>
  <c r="AD236" i="1"/>
  <c r="AS236" i="1" s="1"/>
  <c r="AT236" i="1"/>
  <c r="AN236" i="1"/>
  <c r="AU236" i="1"/>
  <c r="AV236" i="1"/>
  <c r="AW236" i="1"/>
  <c r="AX236" i="1"/>
  <c r="Z237" i="1"/>
  <c r="AO237" i="1" s="1"/>
  <c r="AA237" i="1"/>
  <c r="AY237" i="1" s="1"/>
  <c r="AQ237" i="1"/>
  <c r="AC237" i="1"/>
  <c r="AR237" i="1" s="1"/>
  <c r="AD237" i="1"/>
  <c r="AS237" i="1" s="1"/>
  <c r="AN237" i="1"/>
  <c r="AU237" i="1"/>
  <c r="AV237" i="1"/>
  <c r="AW237" i="1"/>
  <c r="AX237" i="1"/>
  <c r="Z238" i="1"/>
  <c r="AO238" i="1" s="1"/>
  <c r="AA238" i="1"/>
  <c r="AP238" i="1" s="1"/>
  <c r="AQ238" i="1"/>
  <c r="AC238" i="1"/>
  <c r="AR238" i="1" s="1"/>
  <c r="AD238" i="1"/>
  <c r="AS238" i="1" s="1"/>
  <c r="AT238" i="1"/>
  <c r="AN238" i="1"/>
  <c r="AU238" i="1"/>
  <c r="AV238" i="1"/>
  <c r="AW238" i="1"/>
  <c r="Z239" i="1"/>
  <c r="AO239" i="1" s="1"/>
  <c r="AA239" i="1"/>
  <c r="AY239" i="1" s="1"/>
  <c r="AQ239" i="1"/>
  <c r="AC239" i="1"/>
  <c r="AR239" i="1" s="1"/>
  <c r="AD239" i="1"/>
  <c r="AS239" i="1" s="1"/>
  <c r="AN239" i="1"/>
  <c r="AU239" i="1"/>
  <c r="AV239" i="1"/>
  <c r="AW239" i="1"/>
  <c r="AX239" i="1"/>
  <c r="Z240" i="1"/>
  <c r="AO240" i="1" s="1"/>
  <c r="AA240" i="1"/>
  <c r="AP240" i="1" s="1"/>
  <c r="AQ240" i="1"/>
  <c r="AC240" i="1"/>
  <c r="AR240" i="1" s="1"/>
  <c r="AD240" i="1"/>
  <c r="AS240" i="1" s="1"/>
  <c r="AT240" i="1"/>
  <c r="AN240" i="1"/>
  <c r="AV240" i="1"/>
  <c r="AW240" i="1"/>
  <c r="AX240" i="1"/>
  <c r="Z241" i="1"/>
  <c r="AO241" i="1" s="1"/>
  <c r="AA241" i="1"/>
  <c r="AP241" i="1" s="1"/>
  <c r="AQ241" i="1"/>
  <c r="AC241" i="1"/>
  <c r="AR241" i="1" s="1"/>
  <c r="AD241" i="1"/>
  <c r="AS241" i="1" s="1"/>
  <c r="AT241" i="1"/>
  <c r="AN241" i="1"/>
  <c r="AU241" i="1"/>
  <c r="AV241" i="1"/>
  <c r="AW241" i="1"/>
  <c r="AX241" i="1"/>
  <c r="Z242" i="1"/>
  <c r="AO242" i="1" s="1"/>
  <c r="AA242" i="1"/>
  <c r="AY242" i="1" s="1"/>
  <c r="AQ242" i="1"/>
  <c r="AC242" i="1"/>
  <c r="AR242" i="1" s="1"/>
  <c r="AD242" i="1"/>
  <c r="AS242" i="1" s="1"/>
  <c r="AN242" i="1"/>
  <c r="AV242" i="1"/>
  <c r="AW242" i="1"/>
  <c r="AX242" i="1"/>
  <c r="Z243" i="1"/>
  <c r="AO243" i="1" s="1"/>
  <c r="AA243" i="1"/>
  <c r="AC243" i="1"/>
  <c r="AR243" i="1" s="1"/>
  <c r="AD243" i="1"/>
  <c r="AS243" i="1" s="1"/>
  <c r="AT243" i="1"/>
  <c r="AN243" i="1"/>
  <c r="AV243" i="1"/>
  <c r="AW243" i="1"/>
  <c r="AX243" i="1"/>
  <c r="Z244" i="1"/>
  <c r="AO244" i="1" s="1"/>
  <c r="AA244" i="1"/>
  <c r="AP244" i="1" s="1"/>
  <c r="AC244" i="1"/>
  <c r="AR244" i="1" s="1"/>
  <c r="AD244" i="1"/>
  <c r="AS244" i="1" s="1"/>
  <c r="AT244" i="1"/>
  <c r="AN244" i="1"/>
  <c r="AV244" i="1"/>
  <c r="AW244" i="1"/>
  <c r="Z245" i="1"/>
  <c r="AO245" i="1" s="1"/>
  <c r="AA245" i="1"/>
  <c r="AP245" i="1" s="1"/>
  <c r="AQ245" i="1"/>
  <c r="AC245" i="1"/>
  <c r="AR245" i="1" s="1"/>
  <c r="AD245" i="1"/>
  <c r="AS245" i="1" s="1"/>
  <c r="AT245" i="1"/>
  <c r="AN245" i="1"/>
  <c r="AV245" i="1"/>
  <c r="AW245" i="1"/>
  <c r="AX245" i="1"/>
  <c r="Z246" i="1"/>
  <c r="AO246" i="1" s="1"/>
  <c r="AA246" i="1"/>
  <c r="AQ246" i="1"/>
  <c r="AC246" i="1"/>
  <c r="AR246" i="1" s="1"/>
  <c r="AD246" i="1"/>
  <c r="AS246" i="1" s="1"/>
  <c r="AT246" i="1"/>
  <c r="AN246" i="1"/>
  <c r="AV246" i="1"/>
  <c r="AW246" i="1"/>
  <c r="AX246" i="1"/>
  <c r="Z247" i="1"/>
  <c r="AO247" i="1" s="1"/>
  <c r="AA247" i="1"/>
  <c r="AQ247" i="1"/>
  <c r="AC247" i="1"/>
  <c r="AR247" i="1" s="1"/>
  <c r="AD247" i="1"/>
  <c r="AS247" i="1" s="1"/>
  <c r="AT247" i="1"/>
  <c r="AN247" i="1"/>
  <c r="AU247" i="1"/>
  <c r="AV247" i="1"/>
  <c r="AW247" i="1"/>
  <c r="AX247" i="1"/>
  <c r="Z248" i="1"/>
  <c r="AO248" i="1" s="1"/>
  <c r="AA248" i="1"/>
  <c r="AP248" i="1" s="1"/>
  <c r="AQ248" i="1"/>
  <c r="AC248" i="1"/>
  <c r="AR248" i="1" s="1"/>
  <c r="AD248" i="1"/>
  <c r="AS248" i="1" s="1"/>
  <c r="AT248" i="1"/>
  <c r="AN248" i="1"/>
  <c r="AU248" i="1"/>
  <c r="AV248" i="1"/>
  <c r="AW248" i="1"/>
  <c r="AX248" i="1"/>
  <c r="Z249" i="1"/>
  <c r="AO249" i="1" s="1"/>
  <c r="AA249" i="1"/>
  <c r="AQ249" i="1"/>
  <c r="AC249" i="1"/>
  <c r="AR249" i="1" s="1"/>
  <c r="AD249" i="1"/>
  <c r="AS249" i="1" s="1"/>
  <c r="AN249" i="1"/>
  <c r="AU249" i="1"/>
  <c r="AV249" i="1"/>
  <c r="AW249" i="1"/>
  <c r="AX249" i="1"/>
  <c r="Z250" i="1"/>
  <c r="AO250" i="1" s="1"/>
  <c r="AA250" i="1"/>
  <c r="AP250" i="1" s="1"/>
  <c r="AQ250" i="1"/>
  <c r="AC250" i="1"/>
  <c r="AR250" i="1" s="1"/>
  <c r="AD250" i="1"/>
  <c r="AS250" i="1" s="1"/>
  <c r="AT250" i="1"/>
  <c r="AN250" i="1"/>
  <c r="AU250" i="1"/>
  <c r="AV250" i="1"/>
  <c r="AW250" i="1"/>
  <c r="AX250" i="1"/>
  <c r="Z251" i="1"/>
  <c r="AO251" i="1" s="1"/>
  <c r="AA251" i="1"/>
  <c r="AP251" i="1" s="1"/>
  <c r="AC251" i="1"/>
  <c r="AR251" i="1" s="1"/>
  <c r="AD251" i="1"/>
  <c r="AS251" i="1" s="1"/>
  <c r="AN251" i="1"/>
  <c r="AU251" i="1"/>
  <c r="AV251" i="1"/>
  <c r="AW251" i="1"/>
  <c r="AX251" i="1"/>
  <c r="Z252" i="1"/>
  <c r="AO252" i="1" s="1"/>
  <c r="AA252" i="1"/>
  <c r="AP252" i="1" s="1"/>
  <c r="AC252" i="1"/>
  <c r="AR252" i="1" s="1"/>
  <c r="AD252" i="1"/>
  <c r="AS252" i="1" s="1"/>
  <c r="AT252" i="1"/>
  <c r="AN252" i="1"/>
  <c r="AV252" i="1"/>
  <c r="AW252" i="1"/>
  <c r="AX252" i="1"/>
  <c r="Z253" i="1"/>
  <c r="AO253" i="1" s="1"/>
  <c r="AA253" i="1"/>
  <c r="AP253" i="1" s="1"/>
  <c r="AQ253" i="1"/>
  <c r="AC253" i="1"/>
  <c r="AR253" i="1" s="1"/>
  <c r="AD253" i="1"/>
  <c r="AS253" i="1" s="1"/>
  <c r="AN253" i="1"/>
  <c r="AU253" i="1"/>
  <c r="AV253" i="1"/>
  <c r="AW253" i="1"/>
  <c r="AX253" i="1"/>
  <c r="Z254" i="1"/>
  <c r="AO254" i="1" s="1"/>
  <c r="AA254" i="1"/>
  <c r="AY254" i="1" s="1"/>
  <c r="AQ254" i="1"/>
  <c r="AC254" i="1"/>
  <c r="AR254" i="1" s="1"/>
  <c r="AD254" i="1"/>
  <c r="AS254" i="1" s="1"/>
  <c r="AN254" i="1"/>
  <c r="AV254" i="1"/>
  <c r="AW254" i="1"/>
  <c r="AX254" i="1"/>
  <c r="Z255" i="1"/>
  <c r="AO255" i="1" s="1"/>
  <c r="AA255" i="1"/>
  <c r="AP255" i="1" s="1"/>
  <c r="AQ255" i="1"/>
  <c r="AC255" i="1"/>
  <c r="AR255" i="1" s="1"/>
  <c r="AD255" i="1"/>
  <c r="AS255" i="1" s="1"/>
  <c r="AT255" i="1"/>
  <c r="AN255" i="1"/>
  <c r="AV255" i="1"/>
  <c r="AW255" i="1"/>
  <c r="AX255" i="1"/>
  <c r="Z256" i="1"/>
  <c r="AO256" i="1" s="1"/>
  <c r="AA256" i="1"/>
  <c r="AP256" i="1" s="1"/>
  <c r="AQ256" i="1"/>
  <c r="AC256" i="1"/>
  <c r="AR256" i="1" s="1"/>
  <c r="AD256" i="1"/>
  <c r="AS256" i="1" s="1"/>
  <c r="AT256" i="1"/>
  <c r="AN256" i="1"/>
  <c r="AV256" i="1"/>
  <c r="AW256" i="1"/>
  <c r="Z257" i="1"/>
  <c r="AO257" i="1" s="1"/>
  <c r="AA257" i="1"/>
  <c r="AP257" i="1" s="1"/>
  <c r="AQ257" i="1"/>
  <c r="AC257" i="1"/>
  <c r="AR257" i="1" s="1"/>
  <c r="AD257" i="1"/>
  <c r="AS257" i="1" s="1"/>
  <c r="AT257" i="1"/>
  <c r="AN257" i="1"/>
  <c r="AV257" i="1"/>
  <c r="AW257" i="1"/>
  <c r="AX257" i="1"/>
  <c r="Z258" i="1"/>
  <c r="AO258" i="1" s="1"/>
  <c r="AA258" i="1"/>
  <c r="AP258" i="1" s="1"/>
  <c r="AQ258" i="1"/>
  <c r="AC258" i="1"/>
  <c r="AR258" i="1" s="1"/>
  <c r="AD258" i="1"/>
  <c r="AS258" i="1" s="1"/>
  <c r="AT258" i="1"/>
  <c r="AN258" i="1"/>
  <c r="AV258" i="1"/>
  <c r="AW258" i="1"/>
  <c r="AX258" i="1"/>
  <c r="Z259" i="1"/>
  <c r="AO259" i="1" s="1"/>
  <c r="AA259" i="1"/>
  <c r="AP259" i="1" s="1"/>
  <c r="AC259" i="1"/>
  <c r="AR259" i="1" s="1"/>
  <c r="AD259" i="1"/>
  <c r="AS259" i="1" s="1"/>
  <c r="AT259" i="1"/>
  <c r="AN259" i="1"/>
  <c r="AU259" i="1"/>
  <c r="AV259" i="1"/>
  <c r="AW259" i="1"/>
  <c r="AX259" i="1"/>
  <c r="Z260" i="1"/>
  <c r="AO260" i="1" s="1"/>
  <c r="AA260" i="1"/>
  <c r="AP260" i="1" s="1"/>
  <c r="AC260" i="1"/>
  <c r="AR260" i="1" s="1"/>
  <c r="AD260" i="1"/>
  <c r="AS260" i="1" s="1"/>
  <c r="AT260" i="1"/>
  <c r="AN260" i="1"/>
  <c r="AU260" i="1"/>
  <c r="AV260" i="1"/>
  <c r="AW260" i="1"/>
  <c r="AX260" i="1"/>
  <c r="Z261" i="1"/>
  <c r="AO261" i="1" s="1"/>
  <c r="AA261" i="1"/>
  <c r="AQ261" i="1"/>
  <c r="AC261" i="1"/>
  <c r="AR261" i="1" s="1"/>
  <c r="AD261" i="1"/>
  <c r="AS261" i="1" s="1"/>
  <c r="AN261" i="1"/>
  <c r="AU261" i="1"/>
  <c r="AV261" i="1"/>
  <c r="AW261" i="1"/>
  <c r="AX261" i="1"/>
  <c r="Z262" i="1"/>
  <c r="AO262" i="1" s="1"/>
  <c r="AA262" i="1"/>
  <c r="AQ262" i="1"/>
  <c r="AC262" i="1"/>
  <c r="AR262" i="1" s="1"/>
  <c r="AD262" i="1"/>
  <c r="AS262" i="1" s="1"/>
  <c r="AT262" i="1"/>
  <c r="AN262" i="1"/>
  <c r="AU262" i="1"/>
  <c r="AV262" i="1"/>
  <c r="AW262" i="1"/>
  <c r="Z263" i="1"/>
  <c r="AO263" i="1" s="1"/>
  <c r="AA263" i="1"/>
  <c r="AP263" i="1" s="1"/>
  <c r="AQ263" i="1"/>
  <c r="AC263" i="1"/>
  <c r="AR263" i="1" s="1"/>
  <c r="AD263" i="1"/>
  <c r="AS263" i="1" s="1"/>
  <c r="AN263" i="1"/>
  <c r="AU263" i="1"/>
  <c r="AV263" i="1"/>
  <c r="AW263" i="1"/>
  <c r="AX263" i="1"/>
  <c r="Z264" i="1"/>
  <c r="AO264" i="1" s="1"/>
  <c r="AA264" i="1"/>
  <c r="AP264" i="1" s="1"/>
  <c r="AQ264" i="1"/>
  <c r="AC264" i="1"/>
  <c r="AR264" i="1" s="1"/>
  <c r="AD264" i="1"/>
  <c r="AS264" i="1" s="1"/>
  <c r="AT264" i="1"/>
  <c r="AN264" i="1"/>
  <c r="AV264" i="1"/>
  <c r="AW264" i="1"/>
  <c r="AX264" i="1"/>
  <c r="Z265" i="1"/>
  <c r="AO265" i="1" s="1"/>
  <c r="AA265" i="1"/>
  <c r="AP265" i="1" s="1"/>
  <c r="AQ265" i="1"/>
  <c r="AC265" i="1"/>
  <c r="AR265" i="1" s="1"/>
  <c r="AD265" i="1"/>
  <c r="AS265" i="1" s="1"/>
  <c r="AT265" i="1"/>
  <c r="AN265" i="1"/>
  <c r="AU265" i="1"/>
  <c r="AV265" i="1"/>
  <c r="AW265" i="1"/>
  <c r="AX265" i="1"/>
  <c r="Z266" i="1"/>
  <c r="AO266" i="1" s="1"/>
  <c r="AA266" i="1"/>
  <c r="AY266" i="1" s="1"/>
  <c r="AQ266" i="1"/>
  <c r="AC266" i="1"/>
  <c r="AR266" i="1" s="1"/>
  <c r="AD266" i="1"/>
  <c r="AS266" i="1" s="1"/>
  <c r="AN266" i="1"/>
  <c r="AV266" i="1"/>
  <c r="AW266" i="1"/>
  <c r="AX266" i="1"/>
  <c r="Z267" i="1"/>
  <c r="AO267" i="1" s="1"/>
  <c r="AA267" i="1"/>
  <c r="AP267" i="1" s="1"/>
  <c r="AC267" i="1"/>
  <c r="AR267" i="1" s="1"/>
  <c r="AD267" i="1"/>
  <c r="AS267" i="1" s="1"/>
  <c r="AT267" i="1"/>
  <c r="AN267" i="1"/>
  <c r="AV267" i="1"/>
  <c r="AW267" i="1"/>
  <c r="AX267" i="1"/>
  <c r="Z268" i="1"/>
  <c r="AO268" i="1" s="1"/>
  <c r="AA268" i="1"/>
  <c r="AP268" i="1" s="1"/>
  <c r="AC268" i="1"/>
  <c r="AR268" i="1" s="1"/>
  <c r="AD268" i="1"/>
  <c r="AS268" i="1" s="1"/>
  <c r="AT268" i="1"/>
  <c r="AN268" i="1"/>
  <c r="AV268" i="1"/>
  <c r="AW268" i="1"/>
  <c r="Z269" i="1"/>
  <c r="AO269" i="1" s="1"/>
  <c r="AA269" i="1"/>
  <c r="AP269" i="1" s="1"/>
  <c r="AQ269" i="1"/>
  <c r="AC269" i="1"/>
  <c r="AR269" i="1" s="1"/>
  <c r="AD269" i="1"/>
  <c r="AS269" i="1" s="1"/>
  <c r="AT269" i="1"/>
  <c r="AN269" i="1"/>
  <c r="AV269" i="1"/>
  <c r="AW269" i="1"/>
  <c r="AX269" i="1"/>
  <c r="Z270" i="1"/>
  <c r="AO270" i="1" s="1"/>
  <c r="AA270" i="1"/>
  <c r="AP270" i="1" s="1"/>
  <c r="AQ270" i="1"/>
  <c r="AC270" i="1"/>
  <c r="AR270" i="1" s="1"/>
  <c r="AD270" i="1"/>
  <c r="AS270" i="1" s="1"/>
  <c r="AT270" i="1"/>
  <c r="AN270" i="1"/>
  <c r="AV270" i="1"/>
  <c r="AW270" i="1"/>
  <c r="AX270" i="1"/>
  <c r="Z271" i="1"/>
  <c r="AO271" i="1" s="1"/>
  <c r="AA271" i="1"/>
  <c r="AP271" i="1" s="1"/>
  <c r="AQ271" i="1"/>
  <c r="AC271" i="1"/>
  <c r="AR271" i="1" s="1"/>
  <c r="AD271" i="1"/>
  <c r="AS271" i="1" s="1"/>
  <c r="AT271" i="1"/>
  <c r="AN271" i="1"/>
  <c r="AU271" i="1"/>
  <c r="AV271" i="1"/>
  <c r="AW271" i="1"/>
  <c r="AX271" i="1"/>
  <c r="Z272" i="1"/>
  <c r="AO272" i="1" s="1"/>
  <c r="AA272" i="1"/>
  <c r="AQ272" i="1"/>
  <c r="AC272" i="1"/>
  <c r="AR272" i="1" s="1"/>
  <c r="AD272" i="1"/>
  <c r="AS272" i="1" s="1"/>
  <c r="AT272" i="1"/>
  <c r="AN272" i="1"/>
  <c r="AU272" i="1"/>
  <c r="AV272" i="1"/>
  <c r="AW272" i="1"/>
  <c r="AX272" i="1"/>
  <c r="Z273" i="1"/>
  <c r="AO273" i="1" s="1"/>
  <c r="AA273" i="1"/>
  <c r="AY273" i="1" s="1"/>
  <c r="AQ273" i="1"/>
  <c r="AC273" i="1"/>
  <c r="AR273" i="1" s="1"/>
  <c r="AD273" i="1"/>
  <c r="AS273" i="1" s="1"/>
  <c r="AN273" i="1"/>
  <c r="AU273" i="1"/>
  <c r="AV273" i="1"/>
  <c r="AW273" i="1"/>
  <c r="AX273" i="1"/>
  <c r="Z274" i="1"/>
  <c r="AO274" i="1" s="1"/>
  <c r="AA274" i="1"/>
  <c r="AP274" i="1" s="1"/>
  <c r="AQ274" i="1"/>
  <c r="AC274" i="1"/>
  <c r="AR274" i="1" s="1"/>
  <c r="AD274" i="1"/>
  <c r="AS274" i="1" s="1"/>
  <c r="AT274" i="1"/>
  <c r="AN274" i="1"/>
  <c r="AU274" i="1"/>
  <c r="AV274" i="1"/>
  <c r="AW274" i="1"/>
  <c r="Z275" i="1"/>
  <c r="AO275" i="1" s="1"/>
  <c r="AA275" i="1"/>
  <c r="AP275" i="1" s="1"/>
  <c r="AC275" i="1"/>
  <c r="AR275" i="1" s="1"/>
  <c r="AD275" i="1"/>
  <c r="AS275" i="1" s="1"/>
  <c r="AN275" i="1"/>
  <c r="AU275" i="1"/>
  <c r="AV275" i="1"/>
  <c r="AW275" i="1"/>
  <c r="AX275" i="1"/>
  <c r="Z276" i="1"/>
  <c r="AO276" i="1" s="1"/>
  <c r="AA276" i="1"/>
  <c r="AC276" i="1"/>
  <c r="AR276" i="1" s="1"/>
  <c r="AD276" i="1"/>
  <c r="AS276" i="1" s="1"/>
  <c r="AT276" i="1"/>
  <c r="AN276" i="1"/>
  <c r="AV276" i="1"/>
  <c r="AW276" i="1"/>
  <c r="AX276" i="1"/>
  <c r="Z277" i="1"/>
  <c r="AO277" i="1" s="1"/>
  <c r="AA277" i="1"/>
  <c r="AP277" i="1" s="1"/>
  <c r="AQ277" i="1"/>
  <c r="AC277" i="1"/>
  <c r="AR277" i="1" s="1"/>
  <c r="AD277" i="1"/>
  <c r="AS277" i="1" s="1"/>
  <c r="AN277" i="1"/>
  <c r="AU277" i="1"/>
  <c r="AV277" i="1"/>
  <c r="AW277" i="1"/>
  <c r="AX277" i="1"/>
  <c r="Z278" i="1"/>
  <c r="AO278" i="1" s="1"/>
  <c r="AA278" i="1"/>
  <c r="AP278" i="1" s="1"/>
  <c r="AQ278" i="1"/>
  <c r="AC278" i="1"/>
  <c r="AR278" i="1" s="1"/>
  <c r="AD278" i="1"/>
  <c r="AS278" i="1" s="1"/>
  <c r="AT278" i="1"/>
  <c r="AN278" i="1"/>
  <c r="AV278" i="1"/>
  <c r="AW278" i="1"/>
  <c r="AX278" i="1"/>
  <c r="Z279" i="1"/>
  <c r="AO279" i="1" s="1"/>
  <c r="AA279" i="1"/>
  <c r="AP279" i="1" s="1"/>
  <c r="AQ279" i="1"/>
  <c r="AC279" i="1"/>
  <c r="AR279" i="1" s="1"/>
  <c r="AD279" i="1"/>
  <c r="AS279" i="1" s="1"/>
  <c r="AT279" i="1"/>
  <c r="AN279" i="1"/>
  <c r="AV279" i="1"/>
  <c r="AW279" i="1"/>
  <c r="AX279" i="1"/>
  <c r="Z280" i="1"/>
  <c r="AO280" i="1" s="1"/>
  <c r="AA280" i="1"/>
  <c r="AP280" i="1" s="1"/>
  <c r="AQ280" i="1"/>
  <c r="AC280" i="1"/>
  <c r="AR280" i="1" s="1"/>
  <c r="AD280" i="1"/>
  <c r="AS280" i="1" s="1"/>
  <c r="AT280" i="1"/>
  <c r="AN280" i="1"/>
  <c r="AV280" i="1"/>
  <c r="AW280" i="1"/>
  <c r="Z281" i="1"/>
  <c r="AO281" i="1" s="1"/>
  <c r="AA281" i="1"/>
  <c r="AP281" i="1" s="1"/>
  <c r="AQ281" i="1"/>
  <c r="AC281" i="1"/>
  <c r="AR281" i="1" s="1"/>
  <c r="AD281" i="1"/>
  <c r="AS281" i="1" s="1"/>
  <c r="AT281" i="1"/>
  <c r="AN281" i="1"/>
  <c r="AU281" i="1"/>
  <c r="AV281" i="1"/>
  <c r="AW281" i="1"/>
  <c r="AX281" i="1"/>
  <c r="Z282" i="1"/>
  <c r="AO282" i="1" s="1"/>
  <c r="AA282" i="1"/>
  <c r="AQ282" i="1"/>
  <c r="AC282" i="1"/>
  <c r="AR282" i="1" s="1"/>
  <c r="AD282" i="1"/>
  <c r="AS282" i="1" s="1"/>
  <c r="AT282" i="1"/>
  <c r="AN282" i="1"/>
  <c r="AV282" i="1"/>
  <c r="AW282" i="1"/>
  <c r="AX282" i="1"/>
  <c r="Z283" i="1"/>
  <c r="AO283" i="1" s="1"/>
  <c r="AA283" i="1"/>
  <c r="AP283" i="1" s="1"/>
  <c r="AC283" i="1"/>
  <c r="AR283" i="1" s="1"/>
  <c r="AD283" i="1"/>
  <c r="AS283" i="1" s="1"/>
  <c r="AT283" i="1"/>
  <c r="AN283" i="1"/>
  <c r="AU283" i="1"/>
  <c r="AV283" i="1"/>
  <c r="AW283" i="1"/>
  <c r="AX283" i="1"/>
  <c r="Z284" i="1"/>
  <c r="AO284" i="1" s="1"/>
  <c r="AA284" i="1"/>
  <c r="AP284" i="1" s="1"/>
  <c r="AC284" i="1"/>
  <c r="AR284" i="1" s="1"/>
  <c r="AD284" i="1"/>
  <c r="AS284" i="1" s="1"/>
  <c r="AT284" i="1"/>
  <c r="AN284" i="1"/>
  <c r="AU284" i="1"/>
  <c r="AV284" i="1"/>
  <c r="AW284" i="1"/>
  <c r="AX284" i="1"/>
  <c r="Z285" i="1"/>
  <c r="AO285" i="1" s="1"/>
  <c r="AA285" i="1"/>
  <c r="AQ285" i="1"/>
  <c r="AC285" i="1"/>
  <c r="AR285" i="1" s="1"/>
  <c r="AD285" i="1"/>
  <c r="AS285" i="1" s="1"/>
  <c r="AN285" i="1"/>
  <c r="AU285" i="1"/>
  <c r="AV285" i="1"/>
  <c r="AW285" i="1"/>
  <c r="AX285" i="1"/>
  <c r="Z286" i="1"/>
  <c r="AO286" i="1" s="1"/>
  <c r="AA286" i="1"/>
  <c r="AP286" i="1" s="1"/>
  <c r="AQ286" i="1"/>
  <c r="AC286" i="1"/>
  <c r="AR286" i="1" s="1"/>
  <c r="AD286" i="1"/>
  <c r="AS286" i="1" s="1"/>
  <c r="AT286" i="1"/>
  <c r="AN286" i="1"/>
  <c r="AU286" i="1"/>
  <c r="AV286" i="1"/>
  <c r="AW286" i="1"/>
  <c r="Z287" i="1"/>
  <c r="AO287" i="1" s="1"/>
  <c r="AA287" i="1"/>
  <c r="AP287" i="1" s="1"/>
  <c r="AQ287" i="1"/>
  <c r="AC287" i="1"/>
  <c r="AR287" i="1" s="1"/>
  <c r="AD287" i="1"/>
  <c r="AS287" i="1" s="1"/>
  <c r="AN287" i="1"/>
  <c r="AU287" i="1"/>
  <c r="AV287" i="1"/>
  <c r="AW287" i="1"/>
  <c r="AX287" i="1"/>
  <c r="Z288" i="1"/>
  <c r="AO288" i="1" s="1"/>
  <c r="AA288" i="1"/>
  <c r="AQ288" i="1"/>
  <c r="AC288" i="1"/>
  <c r="AR288" i="1" s="1"/>
  <c r="AD288" i="1"/>
  <c r="AS288" i="1" s="1"/>
  <c r="AT288" i="1"/>
  <c r="AN288" i="1"/>
  <c r="AV288" i="1"/>
  <c r="AW288" i="1"/>
  <c r="AX288" i="1"/>
  <c r="Z289" i="1"/>
  <c r="AO289" i="1" s="1"/>
  <c r="AA289" i="1"/>
  <c r="AP289" i="1" s="1"/>
  <c r="AQ289" i="1"/>
  <c r="AC289" i="1"/>
  <c r="AR289" i="1" s="1"/>
  <c r="AD289" i="1"/>
  <c r="AS289" i="1" s="1"/>
  <c r="AN289" i="1"/>
  <c r="AU289" i="1"/>
  <c r="AV289" i="1"/>
  <c r="AW289" i="1"/>
  <c r="AX289" i="1"/>
  <c r="Z290" i="1"/>
  <c r="AO290" i="1" s="1"/>
  <c r="AA290" i="1"/>
  <c r="AP290" i="1" s="1"/>
  <c r="AQ290" i="1"/>
  <c r="AC290" i="1"/>
  <c r="AR290" i="1" s="1"/>
  <c r="AD290" i="1"/>
  <c r="AS290" i="1" s="1"/>
  <c r="AT290" i="1"/>
  <c r="AN290" i="1"/>
  <c r="AV290" i="1"/>
  <c r="AW290" i="1"/>
  <c r="AX290" i="1"/>
  <c r="Z291" i="1"/>
  <c r="AO291" i="1" s="1"/>
  <c r="AA291" i="1"/>
  <c r="AP291" i="1" s="1"/>
  <c r="AC291" i="1"/>
  <c r="AR291" i="1" s="1"/>
  <c r="AD291" i="1"/>
  <c r="AS291" i="1" s="1"/>
  <c r="AT291" i="1"/>
  <c r="AN291" i="1"/>
  <c r="AV291" i="1"/>
  <c r="AW291" i="1"/>
  <c r="AX291" i="1"/>
  <c r="Z292" i="1"/>
  <c r="AO292" i="1" s="1"/>
  <c r="AA292" i="1"/>
  <c r="AP292" i="1" s="1"/>
  <c r="AQ292" i="1"/>
  <c r="AC292" i="1"/>
  <c r="AR292" i="1" s="1"/>
  <c r="AD292" i="1"/>
  <c r="AS292" i="1" s="1"/>
  <c r="AT292" i="1"/>
  <c r="AN292" i="1"/>
  <c r="AV292" i="1"/>
  <c r="AW292" i="1"/>
  <c r="Z293" i="1"/>
  <c r="AO293" i="1" s="1"/>
  <c r="AA293" i="1"/>
  <c r="AP293" i="1" s="1"/>
  <c r="AQ293" i="1"/>
  <c r="AC293" i="1"/>
  <c r="AR293" i="1" s="1"/>
  <c r="AD293" i="1"/>
  <c r="AS293" i="1" s="1"/>
  <c r="AT293" i="1"/>
  <c r="AN293" i="1"/>
  <c r="AV293" i="1"/>
  <c r="AW293" i="1"/>
  <c r="AX293" i="1"/>
  <c r="Z294" i="1"/>
  <c r="AO294" i="1" s="1"/>
  <c r="AA294" i="1"/>
  <c r="AP294" i="1" s="1"/>
  <c r="AQ294" i="1"/>
  <c r="AC294" i="1"/>
  <c r="AR294" i="1" s="1"/>
  <c r="AD294" i="1"/>
  <c r="AS294" i="1" s="1"/>
  <c r="AT294" i="1"/>
  <c r="AN294" i="1"/>
  <c r="AV294" i="1"/>
  <c r="AW294" i="1"/>
  <c r="AX294" i="1"/>
  <c r="Z295" i="1"/>
  <c r="AO295" i="1" s="1"/>
  <c r="AA295" i="1"/>
  <c r="AP295" i="1" s="1"/>
  <c r="AQ295" i="1"/>
  <c r="AC295" i="1"/>
  <c r="AR295" i="1" s="1"/>
  <c r="AD295" i="1"/>
  <c r="AS295" i="1" s="1"/>
  <c r="AT295" i="1"/>
  <c r="AN295" i="1"/>
  <c r="AU295" i="1"/>
  <c r="AV295" i="1"/>
  <c r="AW295" i="1"/>
  <c r="AX295" i="1"/>
  <c r="Z296" i="1"/>
  <c r="AO296" i="1" s="1"/>
  <c r="AA296" i="1"/>
  <c r="AP296" i="1" s="1"/>
  <c r="AQ296" i="1"/>
  <c r="AC296" i="1"/>
  <c r="AR296" i="1" s="1"/>
  <c r="AD296" i="1"/>
  <c r="AS296" i="1" s="1"/>
  <c r="AT296" i="1"/>
  <c r="AN296" i="1"/>
  <c r="AU296" i="1"/>
  <c r="AV296" i="1"/>
  <c r="AW296" i="1"/>
  <c r="AX296" i="1"/>
  <c r="Z297" i="1"/>
  <c r="AO297" i="1" s="1"/>
  <c r="AA297" i="1"/>
  <c r="AP297" i="1" s="1"/>
  <c r="AQ297" i="1"/>
  <c r="AC297" i="1"/>
  <c r="AR297" i="1" s="1"/>
  <c r="AD297" i="1"/>
  <c r="AS297" i="1" s="1"/>
  <c r="AN297" i="1"/>
  <c r="AU297" i="1"/>
  <c r="AV297" i="1"/>
  <c r="AW297" i="1"/>
  <c r="AX297" i="1"/>
  <c r="Z298" i="1"/>
  <c r="AO298" i="1" s="1"/>
  <c r="AA298" i="1"/>
  <c r="AP298" i="1" s="1"/>
  <c r="AQ298" i="1"/>
  <c r="AC298" i="1"/>
  <c r="AR298" i="1" s="1"/>
  <c r="AD298" i="1"/>
  <c r="AS298" i="1" s="1"/>
  <c r="AT298" i="1"/>
  <c r="AN298" i="1"/>
  <c r="AU298" i="1"/>
  <c r="AV298" i="1"/>
  <c r="AW298" i="1"/>
  <c r="AX298" i="1"/>
  <c r="Z299" i="1"/>
  <c r="AO299" i="1" s="1"/>
  <c r="AA299" i="1"/>
  <c r="AP299" i="1" s="1"/>
  <c r="AQ299" i="1"/>
  <c r="AC299" i="1"/>
  <c r="AR299" i="1" s="1"/>
  <c r="AD299" i="1"/>
  <c r="AS299" i="1" s="1"/>
  <c r="AT299" i="1"/>
  <c r="AN299" i="1"/>
  <c r="AU299" i="1"/>
  <c r="AV299" i="1"/>
  <c r="AW299" i="1"/>
  <c r="AX299" i="1"/>
  <c r="D41" i="4"/>
  <c r="D40" i="4"/>
  <c r="D38" i="4"/>
  <c r="D37" i="4"/>
  <c r="D34" i="4"/>
  <c r="D33" i="4"/>
  <c r="D32" i="4"/>
  <c r="D31" i="4"/>
  <c r="BB221" i="1" l="1"/>
  <c r="BB186" i="1"/>
  <c r="BB135" i="1"/>
  <c r="AY54" i="1"/>
  <c r="BB54" i="1" s="1"/>
  <c r="AY111" i="1"/>
  <c r="BB111" i="1" s="1"/>
  <c r="AY75" i="1"/>
  <c r="BB75" i="1" s="1"/>
  <c r="AY256" i="1"/>
  <c r="BB256" i="1" s="1"/>
  <c r="AY236" i="1"/>
  <c r="BB236" i="1" s="1"/>
  <c r="AY79" i="1"/>
  <c r="BB79" i="1" s="1"/>
  <c r="AY222" i="1"/>
  <c r="BB222" i="1" s="1"/>
  <c r="AY78" i="1"/>
  <c r="BB78" i="1" s="1"/>
  <c r="AY186" i="1"/>
  <c r="AY270" i="1"/>
  <c r="BB270" i="1" s="1"/>
  <c r="AY154" i="1"/>
  <c r="BB154" i="1" s="1"/>
  <c r="AY135" i="1"/>
  <c r="AY68" i="1"/>
  <c r="BB68" i="1" s="1"/>
  <c r="AY244" i="1"/>
  <c r="BB244" i="1" s="1"/>
  <c r="AY212" i="1"/>
  <c r="BB212" i="1" s="1"/>
  <c r="AY200" i="1"/>
  <c r="BB200" i="1" s="1"/>
  <c r="AY197" i="1"/>
  <c r="BB197" i="1" s="1"/>
  <c r="AY260" i="1"/>
  <c r="BB260" i="1" s="1"/>
  <c r="AY224" i="1"/>
  <c r="BB224" i="1" s="1"/>
  <c r="AY223" i="1"/>
  <c r="BB223" i="1" s="1"/>
  <c r="AY204" i="1"/>
  <c r="BB204" i="1" s="1"/>
  <c r="AY199" i="1"/>
  <c r="BB199" i="1" s="1"/>
  <c r="AY188" i="1"/>
  <c r="BB188" i="1" s="1"/>
  <c r="AY185" i="1"/>
  <c r="BB185" i="1" s="1"/>
  <c r="AY275" i="1"/>
  <c r="BB275" i="1" s="1"/>
  <c r="AY140" i="1"/>
  <c r="BB140" i="1" s="1"/>
  <c r="AY99" i="1"/>
  <c r="BB99" i="1" s="1"/>
  <c r="AY142" i="1"/>
  <c r="BB142" i="1" s="1"/>
  <c r="AY125" i="1"/>
  <c r="BB125" i="1" s="1"/>
  <c r="AY287" i="1"/>
  <c r="BB287" i="1" s="1"/>
  <c r="AY280" i="1"/>
  <c r="BB280" i="1" s="1"/>
  <c r="AY221" i="1"/>
  <c r="AY158" i="1"/>
  <c r="BB158" i="1" s="1"/>
  <c r="AY149" i="1"/>
  <c r="BB149" i="1" s="1"/>
  <c r="AY80" i="1"/>
  <c r="BB80" i="1" s="1"/>
  <c r="AY70" i="1"/>
  <c r="BB70" i="1" s="1"/>
  <c r="AY253" i="1"/>
  <c r="BB253" i="1" s="1"/>
  <c r="AY241" i="1"/>
  <c r="BB241" i="1" s="1"/>
  <c r="AY234" i="1"/>
  <c r="BB234" i="1" s="1"/>
  <c r="AY87" i="1"/>
  <c r="BB87" i="1" s="1"/>
  <c r="AY176" i="1"/>
  <c r="BB176" i="1" s="1"/>
  <c r="AY84" i="1"/>
  <c r="BB84" i="1" s="1"/>
  <c r="AY181" i="1"/>
  <c r="BB181" i="1" s="1"/>
  <c r="AY162" i="1"/>
  <c r="BB162" i="1" s="1"/>
  <c r="AY160" i="1"/>
  <c r="BB160" i="1" s="1"/>
  <c r="AY90" i="1"/>
  <c r="BB90" i="1" s="1"/>
  <c r="AY67" i="1"/>
  <c r="BB67" i="1" s="1"/>
  <c r="AY63" i="1"/>
  <c r="BB63" i="1" s="1"/>
  <c r="AY180" i="1"/>
  <c r="BB180" i="1" s="1"/>
  <c r="AY159" i="1"/>
  <c r="BB159" i="1" s="1"/>
  <c r="AY65" i="1"/>
  <c r="BB65" i="1" s="1"/>
  <c r="AY299" i="1"/>
  <c r="BB299" i="1" s="1"/>
  <c r="AY297" i="1"/>
  <c r="BB297" i="1" s="1"/>
  <c r="AY258" i="1"/>
  <c r="BB258" i="1" s="1"/>
  <c r="AY233" i="1"/>
  <c r="BB233" i="1" s="1"/>
  <c r="AY137" i="1"/>
  <c r="BB137" i="1" s="1"/>
  <c r="AY113" i="1"/>
  <c r="BB113" i="1" s="1"/>
  <c r="AY296" i="1"/>
  <c r="BB296" i="1" s="1"/>
  <c r="AY177" i="1"/>
  <c r="BB177" i="1" s="1"/>
  <c r="AY104" i="1"/>
  <c r="BB104" i="1" s="1"/>
  <c r="AY283" i="1"/>
  <c r="BB283" i="1" s="1"/>
  <c r="AY210" i="1"/>
  <c r="BB210" i="1" s="1"/>
  <c r="AY187" i="1"/>
  <c r="BB187" i="1" s="1"/>
  <c r="AY290" i="1"/>
  <c r="BB290" i="1" s="1"/>
  <c r="AY147" i="1"/>
  <c r="BB147" i="1" s="1"/>
  <c r="AY146" i="1"/>
  <c r="BB146" i="1" s="1"/>
  <c r="AY123" i="1"/>
  <c r="BB123" i="1" s="1"/>
  <c r="AY60" i="1"/>
  <c r="BB60" i="1" s="1"/>
  <c r="AY292" i="1"/>
  <c r="BB292" i="1" s="1"/>
  <c r="AY108" i="1"/>
  <c r="AP108" i="1"/>
  <c r="BB108" i="1" s="1"/>
  <c r="AY263" i="1"/>
  <c r="BB263" i="1" s="1"/>
  <c r="AP198" i="1"/>
  <c r="AY198" i="1"/>
  <c r="AY168" i="1"/>
  <c r="AP168" i="1"/>
  <c r="AY288" i="1"/>
  <c r="BB288" i="1" s="1"/>
  <c r="AP288" i="1"/>
  <c r="AY218" i="1"/>
  <c r="AP218" i="1"/>
  <c r="BB218" i="1" s="1"/>
  <c r="AY182" i="1"/>
  <c r="AP182" i="1"/>
  <c r="AY173" i="1"/>
  <c r="BB173" i="1" s="1"/>
  <c r="AY169" i="1"/>
  <c r="AP169" i="1"/>
  <c r="BB169" i="1" s="1"/>
  <c r="AP126" i="1"/>
  <c r="BB126" i="1" s="1"/>
  <c r="AY126" i="1"/>
  <c r="AP205" i="1"/>
  <c r="BB205" i="1" s="1"/>
  <c r="AY205" i="1"/>
  <c r="AY235" i="1"/>
  <c r="BB235" i="1" s="1"/>
  <c r="AY213" i="1"/>
  <c r="AP213" i="1"/>
  <c r="AY143" i="1"/>
  <c r="AP143" i="1"/>
  <c r="AY101" i="1"/>
  <c r="BB101" i="1" s="1"/>
  <c r="AY77" i="1"/>
  <c r="BB77" i="1" s="1"/>
  <c r="AY107" i="1"/>
  <c r="AP107" i="1"/>
  <c r="BB107" i="1" s="1"/>
  <c r="AP246" i="1"/>
  <c r="AY246" i="1"/>
  <c r="AY229" i="1"/>
  <c r="AP229" i="1"/>
  <c r="AY219" i="1"/>
  <c r="BB219" i="1" s="1"/>
  <c r="AY95" i="1"/>
  <c r="AP95" i="1"/>
  <c r="AY132" i="1"/>
  <c r="AP132" i="1"/>
  <c r="BB132" i="1" s="1"/>
  <c r="AY230" i="1"/>
  <c r="AP230" i="1"/>
  <c r="AY120" i="1"/>
  <c r="AP120" i="1"/>
  <c r="AY71" i="1"/>
  <c r="AP71" i="1"/>
  <c r="AY276" i="1"/>
  <c r="AP276" i="1"/>
  <c r="BB276" i="1" s="1"/>
  <c r="AP285" i="1"/>
  <c r="AY285" i="1"/>
  <c r="AY228" i="1"/>
  <c r="BB228" i="1" s="1"/>
  <c r="AP178" i="1"/>
  <c r="AY178" i="1"/>
  <c r="AY161" i="1"/>
  <c r="BB161" i="1" s="1"/>
  <c r="AY278" i="1"/>
  <c r="BB278" i="1" s="1"/>
  <c r="AY231" i="1"/>
  <c r="AP231" i="1"/>
  <c r="AY294" i="1"/>
  <c r="BB294" i="1" s="1"/>
  <c r="AP282" i="1"/>
  <c r="BB282" i="1" s="1"/>
  <c r="AY282" i="1"/>
  <c r="AY249" i="1"/>
  <c r="AP249" i="1"/>
  <c r="BB249" i="1" s="1"/>
  <c r="AY192" i="1"/>
  <c r="BB192" i="1" s="1"/>
  <c r="AP114" i="1"/>
  <c r="BB114" i="1" s="1"/>
  <c r="AY114" i="1"/>
  <c r="AY295" i="1"/>
  <c r="BB295" i="1" s="1"/>
  <c r="AY247" i="1"/>
  <c r="AP247" i="1"/>
  <c r="BB247" i="1" s="1"/>
  <c r="AY272" i="1"/>
  <c r="AP272" i="1"/>
  <c r="AY261" i="1"/>
  <c r="AP261" i="1"/>
  <c r="BB261" i="1" s="1"/>
  <c r="AP209" i="1"/>
  <c r="AY209" i="1"/>
  <c r="AY202" i="1"/>
  <c r="AP202" i="1"/>
  <c r="BB202" i="1" s="1"/>
  <c r="AY155" i="1"/>
  <c r="AP155" i="1"/>
  <c r="BB155" i="1" s="1"/>
  <c r="AY89" i="1"/>
  <c r="BB89" i="1" s="1"/>
  <c r="AY262" i="1"/>
  <c r="AP262" i="1"/>
  <c r="BB262" i="1" s="1"/>
  <c r="AY243" i="1"/>
  <c r="AP243" i="1"/>
  <c r="AY156" i="1"/>
  <c r="AP156" i="1"/>
  <c r="AY207" i="1"/>
  <c r="BB207" i="1" s="1"/>
  <c r="AY171" i="1"/>
  <c r="BB171" i="1" s="1"/>
  <c r="AY92" i="1"/>
  <c r="BB92" i="1" s="1"/>
  <c r="AY58" i="1"/>
  <c r="BB58" i="1" s="1"/>
  <c r="AP232" i="1"/>
  <c r="BB232" i="1" s="1"/>
  <c r="AP220" i="1"/>
  <c r="BB220" i="1" s="1"/>
  <c r="AP136" i="1"/>
  <c r="BB136" i="1" s="1"/>
  <c r="AP195" i="1"/>
  <c r="BB195" i="1" s="1"/>
  <c r="AP183" i="1"/>
  <c r="BB183" i="1" s="1"/>
  <c r="AY265" i="1"/>
  <c r="BB265" i="1" s="1"/>
  <c r="AY175" i="1"/>
  <c r="BB175" i="1" s="1"/>
  <c r="AY128" i="1"/>
  <c r="BB128" i="1" s="1"/>
  <c r="AY116" i="1"/>
  <c r="BB116" i="1" s="1"/>
  <c r="AY56" i="1"/>
  <c r="BB56" i="1" s="1"/>
  <c r="AP266" i="1"/>
  <c r="BB266" i="1" s="1"/>
  <c r="AP254" i="1"/>
  <c r="BB254" i="1" s="1"/>
  <c r="AP242" i="1"/>
  <c r="BB242" i="1" s="1"/>
  <c r="AP206" i="1"/>
  <c r="BB206" i="1" s="1"/>
  <c r="AP194" i="1"/>
  <c r="BB194" i="1" s="1"/>
  <c r="AP170" i="1"/>
  <c r="BB170" i="1" s="1"/>
  <c r="AP122" i="1"/>
  <c r="BB122" i="1" s="1"/>
  <c r="AP110" i="1"/>
  <c r="BB110" i="1" s="1"/>
  <c r="AP98" i="1"/>
  <c r="BB98" i="1" s="1"/>
  <c r="AP86" i="1"/>
  <c r="BB86" i="1" s="1"/>
  <c r="AP74" i="1"/>
  <c r="BB74" i="1" s="1"/>
  <c r="AP62" i="1"/>
  <c r="BB62" i="1" s="1"/>
  <c r="AY215" i="1"/>
  <c r="BB215" i="1" s="1"/>
  <c r="AP217" i="1"/>
  <c r="BB217" i="1" s="1"/>
  <c r="AP193" i="1"/>
  <c r="BB193" i="1" s="1"/>
  <c r="AP157" i="1"/>
  <c r="BB157" i="1" s="1"/>
  <c r="AP145" i="1"/>
  <c r="BB145" i="1" s="1"/>
  <c r="AP133" i="1"/>
  <c r="BB133" i="1" s="1"/>
  <c r="AP121" i="1"/>
  <c r="BB121" i="1" s="1"/>
  <c r="AP109" i="1"/>
  <c r="BB109" i="1" s="1"/>
  <c r="AP97" i="1"/>
  <c r="BB97" i="1" s="1"/>
  <c r="AP85" i="1"/>
  <c r="BB85" i="1" s="1"/>
  <c r="AP73" i="1"/>
  <c r="BB73" i="1" s="1"/>
  <c r="AP144" i="1"/>
  <c r="BB144" i="1" s="1"/>
  <c r="AP96" i="1"/>
  <c r="BB96" i="1" s="1"/>
  <c r="AP72" i="1"/>
  <c r="BB72" i="1" s="1"/>
  <c r="AY138" i="1"/>
  <c r="BB138" i="1" s="1"/>
  <c r="AY102" i="1"/>
  <c r="BB102" i="1" s="1"/>
  <c r="AP239" i="1"/>
  <c r="BB239" i="1" s="1"/>
  <c r="AP227" i="1"/>
  <c r="BB227" i="1" s="1"/>
  <c r="AP179" i="1"/>
  <c r="BB179" i="1" s="1"/>
  <c r="AP167" i="1"/>
  <c r="BB167" i="1" s="1"/>
  <c r="AP131" i="1"/>
  <c r="BB131" i="1" s="1"/>
  <c r="AP119" i="1"/>
  <c r="BB119" i="1" s="1"/>
  <c r="AP83" i="1"/>
  <c r="BB83" i="1" s="1"/>
  <c r="AP59" i="1"/>
  <c r="BB59" i="1" s="1"/>
  <c r="AP214" i="1"/>
  <c r="BB214" i="1" s="1"/>
  <c r="AP190" i="1"/>
  <c r="BB190" i="1" s="1"/>
  <c r="AP273" i="1"/>
  <c r="BB273" i="1" s="1"/>
  <c r="AP237" i="1"/>
  <c r="BB237" i="1" s="1"/>
  <c r="AP225" i="1"/>
  <c r="BB225" i="1" s="1"/>
  <c r="AP201" i="1"/>
  <c r="BB201" i="1" s="1"/>
  <c r="AP189" i="1"/>
  <c r="BB189" i="1" s="1"/>
  <c r="AP153" i="1"/>
  <c r="BB153" i="1" s="1"/>
  <c r="AP141" i="1"/>
  <c r="BB141" i="1" s="1"/>
  <c r="AP129" i="1"/>
  <c r="BB129" i="1" s="1"/>
  <c r="AP117" i="1"/>
  <c r="BB117" i="1" s="1"/>
  <c r="AP105" i="1"/>
  <c r="BB105" i="1" s="1"/>
  <c r="AP93" i="1"/>
  <c r="BB93" i="1" s="1"/>
  <c r="AP81" i="1"/>
  <c r="BB81" i="1" s="1"/>
  <c r="AP69" i="1"/>
  <c r="BB69" i="1" s="1"/>
  <c r="AP57" i="1"/>
  <c r="BB57" i="1" s="1"/>
  <c r="AP151" i="1"/>
  <c r="BB151" i="1" s="1"/>
  <c r="AP139" i="1"/>
  <c r="BB139" i="1" s="1"/>
  <c r="AP127" i="1"/>
  <c r="BB127" i="1" s="1"/>
  <c r="AP115" i="1"/>
  <c r="BB115" i="1" s="1"/>
  <c r="AP103" i="1"/>
  <c r="BB103" i="1" s="1"/>
  <c r="AP91" i="1"/>
  <c r="BB91" i="1" s="1"/>
  <c r="AP55" i="1"/>
  <c r="BB55" i="1" s="1"/>
  <c r="AP174" i="1"/>
  <c r="BB174" i="1" s="1"/>
  <c r="AP66" i="1"/>
  <c r="BB66" i="1" s="1"/>
  <c r="AY61" i="1"/>
  <c r="BB61" i="1" s="1"/>
  <c r="AY289" i="1"/>
  <c r="BB289" i="1" s="1"/>
  <c r="AY274" i="1"/>
  <c r="BB274" i="1" s="1"/>
  <c r="AY293" i="1"/>
  <c r="BB293" i="1" s="1"/>
  <c r="AY268" i="1"/>
  <c r="BB268" i="1" s="1"/>
  <c r="AY281" i="1"/>
  <c r="BB281" i="1" s="1"/>
  <c r="AY226" i="1"/>
  <c r="BB226" i="1" s="1"/>
  <c r="AY257" i="1"/>
  <c r="BB257" i="1" s="1"/>
  <c r="AY240" i="1"/>
  <c r="BB240" i="1" s="1"/>
  <c r="AY284" i="1"/>
  <c r="BB284" i="1" s="1"/>
  <c r="AY277" i="1"/>
  <c r="BB277" i="1" s="1"/>
  <c r="AY251" i="1"/>
  <c r="BB251" i="1" s="1"/>
  <c r="AY184" i="1"/>
  <c r="BB184" i="1" s="1"/>
  <c r="AY291" i="1"/>
  <c r="BB291" i="1" s="1"/>
  <c r="AY191" i="1"/>
  <c r="BB191" i="1" s="1"/>
  <c r="AY298" i="1"/>
  <c r="BB298" i="1" s="1"/>
  <c r="AY279" i="1"/>
  <c r="BB279" i="1" s="1"/>
  <c r="AY271" i="1"/>
  <c r="BB271" i="1" s="1"/>
  <c r="AY255" i="1"/>
  <c r="BB255" i="1" s="1"/>
  <c r="AY238" i="1"/>
  <c r="BB238" i="1" s="1"/>
  <c r="AY216" i="1"/>
  <c r="BB216" i="1" s="1"/>
  <c r="AY286" i="1"/>
  <c r="BB286" i="1" s="1"/>
  <c r="AY259" i="1"/>
  <c r="BB259" i="1" s="1"/>
  <c r="AY248" i="1"/>
  <c r="BB248" i="1" s="1"/>
  <c r="AY208" i="1"/>
  <c r="BB208" i="1" s="1"/>
  <c r="AY269" i="1"/>
  <c r="BB269" i="1" s="1"/>
  <c r="AY267" i="1"/>
  <c r="BB267" i="1" s="1"/>
  <c r="AY252" i="1"/>
  <c r="BB252" i="1" s="1"/>
  <c r="AY250" i="1"/>
  <c r="BB250" i="1" s="1"/>
  <c r="AY264" i="1"/>
  <c r="BB264" i="1" s="1"/>
  <c r="AY245" i="1"/>
  <c r="BB245" i="1" s="1"/>
  <c r="AY203" i="1"/>
  <c r="BB203" i="1" s="1"/>
  <c r="AY166" i="1"/>
  <c r="BB166" i="1" s="1"/>
  <c r="AY196" i="1"/>
  <c r="BB196" i="1" s="1"/>
  <c r="AY211" i="1"/>
  <c r="BB211" i="1" s="1"/>
  <c r="AY164" i="1"/>
  <c r="BB164" i="1" s="1"/>
  <c r="AY150" i="1"/>
  <c r="BB150" i="1" s="1"/>
  <c r="AY152" i="1"/>
  <c r="BB152" i="1" s="1"/>
  <c r="AY165" i="1"/>
  <c r="BB165" i="1" s="1"/>
  <c r="AY163" i="1"/>
  <c r="BB163" i="1" s="1"/>
  <c r="AY118" i="1"/>
  <c r="BB118" i="1" s="1"/>
  <c r="AY100" i="1"/>
  <c r="BB100" i="1" s="1"/>
  <c r="AY134" i="1"/>
  <c r="BB134" i="1" s="1"/>
  <c r="AY130" i="1"/>
  <c r="BB130" i="1" s="1"/>
  <c r="AY76" i="1"/>
  <c r="BB76" i="1" s="1"/>
  <c r="AY148" i="1"/>
  <c r="BB148" i="1" s="1"/>
  <c r="AY64" i="1"/>
  <c r="BB64" i="1" s="1"/>
  <c r="AY112" i="1"/>
  <c r="BB112" i="1" s="1"/>
  <c r="AY88" i="1"/>
  <c r="BB88" i="1" s="1"/>
  <c r="AY124" i="1"/>
  <c r="BB124" i="1" s="1"/>
  <c r="AY172" i="1"/>
  <c r="BB172" i="1" s="1"/>
  <c r="AY106" i="1"/>
  <c r="BB106" i="1" s="1"/>
  <c r="AY94" i="1"/>
  <c r="BB94" i="1" s="1"/>
  <c r="AY82" i="1"/>
  <c r="BB82" i="1" s="1"/>
  <c r="D27" i="4"/>
  <c r="C28" i="4"/>
  <c r="C29" i="4"/>
  <c r="C30" i="4"/>
  <c r="C31" i="4"/>
  <c r="C32" i="4"/>
  <c r="C33" i="4"/>
  <c r="C34" i="4"/>
  <c r="C35" i="4"/>
  <c r="C36" i="4"/>
  <c r="C37" i="4"/>
  <c r="C38" i="4"/>
  <c r="C39" i="4"/>
  <c r="C40" i="4"/>
  <c r="C41" i="4"/>
  <c r="C27" i="4"/>
  <c r="D39" i="4"/>
  <c r="D30" i="4"/>
  <c r="D29" i="4"/>
  <c r="D28" i="4"/>
  <c r="D35" i="4"/>
  <c r="D15" i="4"/>
  <c r="D36" i="4" s="1"/>
  <c r="AX7"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0" i="1"/>
  <c r="AT9" i="1"/>
  <c r="AT8" i="1"/>
  <c r="AT7" i="1"/>
  <c r="AT6" i="1"/>
  <c r="AT5" i="1"/>
  <c r="AT4" i="1"/>
  <c r="Z52" i="1"/>
  <c r="AO52" i="1" s="1"/>
  <c r="AO5" i="1"/>
  <c r="AO6" i="1"/>
  <c r="AO7" i="1"/>
  <c r="AO8" i="1"/>
  <c r="AO9" i="1"/>
  <c r="AO10" i="1"/>
  <c r="AO11" i="1"/>
  <c r="AO12" i="1"/>
  <c r="AO13" i="1"/>
  <c r="AO14" i="1"/>
  <c r="AO15" i="1"/>
  <c r="Z16" i="1"/>
  <c r="AO16" i="1" s="1"/>
  <c r="Z17" i="1"/>
  <c r="AO17" i="1" s="1"/>
  <c r="Z18" i="1"/>
  <c r="AO18" i="1" s="1"/>
  <c r="Z19" i="1"/>
  <c r="AO19" i="1" s="1"/>
  <c r="Z20" i="1"/>
  <c r="AO20" i="1" s="1"/>
  <c r="Z21" i="1"/>
  <c r="AO21" i="1" s="1"/>
  <c r="Z22" i="1"/>
  <c r="AO22" i="1" s="1"/>
  <c r="Z23" i="1"/>
  <c r="AO23" i="1" s="1"/>
  <c r="Z24" i="1"/>
  <c r="AO24" i="1" s="1"/>
  <c r="Z25" i="1"/>
  <c r="AO25" i="1" s="1"/>
  <c r="Z26" i="1"/>
  <c r="AO26" i="1" s="1"/>
  <c r="Z27" i="1"/>
  <c r="AO27" i="1" s="1"/>
  <c r="Z28" i="1"/>
  <c r="AO28" i="1" s="1"/>
  <c r="Z29" i="1"/>
  <c r="AO29" i="1" s="1"/>
  <c r="Z30" i="1"/>
  <c r="AO30" i="1" s="1"/>
  <c r="Z31" i="1"/>
  <c r="AO31" i="1" s="1"/>
  <c r="Z32" i="1"/>
  <c r="AO32" i="1" s="1"/>
  <c r="Z33" i="1"/>
  <c r="AO33" i="1" s="1"/>
  <c r="Z34" i="1"/>
  <c r="AO34" i="1" s="1"/>
  <c r="Z35" i="1"/>
  <c r="AO35" i="1" s="1"/>
  <c r="Z36" i="1"/>
  <c r="AO36" i="1" s="1"/>
  <c r="Z37" i="1"/>
  <c r="AO37" i="1" s="1"/>
  <c r="Z38" i="1"/>
  <c r="AO38" i="1" s="1"/>
  <c r="Z39" i="1"/>
  <c r="AO39" i="1" s="1"/>
  <c r="Z40" i="1"/>
  <c r="AO40" i="1" s="1"/>
  <c r="Z41" i="1"/>
  <c r="AO41" i="1" s="1"/>
  <c r="Z42" i="1"/>
  <c r="AO42" i="1" s="1"/>
  <c r="Z43" i="1"/>
  <c r="AO43" i="1" s="1"/>
  <c r="Z44" i="1"/>
  <c r="AO44" i="1" s="1"/>
  <c r="Z45" i="1"/>
  <c r="AO45" i="1" s="1"/>
  <c r="Z46" i="1"/>
  <c r="AO46" i="1" s="1"/>
  <c r="Z47" i="1"/>
  <c r="AO47" i="1" s="1"/>
  <c r="Z48" i="1"/>
  <c r="AO48" i="1" s="1"/>
  <c r="Z49" i="1"/>
  <c r="AO49" i="1" s="1"/>
  <c r="Z50" i="1"/>
  <c r="AO50" i="1" s="1"/>
  <c r="Z51" i="1"/>
  <c r="AO51" i="1" s="1"/>
  <c r="Z53" i="1"/>
  <c r="AO53" i="1" s="1"/>
  <c r="AO4" i="1"/>
  <c r="AT11" i="1"/>
  <c r="AW5" i="1"/>
  <c r="AX5" i="1"/>
  <c r="AW6" i="1"/>
  <c r="AX6" i="1"/>
  <c r="AW7" i="1"/>
  <c r="AW8" i="1"/>
  <c r="AX8" i="1"/>
  <c r="AW9" i="1"/>
  <c r="AX9" i="1"/>
  <c r="AW10" i="1"/>
  <c r="AX10" i="1"/>
  <c r="AW11" i="1"/>
  <c r="AX11" i="1"/>
  <c r="AW12" i="1"/>
  <c r="AX12" i="1"/>
  <c r="AW13" i="1"/>
  <c r="AX13" i="1"/>
  <c r="AW14" i="1"/>
  <c r="AX14" i="1"/>
  <c r="AW15" i="1"/>
  <c r="AX15" i="1"/>
  <c r="AW16" i="1"/>
  <c r="AX16" i="1"/>
  <c r="AW17" i="1"/>
  <c r="AX17" i="1"/>
  <c r="AW18" i="1"/>
  <c r="AX18" i="1"/>
  <c r="AW19" i="1"/>
  <c r="AX19" i="1"/>
  <c r="AW20" i="1"/>
  <c r="AX20" i="1"/>
  <c r="AW21" i="1"/>
  <c r="AX21" i="1"/>
  <c r="AW22" i="1"/>
  <c r="AX22" i="1"/>
  <c r="AW23" i="1"/>
  <c r="AX23" i="1"/>
  <c r="AW24" i="1"/>
  <c r="AX24" i="1"/>
  <c r="AW25" i="1"/>
  <c r="AX25" i="1"/>
  <c r="AW26" i="1"/>
  <c r="AX26" i="1"/>
  <c r="AW27" i="1"/>
  <c r="AX27" i="1"/>
  <c r="AW28" i="1"/>
  <c r="AX28" i="1"/>
  <c r="AW29" i="1"/>
  <c r="AX29" i="1"/>
  <c r="AW30" i="1"/>
  <c r="AX30" i="1"/>
  <c r="AW31" i="1"/>
  <c r="AX31" i="1"/>
  <c r="AW32" i="1"/>
  <c r="AX32" i="1"/>
  <c r="AW33" i="1"/>
  <c r="AX33" i="1"/>
  <c r="AW34" i="1"/>
  <c r="AX34" i="1"/>
  <c r="AW35" i="1"/>
  <c r="AX35" i="1"/>
  <c r="AW36" i="1"/>
  <c r="AX36" i="1"/>
  <c r="AW37" i="1"/>
  <c r="AX37" i="1"/>
  <c r="AW38" i="1"/>
  <c r="AX38" i="1"/>
  <c r="AW39" i="1"/>
  <c r="AX39" i="1"/>
  <c r="AW40" i="1"/>
  <c r="AX40" i="1"/>
  <c r="AW41" i="1"/>
  <c r="AX41" i="1"/>
  <c r="AW42" i="1"/>
  <c r="AX42" i="1"/>
  <c r="AW43" i="1"/>
  <c r="AX43" i="1"/>
  <c r="AW44" i="1"/>
  <c r="AX44" i="1"/>
  <c r="AW45" i="1"/>
  <c r="AX45" i="1"/>
  <c r="AW46" i="1"/>
  <c r="AX46" i="1"/>
  <c r="AW47" i="1"/>
  <c r="AX47" i="1"/>
  <c r="AW48" i="1"/>
  <c r="AX48" i="1"/>
  <c r="AW49" i="1"/>
  <c r="AX49" i="1"/>
  <c r="AW50" i="1"/>
  <c r="AX50" i="1"/>
  <c r="AW51" i="1"/>
  <c r="AX51" i="1"/>
  <c r="AW52" i="1"/>
  <c r="AX52" i="1"/>
  <c r="AW53" i="1"/>
  <c r="AX53" i="1"/>
  <c r="AW4" i="1"/>
  <c r="AX4" i="1"/>
  <c r="AA5" i="1"/>
  <c r="AP5" i="1" s="1"/>
  <c r="AQ5" i="1"/>
  <c r="AC5" i="1"/>
  <c r="AR5" i="1" s="1"/>
  <c r="AD5" i="1"/>
  <c r="AS5" i="1" s="1"/>
  <c r="AU5" i="1"/>
  <c r="AA6" i="1"/>
  <c r="AP6" i="1" s="1"/>
  <c r="AQ6" i="1"/>
  <c r="AC6" i="1"/>
  <c r="AR6" i="1" s="1"/>
  <c r="AD6" i="1"/>
  <c r="AS6" i="1" s="1"/>
  <c r="AU6" i="1"/>
  <c r="AA7" i="1"/>
  <c r="AP7" i="1" s="1"/>
  <c r="AQ7" i="1"/>
  <c r="AC7" i="1"/>
  <c r="AR7" i="1" s="1"/>
  <c r="AD7" i="1"/>
  <c r="AS7" i="1" s="1"/>
  <c r="AU7" i="1"/>
  <c r="AA8" i="1"/>
  <c r="AP8" i="1" s="1"/>
  <c r="AQ8" i="1"/>
  <c r="AC8" i="1"/>
  <c r="AR8" i="1" s="1"/>
  <c r="AD8" i="1"/>
  <c r="AS8" i="1" s="1"/>
  <c r="AU8" i="1"/>
  <c r="AA9" i="1"/>
  <c r="AP9" i="1" s="1"/>
  <c r="AQ9" i="1"/>
  <c r="AC9" i="1"/>
  <c r="AR9" i="1" s="1"/>
  <c r="AD9" i="1"/>
  <c r="AS9" i="1" s="1"/>
  <c r="AU9" i="1"/>
  <c r="AA10" i="1"/>
  <c r="AP10" i="1" s="1"/>
  <c r="AQ10" i="1"/>
  <c r="AC10" i="1"/>
  <c r="AR10" i="1" s="1"/>
  <c r="AD10" i="1"/>
  <c r="AS10" i="1" s="1"/>
  <c r="AU10" i="1"/>
  <c r="AA11" i="1"/>
  <c r="AP11" i="1" s="1"/>
  <c r="AQ11" i="1"/>
  <c r="AC11" i="1"/>
  <c r="AR11" i="1" s="1"/>
  <c r="AD11" i="1"/>
  <c r="AS11" i="1" s="1"/>
  <c r="AU11" i="1"/>
  <c r="AA12" i="1"/>
  <c r="AP12" i="1" s="1"/>
  <c r="AQ12" i="1"/>
  <c r="AC12" i="1"/>
  <c r="AR12" i="1" s="1"/>
  <c r="AD12" i="1"/>
  <c r="AS12" i="1" s="1"/>
  <c r="AU12" i="1"/>
  <c r="AA13" i="1"/>
  <c r="AP13" i="1" s="1"/>
  <c r="AQ13" i="1"/>
  <c r="AC13" i="1"/>
  <c r="AR13" i="1" s="1"/>
  <c r="AD13" i="1"/>
  <c r="AS13" i="1" s="1"/>
  <c r="AU13" i="1"/>
  <c r="AA14" i="1"/>
  <c r="AP14" i="1" s="1"/>
  <c r="AQ14" i="1"/>
  <c r="AC14" i="1"/>
  <c r="AR14" i="1" s="1"/>
  <c r="AD14" i="1"/>
  <c r="AS14" i="1" s="1"/>
  <c r="AU14" i="1"/>
  <c r="AA15" i="1"/>
  <c r="AP15" i="1" s="1"/>
  <c r="AQ15" i="1"/>
  <c r="AC15" i="1"/>
  <c r="AR15" i="1" s="1"/>
  <c r="AD15" i="1"/>
  <c r="AS15" i="1" s="1"/>
  <c r="AU15" i="1"/>
  <c r="AA16" i="1"/>
  <c r="AP16" i="1" s="1"/>
  <c r="AQ16" i="1"/>
  <c r="AC16" i="1"/>
  <c r="AR16" i="1" s="1"/>
  <c r="AD16" i="1"/>
  <c r="AS16" i="1" s="1"/>
  <c r="AU16" i="1"/>
  <c r="AA17" i="1"/>
  <c r="AP17" i="1" s="1"/>
  <c r="AQ17" i="1"/>
  <c r="AC17" i="1"/>
  <c r="AR17" i="1" s="1"/>
  <c r="AD17" i="1"/>
  <c r="AS17" i="1" s="1"/>
  <c r="AU17" i="1"/>
  <c r="AA18" i="1"/>
  <c r="AP18" i="1" s="1"/>
  <c r="AQ18" i="1"/>
  <c r="AC18" i="1"/>
  <c r="AR18" i="1" s="1"/>
  <c r="AD18" i="1"/>
  <c r="AS18" i="1" s="1"/>
  <c r="AU18" i="1"/>
  <c r="AA19" i="1"/>
  <c r="AP19" i="1" s="1"/>
  <c r="AQ19" i="1"/>
  <c r="AC19" i="1"/>
  <c r="AR19" i="1" s="1"/>
  <c r="AD19" i="1"/>
  <c r="AS19" i="1" s="1"/>
  <c r="AU19" i="1"/>
  <c r="AA20" i="1"/>
  <c r="AP20" i="1" s="1"/>
  <c r="AQ20" i="1"/>
  <c r="AC20" i="1"/>
  <c r="AR20" i="1" s="1"/>
  <c r="AD20" i="1"/>
  <c r="AS20" i="1" s="1"/>
  <c r="AU20" i="1"/>
  <c r="AA21" i="1"/>
  <c r="AP21" i="1" s="1"/>
  <c r="AQ21" i="1"/>
  <c r="AC21" i="1"/>
  <c r="AR21" i="1" s="1"/>
  <c r="AD21" i="1"/>
  <c r="AS21" i="1" s="1"/>
  <c r="AU21" i="1"/>
  <c r="AA22" i="1"/>
  <c r="AP22" i="1" s="1"/>
  <c r="AQ22" i="1"/>
  <c r="AC22" i="1"/>
  <c r="AR22" i="1" s="1"/>
  <c r="AD22" i="1"/>
  <c r="AS22" i="1" s="1"/>
  <c r="AU22" i="1"/>
  <c r="AA23" i="1"/>
  <c r="AP23" i="1" s="1"/>
  <c r="AQ23" i="1"/>
  <c r="AC23" i="1"/>
  <c r="AR23" i="1" s="1"/>
  <c r="AD23" i="1"/>
  <c r="AS23" i="1" s="1"/>
  <c r="AU23" i="1"/>
  <c r="AA24" i="1"/>
  <c r="AP24" i="1" s="1"/>
  <c r="AQ24" i="1"/>
  <c r="AC24" i="1"/>
  <c r="AR24" i="1" s="1"/>
  <c r="AD24" i="1"/>
  <c r="AS24" i="1" s="1"/>
  <c r="AU24" i="1"/>
  <c r="AA25" i="1"/>
  <c r="AP25" i="1" s="1"/>
  <c r="AQ25" i="1"/>
  <c r="AC25" i="1"/>
  <c r="AR25" i="1" s="1"/>
  <c r="AD25" i="1"/>
  <c r="AS25" i="1" s="1"/>
  <c r="AU25" i="1"/>
  <c r="AA26" i="1"/>
  <c r="AP26" i="1" s="1"/>
  <c r="AQ26" i="1"/>
  <c r="AC26" i="1"/>
  <c r="AR26" i="1" s="1"/>
  <c r="AD26" i="1"/>
  <c r="AS26" i="1" s="1"/>
  <c r="AU26" i="1"/>
  <c r="AA27" i="1"/>
  <c r="AP27" i="1" s="1"/>
  <c r="AQ27" i="1"/>
  <c r="AC27" i="1"/>
  <c r="AR27" i="1" s="1"/>
  <c r="AD27" i="1"/>
  <c r="AS27" i="1" s="1"/>
  <c r="AU27" i="1"/>
  <c r="AA28" i="1"/>
  <c r="AP28" i="1" s="1"/>
  <c r="AQ28" i="1"/>
  <c r="AC28" i="1"/>
  <c r="AR28" i="1" s="1"/>
  <c r="AD28" i="1"/>
  <c r="AS28" i="1" s="1"/>
  <c r="AU28" i="1"/>
  <c r="AA29" i="1"/>
  <c r="AP29" i="1" s="1"/>
  <c r="AQ29" i="1"/>
  <c r="AC29" i="1"/>
  <c r="AR29" i="1" s="1"/>
  <c r="AD29" i="1"/>
  <c r="AS29" i="1" s="1"/>
  <c r="AU29" i="1"/>
  <c r="AA30" i="1"/>
  <c r="AP30" i="1" s="1"/>
  <c r="AQ30" i="1"/>
  <c r="AC30" i="1"/>
  <c r="AR30" i="1" s="1"/>
  <c r="AD30" i="1"/>
  <c r="AS30" i="1" s="1"/>
  <c r="AU30" i="1"/>
  <c r="AA31" i="1"/>
  <c r="AP31" i="1" s="1"/>
  <c r="AQ31" i="1"/>
  <c r="AC31" i="1"/>
  <c r="AR31" i="1" s="1"/>
  <c r="AD31" i="1"/>
  <c r="AS31" i="1" s="1"/>
  <c r="AU31" i="1"/>
  <c r="AA32" i="1"/>
  <c r="AP32" i="1" s="1"/>
  <c r="AQ32" i="1"/>
  <c r="AC32" i="1"/>
  <c r="AR32" i="1" s="1"/>
  <c r="AD32" i="1"/>
  <c r="AS32" i="1" s="1"/>
  <c r="AU32" i="1"/>
  <c r="AA33" i="1"/>
  <c r="AP33" i="1" s="1"/>
  <c r="AQ33" i="1"/>
  <c r="AC33" i="1"/>
  <c r="AR33" i="1" s="1"/>
  <c r="AD33" i="1"/>
  <c r="AS33" i="1" s="1"/>
  <c r="AU33" i="1"/>
  <c r="AA34" i="1"/>
  <c r="AP34" i="1" s="1"/>
  <c r="AQ34" i="1"/>
  <c r="AC34" i="1"/>
  <c r="AR34" i="1" s="1"/>
  <c r="AD34" i="1"/>
  <c r="AS34" i="1" s="1"/>
  <c r="AU34" i="1"/>
  <c r="AA35" i="1"/>
  <c r="AP35" i="1" s="1"/>
  <c r="AQ35" i="1"/>
  <c r="AC35" i="1"/>
  <c r="AR35" i="1" s="1"/>
  <c r="AD35" i="1"/>
  <c r="AS35" i="1" s="1"/>
  <c r="AU35" i="1"/>
  <c r="AA36" i="1"/>
  <c r="AP36" i="1" s="1"/>
  <c r="AQ36" i="1"/>
  <c r="AC36" i="1"/>
  <c r="AR36" i="1" s="1"/>
  <c r="AD36" i="1"/>
  <c r="AS36" i="1" s="1"/>
  <c r="AU36" i="1"/>
  <c r="AA37" i="1"/>
  <c r="AP37" i="1" s="1"/>
  <c r="AQ37" i="1"/>
  <c r="AC37" i="1"/>
  <c r="AR37" i="1" s="1"/>
  <c r="AD37" i="1"/>
  <c r="AS37" i="1" s="1"/>
  <c r="AU37" i="1"/>
  <c r="AA38" i="1"/>
  <c r="AP38" i="1" s="1"/>
  <c r="AQ38" i="1"/>
  <c r="AC38" i="1"/>
  <c r="AR38" i="1" s="1"/>
  <c r="AD38" i="1"/>
  <c r="AS38" i="1" s="1"/>
  <c r="AU38" i="1"/>
  <c r="AA39" i="1"/>
  <c r="AP39" i="1" s="1"/>
  <c r="AQ39" i="1"/>
  <c r="AC39" i="1"/>
  <c r="AR39" i="1" s="1"/>
  <c r="AD39" i="1"/>
  <c r="AS39" i="1" s="1"/>
  <c r="AU39" i="1"/>
  <c r="AA40" i="1"/>
  <c r="AP40" i="1" s="1"/>
  <c r="AQ40" i="1"/>
  <c r="AC40" i="1"/>
  <c r="AR40" i="1" s="1"/>
  <c r="AD40" i="1"/>
  <c r="AS40" i="1" s="1"/>
  <c r="AU40" i="1"/>
  <c r="AA41" i="1"/>
  <c r="AP41" i="1" s="1"/>
  <c r="AQ41" i="1"/>
  <c r="AC41" i="1"/>
  <c r="AR41" i="1" s="1"/>
  <c r="AD41" i="1"/>
  <c r="AS41" i="1" s="1"/>
  <c r="AU41" i="1"/>
  <c r="AA42" i="1"/>
  <c r="AP42" i="1" s="1"/>
  <c r="AQ42" i="1"/>
  <c r="AC42" i="1"/>
  <c r="AR42" i="1" s="1"/>
  <c r="AD42" i="1"/>
  <c r="AS42" i="1" s="1"/>
  <c r="AU42" i="1"/>
  <c r="AA43" i="1"/>
  <c r="AP43" i="1" s="1"/>
  <c r="AQ43" i="1"/>
  <c r="AC43" i="1"/>
  <c r="AR43" i="1" s="1"/>
  <c r="AD43" i="1"/>
  <c r="AS43" i="1" s="1"/>
  <c r="AU43" i="1"/>
  <c r="AA44" i="1"/>
  <c r="AP44" i="1" s="1"/>
  <c r="AQ44" i="1"/>
  <c r="AC44" i="1"/>
  <c r="AR44" i="1" s="1"/>
  <c r="AD44" i="1"/>
  <c r="AS44" i="1" s="1"/>
  <c r="AU44" i="1"/>
  <c r="AA45" i="1"/>
  <c r="AP45" i="1" s="1"/>
  <c r="AQ45" i="1"/>
  <c r="AC45" i="1"/>
  <c r="AR45" i="1" s="1"/>
  <c r="AD45" i="1"/>
  <c r="AS45" i="1" s="1"/>
  <c r="AU45" i="1"/>
  <c r="AA46" i="1"/>
  <c r="AP46" i="1" s="1"/>
  <c r="AQ46" i="1"/>
  <c r="AC46" i="1"/>
  <c r="AR46" i="1" s="1"/>
  <c r="AD46" i="1"/>
  <c r="AS46" i="1" s="1"/>
  <c r="AU46" i="1"/>
  <c r="AN46" i="1"/>
  <c r="AA47" i="1"/>
  <c r="AP47" i="1" s="1"/>
  <c r="AQ47" i="1"/>
  <c r="AC47" i="1"/>
  <c r="AR47" i="1" s="1"/>
  <c r="AD47" i="1"/>
  <c r="AS47" i="1" s="1"/>
  <c r="AU47" i="1"/>
  <c r="AA48" i="1"/>
  <c r="AP48" i="1" s="1"/>
  <c r="AQ48" i="1"/>
  <c r="AC48" i="1"/>
  <c r="AR48" i="1" s="1"/>
  <c r="AD48" i="1"/>
  <c r="AS48" i="1" s="1"/>
  <c r="AU48" i="1"/>
  <c r="AA49" i="1"/>
  <c r="AP49" i="1" s="1"/>
  <c r="AQ49" i="1"/>
  <c r="AC49" i="1"/>
  <c r="AR49" i="1" s="1"/>
  <c r="AD49" i="1"/>
  <c r="AS49" i="1" s="1"/>
  <c r="AU49" i="1"/>
  <c r="AA50" i="1"/>
  <c r="AP50" i="1" s="1"/>
  <c r="AQ50" i="1"/>
  <c r="AC50" i="1"/>
  <c r="AR50" i="1" s="1"/>
  <c r="AD50" i="1"/>
  <c r="AS50" i="1" s="1"/>
  <c r="AU50" i="1"/>
  <c r="AA51" i="1"/>
  <c r="AP51" i="1" s="1"/>
  <c r="AQ51" i="1"/>
  <c r="AC51" i="1"/>
  <c r="AR51" i="1" s="1"/>
  <c r="AD51" i="1"/>
  <c r="AS51" i="1" s="1"/>
  <c r="AU51" i="1"/>
  <c r="AA52" i="1"/>
  <c r="AP52" i="1" s="1"/>
  <c r="AQ52" i="1"/>
  <c r="AC52" i="1"/>
  <c r="AR52" i="1" s="1"/>
  <c r="AD52" i="1"/>
  <c r="AS52" i="1" s="1"/>
  <c r="AU52" i="1"/>
  <c r="AA53" i="1"/>
  <c r="AP53" i="1" s="1"/>
  <c r="AQ53" i="1"/>
  <c r="AC53" i="1"/>
  <c r="AR53" i="1" s="1"/>
  <c r="AD53" i="1"/>
  <c r="AS53" i="1" s="1"/>
  <c r="AU53" i="1"/>
  <c r="AV53" i="1"/>
  <c r="AN4" i="1"/>
  <c r="AU4" i="1"/>
  <c r="AD4" i="1"/>
  <c r="AS4" i="1" s="1"/>
  <c r="AC4" i="1"/>
  <c r="AR4" i="1" s="1"/>
  <c r="AQ4" i="1"/>
  <c r="AA4" i="1"/>
  <c r="AP4" i="1" s="1"/>
  <c r="BB230" i="1" l="1"/>
  <c r="BB198" i="1"/>
  <c r="BB178" i="1"/>
  <c r="BB143" i="1"/>
  <c r="BB182" i="1"/>
  <c r="BB156" i="1"/>
  <c r="BB209" i="1"/>
  <c r="BB95" i="1"/>
  <c r="BB213" i="1"/>
  <c r="BB243" i="1"/>
  <c r="BB229" i="1"/>
  <c r="BB272" i="1"/>
  <c r="BB71" i="1"/>
  <c r="BB231" i="1"/>
  <c r="BB246" i="1"/>
  <c r="BB168" i="1"/>
  <c r="BB120" i="1"/>
  <c r="BB285" i="1"/>
  <c r="BB42" i="1"/>
  <c r="BB45" i="1"/>
  <c r="AV43" i="1"/>
  <c r="AN43" i="1"/>
  <c r="AY42" i="1"/>
  <c r="AV33" i="1"/>
  <c r="AN33" i="1"/>
  <c r="AY32" i="1"/>
  <c r="BB32" i="1" s="1"/>
  <c r="AV22" i="1"/>
  <c r="AN22" i="1"/>
  <c r="AV11" i="1"/>
  <c r="AN11" i="1"/>
  <c r="AY10" i="1"/>
  <c r="AN48" i="1"/>
  <c r="AV48" i="1"/>
  <c r="AY47" i="1"/>
  <c r="BB47" i="1" s="1"/>
  <c r="AN38" i="1"/>
  <c r="AV38" i="1"/>
  <c r="AY37" i="1"/>
  <c r="BB37" i="1" s="1"/>
  <c r="AN27" i="1"/>
  <c r="AV27" i="1"/>
  <c r="AY26" i="1"/>
  <c r="BB26" i="1" s="1"/>
  <c r="AN16" i="1"/>
  <c r="AV16" i="1"/>
  <c r="AY15" i="1"/>
  <c r="BB15" i="1" s="1"/>
  <c r="AY5" i="1"/>
  <c r="AN53" i="1"/>
  <c r="AV50" i="1"/>
  <c r="AN50" i="1"/>
  <c r="AY17" i="1"/>
  <c r="BB17" i="1" s="1"/>
  <c r="AV18" i="1"/>
  <c r="AN18" i="1"/>
  <c r="AY45" i="1"/>
  <c r="AN36" i="1"/>
  <c r="AV36" i="1"/>
  <c r="AY35" i="1"/>
  <c r="BB35" i="1" s="1"/>
  <c r="AN25" i="1"/>
  <c r="AV25" i="1"/>
  <c r="AY24" i="1"/>
  <c r="BB24" i="1" s="1"/>
  <c r="AN14" i="1"/>
  <c r="AV14" i="1"/>
  <c r="AY13" i="1"/>
  <c r="BB13" i="1" s="1"/>
  <c r="AN6" i="1"/>
  <c r="AV6" i="1"/>
  <c r="AV51" i="1"/>
  <c r="AN51" i="1"/>
  <c r="AY50" i="1"/>
  <c r="BB50" i="1" s="1"/>
  <c r="AV40" i="1"/>
  <c r="AN40" i="1"/>
  <c r="AY29" i="1"/>
  <c r="BB29" i="1" s="1"/>
  <c r="AV19" i="1"/>
  <c r="AN19" i="1"/>
  <c r="AY18" i="1"/>
  <c r="BB18" i="1" s="1"/>
  <c r="AN7" i="1"/>
  <c r="AV7" i="1"/>
  <c r="AY28" i="1"/>
  <c r="BB28" i="1" s="1"/>
  <c r="AY52" i="1"/>
  <c r="BB52" i="1" s="1"/>
  <c r="AV31" i="1"/>
  <c r="AN31" i="1"/>
  <c r="AY4" i="1"/>
  <c r="AV44" i="1"/>
  <c r="AN44" i="1"/>
  <c r="AY43" i="1"/>
  <c r="BB43" i="1" s="1"/>
  <c r="AV34" i="1"/>
  <c r="AN34" i="1"/>
  <c r="AY33" i="1"/>
  <c r="BB33" i="1" s="1"/>
  <c r="AV23" i="1"/>
  <c r="AN23" i="1"/>
  <c r="AY22" i="1"/>
  <c r="BB22" i="1" s="1"/>
  <c r="AV12" i="1"/>
  <c r="AN12" i="1"/>
  <c r="AY11" i="1"/>
  <c r="AY6" i="1"/>
  <c r="AV21" i="1"/>
  <c r="AN21" i="1"/>
  <c r="AN49" i="1"/>
  <c r="AV49" i="1"/>
  <c r="AY48" i="1"/>
  <c r="BB48" i="1" s="1"/>
  <c r="AN39" i="1"/>
  <c r="AV39" i="1"/>
  <c r="AY38" i="1"/>
  <c r="BB38" i="1" s="1"/>
  <c r="AN28" i="1"/>
  <c r="AV28" i="1"/>
  <c r="AY27" i="1"/>
  <c r="BB27" i="1" s="1"/>
  <c r="AN17" i="1"/>
  <c r="AV17" i="1"/>
  <c r="AY16" i="1"/>
  <c r="BB16" i="1" s="1"/>
  <c r="AV9" i="1"/>
  <c r="AN9" i="1"/>
  <c r="AY8" i="1"/>
  <c r="AY53" i="1"/>
  <c r="BB53" i="1" s="1"/>
  <c r="AV42" i="1"/>
  <c r="AN42" i="1"/>
  <c r="AY41" i="1"/>
  <c r="BB41" i="1" s="1"/>
  <c r="AV32" i="1"/>
  <c r="AN32" i="1"/>
  <c r="AY31" i="1"/>
  <c r="BB31" i="1" s="1"/>
  <c r="AY21" i="1"/>
  <c r="BB21" i="1" s="1"/>
  <c r="AV10" i="1"/>
  <c r="AN10" i="1"/>
  <c r="AY9" i="1"/>
  <c r="AN5" i="1"/>
  <c r="AV5" i="1"/>
  <c r="AY49" i="1"/>
  <c r="BB49" i="1" s="1"/>
  <c r="AY20" i="1"/>
  <c r="BB20" i="1" s="1"/>
  <c r="AN47" i="1"/>
  <c r="AV47" i="1"/>
  <c r="AY46" i="1"/>
  <c r="BB46" i="1" s="1"/>
  <c r="AN37" i="1"/>
  <c r="AV37" i="1"/>
  <c r="AY36" i="1"/>
  <c r="BB36" i="1" s="1"/>
  <c r="AN26" i="1"/>
  <c r="AV26" i="1"/>
  <c r="AY25" i="1"/>
  <c r="BB25" i="1" s="1"/>
  <c r="AN15" i="1"/>
  <c r="AV15" i="1"/>
  <c r="AY14" i="1"/>
  <c r="BB14" i="1" s="1"/>
  <c r="AY39" i="1"/>
  <c r="BB39" i="1" s="1"/>
  <c r="AV29" i="1"/>
  <c r="AN29" i="1"/>
  <c r="AV41" i="1"/>
  <c r="AN41" i="1"/>
  <c r="AY30" i="1"/>
  <c r="BB30" i="1" s="1"/>
  <c r="AV52" i="1"/>
  <c r="AN52" i="1"/>
  <c r="AY51" i="1"/>
  <c r="BB51" i="1" s="1"/>
  <c r="AY40" i="1"/>
  <c r="BB40" i="1" s="1"/>
  <c r="AV30" i="1"/>
  <c r="AN30" i="1"/>
  <c r="AV20" i="1"/>
  <c r="AN20" i="1"/>
  <c r="AY19" i="1"/>
  <c r="BB19" i="1" s="1"/>
  <c r="AN8" i="1"/>
  <c r="AV8" i="1"/>
  <c r="AY7" i="1"/>
  <c r="AV46" i="1"/>
  <c r="AV45" i="1"/>
  <c r="AN45" i="1"/>
  <c r="AY44" i="1"/>
  <c r="BB44" i="1" s="1"/>
  <c r="AV35" i="1"/>
  <c r="AN35" i="1"/>
  <c r="AY34" i="1"/>
  <c r="BB34" i="1" s="1"/>
  <c r="AV24" i="1"/>
  <c r="AN24" i="1"/>
  <c r="AY23" i="1"/>
  <c r="BB23" i="1" s="1"/>
  <c r="AV13" i="1"/>
  <c r="AN13" i="1"/>
  <c r="AY12" i="1"/>
  <c r="AV4" i="1"/>
  <c r="BB12" i="1" l="1"/>
  <c r="BB8" i="1"/>
  <c r="BB5" i="1"/>
  <c r="BB4" i="1"/>
  <c r="BB6" i="1"/>
  <c r="BB11" i="1"/>
  <c r="BB10" i="1"/>
  <c r="BB9" i="1"/>
  <c r="BB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tc={25754854-317A-432C-A94E-79BAA21B6231}</author>
    <author>tc={90ADF3E1-711F-4B1E-AD6D-050B8FF33D74}</author>
    <author>tc={12B7E9D5-3056-480D-ABB4-D4E7112C04FB}</author>
    <author>tc={879B212F-8810-48ED-8598-E1315A7FDCD5}</author>
    <author>tc={5216D83A-0B87-46BF-8795-AB2EA538D78D}</author>
    <author>tc={BEB54C8F-2943-46D4-A377-9A7090513034}</author>
    <author>tc={86E065D2-0ECF-40EC-B02B-AB7A6DDEE8EF}</author>
    <author>tc={2D4EBA1A-CDAF-40DF-9FA7-57F4F5A67B55}</author>
    <author>tc={1BB135C2-7C8F-4763-8369-CA8F36BF6A38}</author>
    <author>tc={E120F1C1-F335-4A0F-95DA-145F08178DC8}</author>
    <author>tc={ECF9A729-A0EE-401C-A000-8998F12538EF}</author>
    <author>tc={5497937D-D8EC-46DA-ACB9-CB7D0CBE37F0}</author>
    <author>tc={9CC2D784-41BA-4CB4-B995-41CB981F535B}</author>
    <author>tc={1DF38124-A0B5-4547-AF10-647D8EDEBB32}</author>
    <author>tc={4AE4CC67-6640-42EC-A4CC-674921D0CD8B}</author>
    <author>tc={11E35A56-6424-4BA5-945A-19AD024998AE}</author>
    <author>tc={5A06785B-9C45-40F0-9D2A-58339E0EDDDE}</author>
    <author>tc={43A28E22-CC94-411F-B800-D6BDA553CE53}</author>
    <author>tc={CBC0868C-DB63-48B2-846F-449682F86EBA}</author>
  </authors>
  <commentList>
    <comment ref="E3" authorId="0" shapeId="0" xr:uid="{25754854-317A-432C-A94E-79BAA21B6231}">
      <text>
        <t>[Threaded comment]
Your version of Excel allows you to read this threaded comment; however, any edits to it will get removed if the file is opened in a newer version of Excel. Learn more: https://go.microsoft.com/fwlink/?linkid=870924
Comment:
    Pick from the dropdown</t>
      </text>
    </comment>
    <comment ref="F3" authorId="1" shapeId="0" xr:uid="{90ADF3E1-711F-4B1E-AD6D-050B8FF33D74}">
      <text>
        <t>[Threaded comment]
Your version of Excel allows you to read this threaded comment; however, any edits to it will get removed if the file is opened in a newer version of Excel. Learn more: https://go.microsoft.com/fwlink/?linkid=870924
Comment:
    This is for multiple competition bulk uploads</t>
      </text>
    </comment>
    <comment ref="G3" authorId="2" shapeId="0" xr:uid="{12B7E9D5-3056-480D-ABB4-D4E7112C04FB}">
      <text>
        <t>[Threaded comment]
Your version of Excel allows you to read this threaded comment; however, any edits to it will get removed if the file is opened in a newer version of Excel. Learn more: https://go.microsoft.com/fwlink/?linkid=870924
Comment:
    Randomise me</t>
      </text>
    </comment>
    <comment ref="H3" authorId="3" shapeId="0" xr:uid="{879B212F-8810-48ED-8598-E1315A7FDCD5}">
      <text>
        <t>[Threaded comment]
Your version of Excel allows you to read this threaded comment; however, any edits to it will get removed if the file is opened in a newer version of Excel. Learn more: https://go.microsoft.com/fwlink/?linkid=870924
Comment:
    Only input data in this column if you have split first and surnames</t>
      </text>
    </comment>
    <comment ref="I3" authorId="4" shapeId="0" xr:uid="{5216D83A-0B87-46BF-8795-AB2EA538D78D}">
      <text>
        <t>[Threaded comment]
Your version of Excel allows you to read this threaded comment; however, any edits to it will get removed if the file is opened in a newer version of Excel. Learn more: https://go.microsoft.com/fwlink/?linkid=870924
Comment:
    If you have first name and surname split, put just the surname here. IF you have combined first and surnames, put the whole name here AND LEAVE COLUMN H BLANK</t>
      </text>
    </comment>
    <comment ref="J3" authorId="5" shapeId="0" xr:uid="{BEB54C8F-2943-46D4-A377-9A7090513034}">
      <text>
        <t>[Threaded comment]
Your version of Excel allows you to read this threaded comment; however, any edits to it will get removed if the file is opened in a newer version of Excel. Learn more: https://go.microsoft.com/fwlink/?linkid=870924
Comment:
    Leave blank if not required. 2-4 letters usually</t>
      </text>
    </comment>
    <comment ref="K3" authorId="6" shapeId="0" xr:uid="{86E065D2-0ECF-40EC-B02B-AB7A6DDEE8EF}">
      <text>
        <t>[Threaded comment]
Your version of Excel allows you to read this threaded comment; however, any edits to it will get removed if the file is opened in a newer version of Excel. Learn more: https://go.microsoft.com/fwlink/?linkid=870924
Comment:
    Birth year? Year of birth. Yob. Yobbo. I dunno.</t>
      </text>
    </comment>
    <comment ref="L3" authorId="7" shapeId="0" xr:uid="{2D4EBA1A-CDAF-40DF-9FA7-57F4F5A67B55}">
      <text>
        <t xml:space="preserve">[Threaded comment]
Your version of Excel allows you to read this threaded comment; however, any edits to it will get removed if the file is opened in a newer version of Excel. Learn more: https://go.microsoft.com/fwlink/?linkid=870924
Comment:
    For IPF:
CL - Classic
EQ - Equipped
Otherwise - go nuts eg
MP - Multiply
SO - Special Olympics
WR - Wraps
</t>
      </text>
    </comment>
    <comment ref="M3" authorId="8" shapeId="0" xr:uid="{1BB135C2-7C8F-4763-8369-CA8F36BF6A38}">
      <text>
        <t>[Threaded comment]
Your version of Excel allows you to read this threaded comment; however, any edits to it will get removed if the file is opened in a newer version of Excel. Learn more: https://go.microsoft.com/fwlink/?linkid=870924
Comment:
    For IPF:
PL or BP only. This is for IPF Points calculation
Otherwise, go nuts, eg:
PL - Powerlifting 3 Lift
PP - Push Pull
SQ/BP/DL - single lift
Note because it's up to you, it does not affect the competition flow in simpleLifter.</t>
      </text>
    </comment>
    <comment ref="N3" authorId="9" shapeId="0" xr:uid="{E120F1C1-F335-4A0F-95DA-145F08178DC8}">
      <text>
        <t>[Threaded comment]
Your version of Excel allows you to read this threaded comment; however, any edits to it will get removed if the file is opened in a newer version of Excel. Learn more: https://go.microsoft.com/fwlink/?linkid=870924
Comment:
    F/M - used for IPF and Glos points calculation, weight classes, and for live stream information.
X (for Mx) is a third option. The software only supports one character right now. It should use Male weight classes &amp; points calculators</t>
      </text>
    </comment>
    <comment ref="O3" authorId="10" shapeId="0" xr:uid="{ECF9A729-A0EE-401C-A000-8998F12538EF}">
      <text>
        <t>[Threaded comment]
Your version of Excel allows you to read this threaded comment; however, any edits to it will get removed if the file is opened in a newer version of Excel. Learn more: https://go.microsoft.com/fwlink/?linkid=870924
Comment:
    Open</t>
      </text>
    </comment>
    <comment ref="P3" authorId="11" shapeId="0" xr:uid="{5497937D-D8EC-46DA-ACB9-CB7D0CBE37F0}">
      <text>
        <t>[Threaded comment]
Your version of Excel allows you to read this threaded comment; however, any edits to it will get removed if the file is opened in a newer version of Excel. Learn more: https://go.microsoft.com/fwlink/?linkid=870924
Comment:
    Blank</t>
      </text>
    </comment>
    <comment ref="Q3" authorId="12" shapeId="0" xr:uid="{9CC2D784-41BA-4CB4-B995-41CB981F535B}">
      <text>
        <t xml:space="preserve">[Threaded comment]
Your version of Excel allows you to read this threaded comment; however, any edits to it will get removed if the file is opened in a newer version of Excel. Learn more: https://go.microsoft.com/fwlink/?linkid=870924
Comment:
    Flight / group. Used interchangably. </t>
      </text>
    </comment>
    <comment ref="R3" authorId="13" shapeId="0" xr:uid="{1DF38124-A0B5-4547-AF10-647D8EDEBB32}">
      <text>
        <t>[Threaded comment]
Your version of Excel allows you to read this threaded comment; however, any edits to it will get removed if the file is opened in a newer version of Excel. Learn more: https://go.microsoft.com/fwlink/?linkid=870924
Comment:
    Bodyweight - if you're using this prior to weigh in and will use simpleLifter for weigh in, type in the nominated weight class here.
If you're putting in weight classes andd the lifter is a SHW, just add a kg. eg. 
84+ -&gt; 85
120+ -&gt; 121
etc</t>
      </text>
    </comment>
    <comment ref="S3" authorId="14" shapeId="0" xr:uid="{4AE4CC67-6640-42EC-A4CC-674921D0CD8B}">
      <text>
        <t xml:space="preserve">[Threaded comment]
Your version of Excel allows you to read this threaded comment; however, any edits to it will get removed if the file is opened in a newer version of Excel. Learn more: https://go.microsoft.com/fwlink/?linkid=870924
Comment:
    Squat Rack Height
</t>
      </text>
    </comment>
    <comment ref="T3" authorId="15" shapeId="0" xr:uid="{11E35A56-6424-4BA5-945A-19AD024998AE}">
      <text>
        <t>[Threaded comment]
Your version of Excel allows you to read this threaded comment; however, any edits to it will get removed if the file is opened in a newer version of Excel. Learn more: https://go.microsoft.com/fwlink/?linkid=870924
Comment:
    Bench / Safety rack height. Note this is free text to input what you want how you want.
Eg. 5/5, 5E, 5.5, etc they're all fine</t>
      </text>
    </comment>
    <comment ref="U3" authorId="16" shapeId="0" xr:uid="{5A06785B-9C45-40F0-9D2A-58339E0EDDDE}">
      <text>
        <t>[Threaded comment]
Your version of Excel allows you to read this threaded comment; however, any edits to it will get removed if the file is opened in a newer version of Excel. Learn more: https://go.microsoft.com/fwlink/?linkid=870924
Comment:
    Opening squat</t>
      </text>
    </comment>
    <comment ref="V3" authorId="17" shapeId="0" xr:uid="{43A28E22-CC94-411F-B800-D6BDA553CE53}">
      <text>
        <t>[Threaded comment]
Your version of Excel allows you to read this threaded comment; however, any edits to it will get removed if the file is opened in a newer version of Excel. Learn more: https://go.microsoft.com/fwlink/?linkid=870924
Comment:
    Opening Bench</t>
      </text>
    </comment>
    <comment ref="W3" authorId="18" shapeId="0" xr:uid="{CBC0868C-DB63-48B2-846F-449682F86EBA}">
      <text>
        <t>[Threaded comment]
Your version of Excel allows you to read this threaded comment; however, any edits to it will get removed if the file is opened in a newer version of Excel. Learn more: https://go.microsoft.com/fwlink/?linkid=870924
Comment:
    Opening deadlift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81C804-0E17-4FE0-AE9F-749BEFD174FE}" name="Connection" type="4" refreshedVersion="8" saveData="1">
    <webPr xl2000="1" url="http://cotf.zapto.org/getcomps.php" htmlTables="1" htmlFormat="all"/>
  </connection>
  <connection id="2" xr16:uid="{BF1B1AC4-C8F8-40C8-BDF8-92C45E550CAE}" name="Connection1" type="4" refreshedVersion="8" saveData="1">
    <webPr xl2000="1" url="http://cotf.zapto.org/getcomps.php" htmlTables="1" htmlFormat="all"/>
  </connection>
  <connection id="3" xr16:uid="{70A4F88A-B814-432A-9894-18795D5D4221}" name="Connection10" type="4" refreshedVersion="8" saveData="1">
    <webPr xl2000="1" url="http://cotf.zapto.org/getcomps.php" htmlTables="1" htmlFormat="all"/>
  </connection>
  <connection id="4" xr16:uid="{8426EEF4-4D61-4D92-BD2B-B387EFD237B4}" name="Connection100" type="4" refreshedVersion="8" saveData="1">
    <webPr xl2000="1" url="http://cotf.zapto.org/simpleLifter/integrate/saveload.php?s=excel&amp;q=setup&amp;comp=AAD&amp;pwd=AAD" htmlTables="1" htmlFormat="all"/>
  </connection>
  <connection id="5" xr16:uid="{3DE9992F-DA1E-45D6-B663-6DA53A5E1CA0}" name="Connection101" type="4" refreshedVersion="8" saveData="1">
    <webPr xl2000="1" url="http://cotf.zapto.org/simpleLifter/integrate/saveload.php?s=excel&amp;q=lifters&amp;comp=ADJ&amp;pwd=ADJ" post="excel=}" htmlTables="1" htmlFormat="all"/>
  </connection>
  <connection id="6" xr16:uid="{48174C06-71F0-4714-A0CC-86F251F5107A}" name="Connection102" type="4" refreshedVersion="8" saveData="1">
    <webPr xl2000="1" url="http://cotf.zapto.org/simpleLifter/integrate/saveload.php?s=excel&amp;q=setup&amp;comp=ADJ&amp;pwd=ADJ" htmlTables="1" htmlFormat="all"/>
  </connection>
  <connection id="7" xr16:uid="{355CABA7-E12F-401A-BAF3-CF68156358A8}" name="Connection103" type="4" refreshedVersion="8" saveData="1">
    <webPr xl2000="1" url="http://cotf.zapto.org/simpleLifter/integrate/saveload.php?s=excel&amp;q=lifters&amp;comp=ADL&amp;pwd=ADL" post="excel=}" htmlTables="1" htmlFormat="all"/>
  </connection>
  <connection id="8" xr16:uid="{4C7257FB-8980-433F-B87F-44504BFBD7FB}" name="Connection104" type="4" refreshedVersion="8" saveData="1">
    <webPr xl2000="1" url="http://cotf.zapto.org/simpleLifter/integrate/saveload.php?s=excel&amp;q=setup&amp;comp=ADL&amp;pwd=ADL" htmlTables="1" htmlFormat="all"/>
  </connection>
  <connection id="9" xr16:uid="{BBFC0767-49D5-4691-8076-C86A19C96C7F}" name="Connection105" type="4" refreshedVersion="8" saveData="1">
    <webPr xl2000="1" url="http://cotf.zapto.org/simpleLifter/integrate/saveload.php?s=excel&amp;q=lifters&amp;comp=ADM&amp;pwd=ADM" post="excel=}" htmlTables="1" htmlFormat="all"/>
  </connection>
  <connection id="10" xr16:uid="{AC02117E-1D82-4414-91D8-486C3BA5B258}" name="Connection106" type="4" refreshedVersion="8" saveData="1">
    <webPr xl2000="1" url="http://cotf.zapto.org/simpleLifter/integrate/saveload.php?s=excel&amp;q=setup&amp;comp=ADM&amp;pwd=ADM" htmlTables="1" htmlFormat="all"/>
  </connection>
  <connection id="11" xr16:uid="{8FB138D7-805C-4D48-80A1-E01C10159681}" name="Connection107" type="4" refreshedVersion="8" saveData="1">
    <webPr xl2000="1" url="http://cotf.zapto.org/simpleLifter/integrate/saveload.php?s=excel&amp;q=lifters&amp;comp=ADN&amp;pwd=ADN" post="excel=}" htmlTables="1" htmlFormat="all"/>
  </connection>
  <connection id="12" xr16:uid="{28318D2E-3017-4050-9A89-F47D3A55019B}" name="Connection108" type="4" refreshedVersion="8" saveData="1">
    <webPr xl2000="1" url="http://cotf.zapto.org/simpleLifter/integrate/saveload.php?s=excel&amp;q=setup&amp;comp=ADN&amp;pwd=ADN" htmlTables="1" htmlFormat="all"/>
  </connection>
  <connection id="13" xr16:uid="{0B06F9D1-E257-450C-A4E8-F1D1F35AEBD7}" name="Connection109" type="4" refreshedVersion="8" saveData="1">
    <webPr xl2000="1" url="http://cotf.zapto.org/getcomps.php" htmlTables="1" htmlFormat="all"/>
  </connection>
  <connection id="14" xr16:uid="{3D59F8D3-9EC9-4993-B691-B043417F17BB}" name="Connection11" type="4" refreshedVersion="8" saveData="1">
    <webPr xl2000="1" url="http://cotf.zapto.org/getcomps.php" htmlTables="1" htmlFormat="all"/>
  </connection>
  <connection id="15" xr16:uid="{26BB1B05-9E5B-4922-989E-9892A397AE2C}" name="Connection110" type="4" refreshedVersion="8" saveData="1">
    <webPr xl2000="1" url="http://cotf.zapto.org/getcomps.php" htmlTables="1" htmlFormat="all"/>
  </connection>
  <connection id="16" xr16:uid="{8FE77F61-8CD9-4B21-894E-B502CEAB9F82}" name="Connection111" type="4" refreshedVersion="8" saveData="1">
    <webPr xl2000="1" url="http://cotf.zapto.org/getcomps.php" htmlTables="1" htmlFormat="all"/>
  </connection>
  <connection id="17" xr16:uid="{4DB8AB39-C1D2-4D5E-A2C8-F2F2130FFF09}" name="Connection112" type="4" refreshedVersion="8" saveData="1">
    <webPr xl2000="1" url="http://cotf.zapto.org/simpleLifter/integrate/saveload.php?s=excel&amp;q=lifters&amp;comp=AAD&amp;pwd=" post="excel=}" htmlTables="1" htmlFormat="all"/>
  </connection>
  <connection id="18" xr16:uid="{6DAF7B3B-E734-468C-ACB1-14F6BA5D3AC0}" name="Connection113" type="4" refreshedVersion="8" saveData="1">
    <webPr xl2000="1" url="http://cotf.zapto.org/simpleLifter/integrate/saveload.php?s=excel&amp;q=setup&amp;comp=AAD&amp;pwd=" htmlTables="1" htmlFormat="all"/>
  </connection>
  <connection id="19" xr16:uid="{1702226E-AADE-4B8F-893E-70292E530F52}" name="Connection114"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 xr16:uid="{717BE898-5F07-4DEB-A469-AD55D22E9812}" name="Connection115" type="4" refreshedVersion="8" saveData="1">
    <webPr xl2000="1" url="http://cotf.zapto.org/simpleLifter/integrate/saveload.php?s=excel&amp;q=setup&amp;comp=ADL&amp;pwd=In2SS" htmlTables="1" htmlFormat="all"/>
  </connection>
  <connection id="21" xr16:uid="{256DD98D-0C64-4610-93A6-78ACA876EF1A}" name="Connection116"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2" xr16:uid="{34C0257B-CAE2-4E2B-A0F7-31B2CB09C8C8}" name="Connection117" type="4" refreshedVersion="8" saveData="1">
    <webPr xl2000="1" url="http://cotf.zapto.org/simpleLifter/integrate/saveload.php?s=excel&amp;q=setup&amp;comp=ADM&amp;pwd=IN2" htmlTables="1" htmlFormat="all"/>
  </connection>
  <connection id="23" xr16:uid="{09F4A4A4-6469-48E8-AEF1-9135960E075B}" name="Connection118" type="4" refreshedVersion="8" saveData="1">
    <webPr xl2000="1" url="http://cotf.zapto.org/simpleLifter/integrate/saveload.php?s=excel&amp;q=lifters&amp;comp=ADN&amp;pwd=" post="excel=}" htmlTables="1" htmlFormat="all"/>
  </connection>
  <connection id="24" xr16:uid="{9B163E49-916F-43A8-8918-539E730617BD}" name="Connection119" type="4" refreshedVersion="8" saveData="1">
    <webPr xl2000="1" url="http://cotf.zapto.org/simpleLifter/integrate/saveload.php?s=excel&amp;q=setup&amp;comp=ADN&amp;pwd=" htmlTables="1" htmlFormat="all"/>
  </connection>
  <connection id="25" xr16:uid="{BAE32CA0-7DF1-47C5-B30D-2F598C37225C}" name="Connection12" type="4" refreshedVersion="8" saveData="1">
    <webPr xl2000="1" url="http://cotf.zapto.org/getcomps.php" htmlTables="1" htmlFormat="all"/>
  </connection>
  <connection id="26" xr16:uid="{D4BBA199-42A5-4839-9410-96B0FA9FEAD6}" name="Connection120" type="4" refreshedVersion="8" saveData="1">
    <webPr xl2000="1" url="http://cotf.zapto.org/simpleLifter/integrate/saveload.php?s=excel&amp;q=lifters&amp;comp=ADR&amp;pwd=" post="excel=}" htmlTables="1" htmlFormat="all"/>
  </connection>
  <connection id="27" xr16:uid="{F350B4AA-AA54-425B-9665-407291EFF392}" name="Connection121" type="4" refreshedVersion="8" saveData="1">
    <webPr xl2000="1" url="http://cotf.zapto.org/simpleLifter/integrate/saveload.php?s=excel&amp;q=setup&amp;comp=ADR&amp;pwd=" htmlTables="1" htmlFormat="all"/>
  </connection>
  <connection id="28" xr16:uid="{242A26E6-DFEF-497A-86C8-DEE2C16219C7}" name="Connection122" type="4" refreshedVersion="8" saveData="1">
    <webPr xl2000="1" url="http://cotf.zapto.org/simpleLifter/integrate/saveload.php?s=excel&amp;q=lifters&amp;comp=ADS&amp;pwd=" post="excel=}" htmlTables="1" htmlFormat="all"/>
  </connection>
  <connection id="29" xr16:uid="{6589CAEC-CBC3-4952-8482-FEEE27952642}" name="Connection123" type="4" refreshedVersion="8" saveData="1">
    <webPr xl2000="1" url="http://cotf.zapto.org/simpleLifter/integrate/saveload.php?s=excel&amp;q=setup&amp;comp=ADS&amp;pwd=" htmlTables="1" htmlFormat="all"/>
  </connection>
  <connection id="30" xr16:uid="{7FA905B9-C438-4AE6-AC00-342A40C697CB}" name="Connection124" type="4" refreshedVersion="8" saveData="1">
    <webPr xl2000="1" url="http://cotf.zapto.org/simpleLifter/integrate/saveload.php?s=excel&amp;q=lifters&amp;comp=ADU&amp;pwd=" post="excel=}" htmlTables="1" htmlFormat="all"/>
  </connection>
  <connection id="31" xr16:uid="{2F4F4E0F-409F-4B44-ABE5-29DD0F6DAB63}" name="Connection125" type="4" refreshedVersion="8" saveData="1">
    <webPr xl2000="1" url="http://cotf.zapto.org/simpleLifter/integrate/saveload.php?s=excel&amp;q=setup&amp;comp=ADU&amp;pwd=" htmlTables="1" htmlFormat="all"/>
  </connection>
  <connection id="32" xr16:uid="{6E9CDB16-1F30-4603-BB0A-0F306653CCEB}" name="Connection126" type="4" refreshedVersion="8" saveData="1">
    <webPr xl2000="1" url="http://cotf.zapto.org/simpleLifter/integrate/saveload.php?s=excel&amp;q=lifters&amp;comp=AAD&amp;pwd=" post="excel=}" htmlTables="1" htmlFormat="all"/>
  </connection>
  <connection id="33" xr16:uid="{03F9A6AE-064F-44F1-9ACA-1E647F1D91C0}" name="Connection127" type="4" refreshedVersion="8" saveData="1">
    <webPr xl2000="1" url="http://cotf.zapto.org/simpleLifter/integrate/saveload.php?s=excel&amp;q=setup&amp;comp=AAD&amp;pwd=" htmlTables="1" htmlFormat="all"/>
  </connection>
  <connection id="34" xr16:uid="{BDF60765-2C62-443E-8A4A-79DB31B7F8E7}" name="Connection128"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5" xr16:uid="{EB5BF78A-E1BB-4EEC-9A05-DE8C56826CC4}" name="Connection129" type="4" refreshedVersion="8" saveData="1">
    <webPr xl2000="1" url="http://cotf.zapto.org/simpleLifter/integrate/saveload.php?s=excel&amp;q=setup&amp;comp=ADL&amp;pwd=In2SS" htmlTables="1" htmlFormat="all"/>
  </connection>
  <connection id="36" xr16:uid="{10426CD7-E05A-4AC1-9526-9BD9AC4F163E}" name="Connection13" type="4" refreshedVersion="8" saveData="1">
    <webPr xl2000="1" url="http://cotf.zapto.org/getcomps.php" htmlTables="1" htmlFormat="all"/>
  </connection>
  <connection id="37" xr16:uid="{36E3E847-F9D3-4DD5-82E8-E3648F2FE3E3}" name="Connection130"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8" xr16:uid="{31B47017-4158-4AB3-8176-825755F5890C}" name="Connection131" type="4" refreshedVersion="8" saveData="1">
    <webPr xl2000="1" url="http://cotf.zapto.org/simpleLifter/integrate/saveload.php?s=excel&amp;q=setup&amp;comp=ADM&amp;pwd=IN2" htmlTables="1" htmlFormat="all"/>
  </connection>
  <connection id="39" xr16:uid="{7939C388-86BD-45BB-9DA1-978002AC42FD}" name="Connection132" type="4" refreshedVersion="8" saveData="1">
    <webPr xl2000="1" url="http://cotf.zapto.org/simpleLifter/integrate/saveload.php?s=excel&amp;q=lifters&amp;comp=ADN&amp;pwd=" post="excel=}" htmlTables="1" htmlFormat="all"/>
  </connection>
  <connection id="40" xr16:uid="{8E70F15D-557F-4453-A801-2839B135004E}" name="Connection133" type="4" refreshedVersion="8" saveData="1">
    <webPr xl2000="1" url="http://cotf.zapto.org/simpleLifter/integrate/saveload.php?s=excel&amp;q=setup&amp;comp=ADN&amp;pwd=" htmlTables="1" htmlFormat="all"/>
  </connection>
  <connection id="41" xr16:uid="{46C501BF-EAF3-4510-A9A7-9938646F9DB4}" name="Connection134" type="4" refreshedVersion="8" saveData="1">
    <webPr xl2000="1" url="http://cotf.zapto.org/simpleLifter/integrate/saveload.php?s=excel&amp;q=lifters&amp;comp=ADR&amp;pwd=" post="excel=}" htmlTables="1" htmlFormat="all"/>
  </connection>
  <connection id="42" xr16:uid="{4D995E26-7A65-459B-AB89-ADEEA3C45DDB}" name="Connection135" type="4" refreshedVersion="8" saveData="1">
    <webPr xl2000="1" url="http://cotf.zapto.org/simpleLifter/integrate/saveload.php?s=excel&amp;q=setup&amp;comp=ADR&amp;pwd=" htmlTables="1" htmlFormat="all"/>
  </connection>
  <connection id="43" xr16:uid="{D0E8C8D5-6C99-4D24-8A24-0E5BABD83973}" name="Connection136" type="4" refreshedVersion="8" saveData="1">
    <webPr xl2000="1" url="http://cotf.zapto.org/simpleLifter/integrate/saveload.php?s=excel&amp;q=lifters&amp;comp=ADS&amp;pwd=" post="excel=}" htmlTables="1" htmlFormat="all"/>
  </connection>
  <connection id="44" xr16:uid="{0D23D84C-AADA-454D-ADEA-D42B7F542140}" name="Connection137" type="4" refreshedVersion="8" saveData="1">
    <webPr xl2000="1" url="http://cotf.zapto.org/simpleLifter/integrate/saveload.php?s=excel&amp;q=setup&amp;comp=ADS&amp;pwd=" htmlTables="1" htmlFormat="all"/>
  </connection>
  <connection id="45" xr16:uid="{6C570A0E-997C-4657-BF2B-8E5F50A9B744}" name="Connection138" type="4" refreshedVersion="8" saveData="1">
    <webPr xl2000="1" url="http://cotf.zapto.org/simpleLifter/integrate/saveload.php?s=excel&amp;q=lifters&amp;comp=ADU&amp;pwd=" post="excel=}" htmlTables="1" htmlFormat="all"/>
  </connection>
  <connection id="46" xr16:uid="{F4259098-1742-4266-8323-026C6FA8C889}" name="Connection139" type="4" refreshedVersion="8" saveData="1">
    <webPr xl2000="1" url="http://cotf.zapto.org/simpleLifter/integrate/saveload.php?s=excel&amp;q=setup&amp;comp=ADU&amp;pwd=" htmlTables="1" htmlFormat="all"/>
  </connection>
  <connection id="47" xr16:uid="{C32A9EC3-9B4B-422B-AAB0-C2D0A6EF6B1C}" name="Connection14" type="4" refreshedVersion="8" saveData="1">
    <webPr xl2000="1" url="http://cotf.zapto.org/getcomps.php" htmlTables="1" htmlFormat="all"/>
  </connection>
  <connection id="48" xr16:uid="{2084BBB8-8743-4293-A85C-19CDD2225AE2}" name="Connection140"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49" xr16:uid="{028DE125-473D-43B1-A3B8-38A016933EA0}" name="Connection141" type="4" refreshedVersion="8" saveData="1">
    <webPr xl2000="1" url="http://cotf.zapto.org/simpleLifter/integrate/saveload.php?s=excel&amp;q=setup&amp;comp=ADL&amp;pwd=In2SS" htmlTables="1" htmlFormat="all"/>
  </connection>
  <connection id="50" xr16:uid="{52C071E7-5FDB-4FF9-A3D6-E40658409BE0}" name="Connection142"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1" xr16:uid="{180B8179-EA4B-4CA6-8A21-458BDFBB565E}" name="Connection143" type="4" refreshedVersion="8" saveData="1">
    <webPr xl2000="1" url="http://cotf.zapto.org/simpleLifter/integrate/saveload.php?s=excel&amp;q=setup&amp;comp=ADM&amp;pwd=IN2" htmlTables="1" htmlFormat="all"/>
  </connection>
  <connection id="52" xr16:uid="{F1E68C82-D22F-4D54-B000-8986DF7D52DB}" name="Connection144" type="4" refreshedVersion="8" saveData="1">
    <webPr xl2000="1" url="http://cotf.zapto.org/simpleLifter/integrate/saveload.php?s=excel&amp;q=lifters&amp;comp=AAD&amp;pwd=1234" post="excel={&quot;0&quot;:{&quot;group&quot;:&quot;A&quot;,&quot;lot&quot;:&quot;4&quot;,&quot;name&quot;:&quot;Apple Cart&quot;,&quot;team&quot;:&quot;0&quot;,&quot;year&quot;:&quot;1990&quot;,&quot;division&quot;:&quot;-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6&quot;,&quot;name&quot;:&quot;Banana Man&quot;,&quot;team&quot;:&quot;0&quot;,&quot;year&quot;:&quot;1990&quot;,&quot;division&quot;:&quot;-CL-PL&quot;,&quot;bw&quot;:&quot;55&quot;,&quot;idx&quot;:&quot;1&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9&quot;,&quot;name&quot;:&quot;Cherry Ontop&quot;,&quot;team&quot;:&quot;0&quot;,&quot;year&quot;:&quot;1990&quot;,&quot;division&quot;:&quot;-CL-PL&quot;,&quot;bw&quot;:&quot;55&quot;,&quot;idx&quot;:&quot;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0&quot;,&quot;name&quot;:&quot;Durian Delicious&quot;,&quot;team&quot;:&quot;0&quot;,&quot;year&quot;:&quot;1990&quot;,&quot;division&quot;:&quot;-CL-PL&quot;,&quot;bw&quot;:&quot;55&quot;,&quot;idx&quot;:&quot;3&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ggplant Eatit&quot;,&quot;team&quot;:&quot;0&quot;,&quot;year&quot;:&quot;1990&quot;,&quot;division&quot;:&quot;-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B&quot;,&quot;lot&quot;:&quot;1&quot;,&quot;name&quot;:&quot;Frangipani Flower&quot;,&quot;team&quot;:&quot;0&quot;,&quot;year&quot;:&quot;1990&quot;,&quot;division&quot;:&quot;-CL-PL&quot;,&quot;bw&quot;:&quot;55&quot;,&quot;idx&quot;:&quot;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B&quot;,&quot;lot&quot;:&quot;5&quot;,&quot;name&quot;:&quot;Gum Ball&quot;,&quot;team&quot;:&quot;0&quot;,&quot;year&quot;:&quot;1990&quot;,&quot;division&quot;:&quot;-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B&quot;,&quot;lot&quot;:&quot;7&quot;,&quot;name&quot;:&quot;Happy Food&quot;,&quot;team&quot;:&quot;0&quot;,&quot;year&quot;:&quot;1990&quot;,&quot;division&quot;:&quot;-CL-PL&quot;,&quot;bw&quot;:&quot;55&quot;,&quot;idx&quot;:&quot;7&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B&quot;,&quot;lot&quot;:&quot;8&quot;,&quot;name&quot;:&quot;Idiot Outofideas&quot;,&quot;team&quot;:&quot;0&quot;,&quot;year&quot;:&quot;1990&quot;,&quot;division&quot;:&quot;-CL-PL&quot;,&quot;bw&quot;:&quot;55&quot;,&quot;idx&quot;:&quot;8&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B&quot;,&quot;lot&quot;:&quot;3&quot;,&quot;name&quot;:&quot;Juniper Gin&quot;,&quot;team&quot;:&quot;0&quot;,&quot;year&quot;:&quot;1990&quot;,&quot;division&quot;:&quot;-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3" xr16:uid="{9B7E5D39-26D8-4597-83C7-993BA28B48D1}" name="Connection145" type="4" refreshedVersion="8" saveData="1">
    <webPr xl2000="1" url="http://cotf.zapto.org/simpleLifter/integrate/saveload.php?s=excel&amp;q=setup&amp;comp=AAD&amp;pwd=1234" htmlTables="1" htmlFormat="all"/>
  </connection>
  <connection id="54" xr16:uid="{B926AB11-2A36-4E73-B27F-5301B8E083E4}" name="Connection146"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zi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Chrissy Athanasopoulos&quot;,&quot;team&quot;:&quot;VIC&quot;,&quot;year&quot;:&quot;1996&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19&quot;,&quot;name&quot;:&quot;Shien Ting Lim&quot;,&quot;team&quot;:&quot;VIC&quot;,&quot;year&quot;:&quot;1997&quot;,&quot;division&quot;:&quot;F-CL-PL&quot;,&quot;bw&quot;:&quot;55&quot;,&quot;idx&quot;:&quot;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13&quot;,&quot;name&quot;:&quot;Ethan Lim&quot;,&quot;team&quot;:&quot;VIC&quot;,&quot;year&quot;:&quot;2002&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8&quot;,&quot;name&quot;:&quot;Avin Pham&quot;,&quot;team&quot;:&quot;VIC&quot;,&quot;year&quot;:&quot;2001&quot;,&quot;division&quot;:&quot;M-CL-PL&quot;,&quot;bw&quot;:&quot;55&quot;,&quot;idx&quot;:&quot;11&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7&quot;,&quot;name&quot;:&quot;Savith Mudunkotuwa&quot;,&quot;team&quot;:&quot;VIC&quot;,&quot;year&quot;:&quot;2001&quot;,&quot;division&quot;:&quot;M-CL-PL&quot;,&quot;bw&quot;:&quot;55&quot;,&quot;idx&quot;:&quot;12&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9&quot;,&quot;name&quot;:&quot;Brian Ong&quot;,&quot;team&quot;:&quot;VIC&quot;,&quot;year&quot;:&quot;1999&quot;,&quot;division&quot;:&quot;M-CL-PL&quot;,&quot;bw&quot;:&quot;55&quot;,&quot;idx&quot;:&quot;1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1&quot;,&quot;name&quot;:&quot;Jeremy Sharpe&quot;,&quot;team&quot;:&quot;VIC&quot;,&quot;year&quot;:&quot;2006&quot;,&quot;division&quot;:&quot;M-CL-PL&quot;,&quot;bw&quot;:&quot;55&quot;,&quot;idx&quot;:&quot;14&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6&quot;,&quot;name&quot;:&quot;Vivian Dally&quot;,&quot;team&quot;:&quot;VIC&quot;,&quot;year&quot;:&quot;2005&quot;,&quot;division&quot;:&quot;M-CL-PL&quot;,&quot;bw&quot;:&quot;55&quot;,&quot;idx&quot;:&quot;15&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quot;,&quot;name&quot;:&quot;Izaak Conquest-Hope&quot;,&quot;team&quot;:&quot;VIC&quot;,&quot;year&quot;:&quot;2008&quot;,&quot;division&quot;:&quot;M-CL-PL&quot;,&quot;bw&quot;:&quot;55&quot;,&quot;idx&quot;:&quot;16&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8&quot;,&quot;name&quot;:&quot;James King&quot;,&quot;team&quot;:&quot;VIC&quot;,&quot;year&quot;:&quot;2005&quot;,&quot;division&quot;:&quot;M-CL-PL&quot;,&quot;bw&quot;:&quot;55&quot;,&quot;idx&quot;:&quot;17&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4&quot;,&quot;name&quot;:&quot;Ari Chenhall&quot;,&quot;team&quot;:&quot;VIC&quot;,&quot;year&quot;:&quot;2006&quot;,&quot;division&quot;:&quot;M-CL-PL&quot;,&quot;bw&quot;:&quot;55&quot;,&quot;idx&quot;:&quot;18&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4&quot;,&quot;name&quot;:&quot;Brodie Palmieri&quot;,&quot;team&quot;:&quot;VIC&quot;,&quot;year&quot;:&quot;2004&quot;,&quot;division&quot;:&quot;M-CL-PL&quot;,&quot;bw&quot;:&quot;55&quot;,&quot;idx&quot;:&quot;19&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22&quot;,&quot;name&quot;:&quot;Ethan Rowles&quot;,&quot;team&quot;:&quot;VIC&quot;,&quot;year&quot;:&quot;2004&quot;,&quot;division&quot;:&quot;M-CL-PL&quot;,&quot;bw&quot;:&quot;55&quot;,&quot;idx&quot;:&quot;20&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5" xr16:uid="{6D162266-4165-483F-885F-B06E793B26CF}" name="Connection147" type="4" refreshedVersion="8" saveData="1">
    <webPr xl2000="1" url="http://cotf.zapto.org/simpleLifter/integrate/saveload.php?s=excel&amp;q=setup&amp;comp=ADL&amp;pwd=In2SS" htmlTables="1" htmlFormat="all"/>
  </connection>
  <connection id="56" xr16:uid="{4ED33C25-C9C1-43D3-BAAB-3D16CF3CE5B5}" name="Connection148"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7" xr16:uid="{F7BBF76E-090F-46B0-BF78-DEEE6C6AFBA6}" name="Connection149" type="4" refreshedVersion="8" saveData="1">
    <webPr xl2000="1" url="http://cotf.zapto.org/simpleLifter/integrate/saveload.php?s=excel&amp;q=setup&amp;comp=ADM&amp;pwd=IN2" htmlTables="1" htmlFormat="all"/>
  </connection>
  <connection id="58" xr16:uid="{B73E81F2-543E-4093-BC4D-9802D511EB0D}" name="Connection15" type="4" refreshedVersion="8" saveData="1">
    <webPr xl2000="1" url="http://cotf.zapto.org/getcomps.php" htmlTables="1" htmlFormat="all"/>
  </connection>
  <connection id="59" xr16:uid="{CDDB4CEC-B06A-4BF7-B055-C4CA57A62702}" name="Connection150" type="4" refreshedVersion="8" saveData="1">
    <webPr xl2000="1" url="http://cotf.zapto.org/getcomps.php" htmlTables="1" htmlFormat="all"/>
  </connection>
  <connection id="60" xr16:uid="{DFD00E7D-0880-4465-95D2-BAD05302D118}" name="Connection151" type="4" refreshedVersion="8" saveData="1">
    <webPr xl2000="1" url="http://cotf.zapto.org/getcomps.php" htmlTables="1" htmlFormat="all"/>
  </connection>
  <connection id="61" xr16:uid="{FEE91649-62B1-4EFE-8E45-0DFA025BCE2C}" name="Connection152" type="4" refreshedVersion="8" saveData="1">
    <webPr xl2000="1" url="http://cotf.zapto.org/getcomps.php" htmlTables="1" htmlFormat="all"/>
  </connection>
  <connection id="62" xr16:uid="{B930F244-4138-4694-A9F8-93918731A3C6}" name="Connection153" type="4" refreshedVersion="8" saveData="1">
    <webPr xl2000="1" url="http://cotf.zapto.org/getcomps.php" htmlTables="1" htmlFormat="all"/>
  </connection>
  <connection id="63" xr16:uid="{1E255F27-03B9-4192-B170-14F573346E8A}" name="Connection154" type="4" refreshedVersion="8" saveData="1">
    <webPr xl2000="1" url="http://cotf.zapto.org/simpleLifter/integrate/saveload.php?s=excel&amp;q=lifters&amp;comp=AAD&amp;pwd=1234" post="excel={&quot;name&quot;:&quot;Evan McCloy&quot;,,&quot;name&quot;:&quot;Chris Ross&quot;,,&quot;name&quot;:&quot;Alex Tomasko&quot;,,&quot;name&quot;:&quot;Manning Jeffrey&quot;,,&quot;name&quot;:&quot;Renay Ferguson&quot;,,&quot;name&quot;:&quot;Shannon Delaney&quot;,,&quot;name&quot;:&quot;Amir Fazeli&quot;,,&quot;name&quot;:&quot;Michael Cornell&quot;,}" htmlTables="1" htmlFormat="all"/>
  </connection>
  <connection id="64" xr16:uid="{3A7D8D75-A5F9-408B-ADDB-0BF8ECC81996}" name="Connection155" type="4" refreshedVersion="8" saveData="1">
    <webPr xl2000="1" url="http://cotf.zapto.org/simpleLifter/integrate/saveload.php?s=excel&amp;q=setup&amp;comp=AAD&amp;pwd=1234" htmlTables="1" htmlFormat="all"/>
  </connection>
  <connection id="65" xr16:uid="{E7011208-6479-4C8C-B330-EDAD2EDB3928}" name="Connection156"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15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30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quot;a2&quot;:&quot;&quot;,&quot;a3&quot;:&quot;&quot;,&quot;s1&quot;:0,&quot;s2&quot;:0,&quot;s3&quot;:0},&quot;bp&quot;:{&quot;a1&quot;:200,&quot;a2&quot;:&quot;&quot;,&quot;a3&quot;:&quot;&quot;,&quot;s1&quot;:0,&quot;s2&quot;:0,&quot;s3&quot;:0},&quot;dl&quot;:{&quot;a1&quot;:,&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 htmlTables="1" htmlFormat="all"/>
  </connection>
  <connection id="66" xr16:uid="{DEEB50EE-C1DA-483B-AFC0-209ED0108507}" name="Connection157" type="4" refreshedVersion="8" saveData="1">
    <webPr xl2000="1" url="http://cotf.zapto.org/simpleLifter/integrate/saveload.php?s=excel&amp;q=setup&amp;comp=AAD&amp;pwd=1234" htmlTables="1" htmlFormat="all"/>
  </connection>
  <connection id="67" xr16:uid="{9F78826F-649F-4CC3-B32E-6B4248D30586}" name="Connection158"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68" xr16:uid="{D7D05004-E241-4776-9278-D430E38254F3}" name="Connection159" type="4" refreshedVersion="8" saveData="1">
    <webPr xl2000="1" url="http://cotf.zapto.org/simpleLifter/integrate/saveload.php?s=excel&amp;q=setup&amp;comp=AAD&amp;pwd=1234" htmlTables="1" htmlFormat="all"/>
  </connection>
  <connection id="69" xr16:uid="{73C4968D-91E6-46D6-BDC1-D50E489B50EA}" name="Connection16" type="4" refreshedVersion="8" saveData="1">
    <webPr xl2000="1" url="http://cotf.zapto.org/getcomps.php" htmlTables="1" htmlFormat="all"/>
  </connection>
  <connection id="70" xr16:uid="{9955A5B6-F458-4975-9DD6-2A88F55303F4}" name="Connection160"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1" xr16:uid="{74364706-06E0-4FC5-B7B1-1CA35C96A95A}" name="Connection161" type="4" refreshedVersion="8" saveData="1">
    <webPr xl2000="1" url="http://cotf.zapto.org/simpleLifter/integrate/saveload.php?s=excel&amp;q=setup&amp;comp=AAD&amp;pwd=1234" htmlTables="1" htmlFormat="all"/>
  </connection>
  <connection id="72" xr16:uid="{425E44B4-BDC0-44F9-BD54-F2C184F28751}" name="Connection162" type="4" refreshedVersion="8" saveData="1">
    <webPr xl2000="1" url="http://cotf.zapto.org/getcomps.php" htmlTables="1" htmlFormat="all"/>
  </connection>
  <connection id="73" xr16:uid="{890B2F24-372C-4751-9F47-75E5CAC8D746}" name="Connection163" type="4" refreshedVersion="8" saveData="1">
    <webPr xl2000="1" url="http://cotf.zapto.org/simpleLifter/integrate/saveload.php?s=excel&amp;q=lifters&amp;comp=AEF&amp;pwd=123"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4" xr16:uid="{20A0F395-F269-4DE9-AD67-819E9863F0B2}" name="Connection164" type="4" refreshedVersion="8" saveData="1">
    <webPr xl2000="1" url="http://cotf.zapto.org/simpleLifter/integrate/saveload.php?s=excel&amp;q=setup&amp;comp=AEF&amp;pwd=123" htmlTables="1" htmlFormat="all"/>
  </connection>
  <connection id="75" xr16:uid="{FBD30252-8771-49C1-A4EA-02E9FC2A4F43}" name="Connection165" type="4" refreshedVersion="8" saveData="1">
    <webPr xl2000="1" url="http://cotf.zapto.org/getcomps.php" htmlTables="1" htmlFormat="all"/>
  </connection>
  <connection id="76" xr16:uid="{0E32948E-FDCC-43A5-802B-C10284B80D90}" name="Connection166"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8&quot;:{&quot;group&quot;:&quot;A&quot;,&quot;lot&quot;:69,&quot;name&quot;:&quot;Rosie Wilson&quot;,&quot;team&quot;:&quot;IN2&quot;,&quot;year&quot;:&quot;0&quot;,&quot;division&quot;:&quot;--&quot;,&quot;bw&quot;:&quot;0&quot;,&quot;idx&quot;:&quot;8&quot;,&quot;sr&quot;:&quot;0&quot;,&quot;br&quot;:&quot;0&quot;,&quot;row&quot;:6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77" xr16:uid="{A64860C9-0F2A-44C3-BC77-725CE0203E21}" name="Connection167" type="4" refreshedVersion="8" saveData="1">
    <webPr xl2000="1" url="http://cotf.zapto.org/getcomps.php" htmlTables="1" htmlFormat="all"/>
  </connection>
  <connection id="78" xr16:uid="{88A2FE5D-4544-461D-A626-0A26159A48F8}" name="Connection168"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9" xr16:uid="{9A351374-0E21-49C9-BB4B-577BAD4AFBCE}" name="Connection169" type="4" refreshedVersion="8" saveData="1">
    <webPr xl2000="1" url="http://cotf.zapto.org/getcomps.php" htmlTables="1" htmlFormat="all"/>
  </connection>
  <connection id="80" xr16:uid="{2A9D4C79-0306-4545-A40C-BD1CB526A826}" name="Connection17" type="4" refreshedVersion="8" saveData="1">
    <webPr xl2000="1" url="http://cotf.zapto.org/getcomps.php" htmlTables="1" htmlFormat="all"/>
  </connection>
  <connection id="81" xr16:uid="{62555987-0175-4FFB-8B20-5D9295DE660B}" name="Connection170" type="4" refreshedVersion="8" saveData="1">
    <webPr xl2000="1" url="http://cotf.zapto.org/simpleLifter/integrate/saveload.php?s=excel&amp;q=lifters&amp;comp=AAD&amp;pwd=1234" post="excel={&quot;0&quot;:{&quot;group&quot;:&quot;A&quot;,&quot;lot&quot;:6,&quot;name&quot;:&quot;Evan McCloy&quot;,&quot;team&quot;:&quot;AAP&quot;,&quot;year&quot;:&quot;1990&quot;,&quot;division&quot;:&quot;M-EQ-PL&quot;,&quot;bw&quot;:&quot;55&quot;,&quot;idx&quot;:&quot;0&quot;,&quot;sr&quot;:&quot;15&quot;,&quot;br&quot;:&quot;5/5&quot;,&quot;row&quot;:6,&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3,&quot;name&quot;:&quot;Chris Ross&quot;,&quot;team&quot;:&quot;AAP&quot;,&quot;year&quot;:&quot;1990&quot;,&quot;division&quot;:&quot;M-CL-PL&quot;,&quot;bw&quot;:&quot;60&quot;,&quot;idx&quot;:&quot;1&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8,&quot;name&quot;:&quot;Alex Tomasko&quot;,&quot;team&quot;:&quot;AAP&quot;,&quot;year&quot;:&quot;1990&quot;,&quot;division&quot;:&quot;M-EQ-BP&quot;,&quot;bw&quot;:&quot;65&quot;,&quot;idx&quot;:&quot;2&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1,&quot;name&quot;:&quot;Renay Ferguson&quot;,&quot;team&quot;:&quot;AAP&quot;,&quot;year&quot;:&quot;1990&quot;,&quot;division&quot;:&quot;F-EQ-PL&quot;,&quot;bw&quot;:&quot;75&quot;,&quot;idx&quot;:&quot;4&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4,&quot;name&quot;:&quot;Shannon Delaney&quot;,&quot;team&quot;:&quot;AAP&quot;,&quot;year&quot;:&quot;1990&quot;,&quot;division&quot;:&quot;F-CL-PL&quot;,&quot;bw&quot;:&quot;80&quot;,&quot;idx&quot;:&quot;5&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5,&quot;name&quot;:&quot;Amir Fazeli&quot;,&quot;team&quot;:&quot;AAG&quot;,&quot;year&quot;:&quot;1990&quot;,&quot;division&quot;:&quot;M-CL-DL&quot;,&quot;bw&quot;:&quot;85&quot;,&quot;idx&quot;:&quot;6&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9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82" xr16:uid="{28A765DB-F1B7-40EE-A0E4-A05A69671F0D}" name="Connection171" type="4" refreshedVersion="8" saveData="1">
    <webPr xl2000="1" url="http://cotf.zapto.org/getcomps.php" htmlTables="1" htmlFormat="all"/>
  </connection>
  <connection id="83" xr16:uid="{1116ECAD-50B8-4102-9454-0F3A64CCC7D4}" name="Connection172" type="4" refreshedVersion="8" saveData="1">
    <webPr xl2000="1" url="http://cotf.zapto.org/getcomps.php" htmlTables="1" htmlFormat="all"/>
  </connection>
  <connection id="84" xr16:uid="{670C8C52-6746-48FF-88DE-368AC9285B71}" name="Connection173"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5" xr16:uid="{7F60DD82-5B14-4FCF-865F-93AD985AD424}" name="Connection174" type="4" refreshedVersion="8" saveData="1">
    <webPr xl2000="1" url="http://cotf.zapto.org/getcomps.php" htmlTables="1" htmlFormat="all"/>
  </connection>
  <connection id="86" xr16:uid="{86D961A3-507E-4B7F-A2CA-442F4681A8C1}" name="Connection175"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7" xr16:uid="{46D15716-2A6A-4FEA-8D2B-9D6B5D801495}" name="Connection176"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3&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8" xr16:uid="{6089383D-D5D3-44A9-A0F6-3D0107EAC6AE}" name="Connection177"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9" xr16:uid="{860AD76C-3064-41A5-BEB7-37FAD9FB97F9}" name="Connection178" type="4" refreshedVersion="8" saveData="1">
    <webPr xl2000="1" url="http://cotf.zapto.org/getcomps.php" htmlTables="1" htmlFormat="all"/>
  </connection>
  <connection id="90" xr16:uid="{E83E4498-DE6D-44B2-AD79-F11043541B2D}" name="Connection179" type="4" refreshedVersion="8" saveData="1">
    <webPr xl2000="1" url="http://cotf.zapto.org/getcomps.php" htmlTables="1" htmlFormat="all"/>
  </connection>
  <connection id="91" xr16:uid="{B5A04322-8A64-4C50-9F82-51A5BE5B97B3}" name="Connection18" type="4" refreshedVersion="8" saveData="1">
    <webPr xl2000="1" url="http://cotf.zapto.org/getcomps.php" htmlTables="1" htmlFormat="all"/>
  </connection>
  <connection id="92" xr16:uid="{4AF1FFB2-4C96-40B2-9162-BE283AF0D38A}" name="Connection180" type="4" refreshedVersion="8" saveData="1">
    <webPr xl2000="1" url="http://cotf.zapto.org/simpleLifter/integrate/saveload.php?s=excel&amp;q=lifters&amp;comp=AEJ&amp;pwd=abc" post="excel={&quot;0&quot;:{&quot;group&quot;:&quot;A&quot;,&quot;lot&quot;:4,&quot;name&quot;:&quot;Chris Ross&quot;,&quot;team&quot;:&quot;AAP&quot;,&quot;year&quot;:&quot;1990&quot;,&quot;division&quot;:&quot;M-CL-PL&quot;,&quot;bw&quot;:&quot;93&quot;,&quot;idx&quot;:&quot;0&quot;,&quot;sr&quot;:&quot;15&quot;,&quot;br&quot;:&quot;6/5&quot;,&quot;row&quot;:4,&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6,&quot;name&quot;:&quot;Alex Tomasko&quot;,&quot;team&quot;:&quot;AAP&quot;,&quot;year&quot;:&quot;1990&quot;,&quot;division&quot;:&quot;M-EQ-PL&quot;,&quot;bw&quot;:&quot;93&quot;,&quot;idx&quot;:&quot;1&quot;,&quot;sr&quot;:&quot;0&quot;,&quot;br&quot;:&quot;6/6&quot;,&quot;row&quot;:6,&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3,&quot;name&quot;:&quot;Manning Jeffrey&quot;,&quot;team&quot;:&quot;AAP&quot;,&quot;year&quot;:&quot;1990&quot;,&quot;division&quot;:&quot;M-CL-PL&quot;,&quot;bw&quot;:&quot;93&quot;,&quot;idx&quot;:&quot;2&quot;,&quot;sr&quot;:&quot;15&quot;,&quot;br&quot;:&quot;3/7&quot;,&quot;row&quot;:3,&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84&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2,&quot;name&quot;:&quot;Shannon Delaney&quot;,&quot;team&quot;:&quot;AAP&quot;,&quot;year&quot;:&quot;1990&quot;,&quot;division&quot;:&quot;F-CL-PL&quot;,&quot;bw&quot;:&quot;84&quot;,&quot;idx&quot;:&quot;4&quot;,&quot;sr&quot;:&quot;15&quot;,&quot;br&quot;:&quot;4/6&quot;,&quot;row&quot;:2,&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8,&quot;name&quot;:&quot;Amir Fazeli&quot;,&quot;team&quot;:&quot;AAG&quot;,&quot;year&quot;:&quot;1990&quot;,&quot;division&quot;:&quot;M-CL-PL&quot;,&quot;bw&quot;:&quot;93&quot;,&quot;idx&quot;:&quot;5&quot;,&quot;sr&quot;:&quot;0&quot;,&quot;br&quot;:&quot;0&quot;,&quot;row&quot;:8,&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5,&quot;name&quot;:&quot;Michael Cornell&quot;,&quot;team&quot;:&quot;AAP&quot;,&quot;year&quot;:&quot;1990&quot;,&quot;division&quot;:&quot;M-CL-PL&quot;,&quot;bw&quot;:&quot;93&quot;,&quot;idx&quot;:&quot;6&quot;,&quot;sr&quot;:&quot;0&quot;,&quot;br&quot;:&quot;0&quot;,&quot;row&quot;:5,&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7,&quot;name&quot;:&quot;Evan McCloy&quot;,&quot;team&quot;:&quot;AAP&quot;,&quot;year&quot;:&quot;1990&quot;,&quot;division&quot;:&quot;M-EQ-PL&quot;,&quot;bw&quot;:&quot;93&quot;,&quot;idx&quot;:&quot;7&quot;,&quot;sr&quot;:&quot;15&quot;,&quot;br&quot;:&quot;5/5&quot;,&quot;row&quot;:7,&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3" xr16:uid="{4B856876-1E3A-4768-801E-22DB4613EC46}" name="Connection181" type="4" refreshedVersion="8" saveData="1">
    <webPr xl2000="1" url="http://cotf.zapto.org/getcomps.php" htmlTables="1" htmlFormat="all"/>
  </connection>
  <connection id="94" xr16:uid="{C36FA40D-939A-44E6-B3EF-6D34E5F42DF1}" name="Connection182"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5" xr16:uid="{DFDCDC26-2EEF-4ECA-AD06-0AC383D14BF4}" name="Connection183" type="4" refreshedVersion="8" saveData="1">
    <webPr xl2000="1" url="http://cotf.zapto.org/getcomps.php" htmlTables="1" htmlFormat="all"/>
  </connection>
  <connection id="96" xr16:uid="{DE8C7620-6FB6-413E-917A-138FB0C42BE2}" name="Connection184"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7" xr16:uid="{3B17900A-E9F9-408B-8E23-55168EB0ED78}" name="Connection185" type="4" refreshedVersion="8" saveData="1">
    <webPr xl2000="1" url="http://cotf.zapto.org/getcomps.php" htmlTables="1" htmlFormat="all"/>
  </connection>
  <connection id="98" xr16:uid="{FF0B6911-8309-4984-90A4-C460F20807E6}" name="Connection186" type="4" refreshedVersion="8" saveData="1">
    <webPr xl2000="1" url="http://cotf.zapto.org/getcomps.php" htmlTables="1" htmlFormat="all"/>
  </connection>
  <connection id="99" xr16:uid="{7097084B-1C36-4A4D-8777-A26E1D2A4956}" name="Connection187"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0" xr16:uid="{D094728D-1822-4532-B2DE-4D304D96D87E}" name="Connection188" type="4" refreshedVersion="8" saveData="1">
    <webPr xl2000="1" url="http://cotf.zapto.org/getcomps.php" htmlTables="1" htmlFormat="all"/>
  </connection>
  <connection id="101" xr16:uid="{8855BE24-D323-47C7-ADD6-7757420CCDDF}" name="Connection189"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2" xr16:uid="{42BC1A47-4CB5-4665-991E-E0F75B5340E6}" name="Connection19" type="4" refreshedVersion="8" saveData="1">
    <webPr xl2000="1" url="http://cotf.zapto.org/getcomps.php" htmlTables="1" htmlFormat="all"/>
  </connection>
  <connection id="103" xr16:uid="{359FFC5F-1DB4-4E28-9D54-D46799C36431}" name="Connection190" type="4" refreshedVersion="8" saveData="1">
    <webPr xl2000="1" url="http://cotf.zapto.org/getcomps.php" htmlTables="1" htmlFormat="all"/>
  </connection>
  <connection id="104" xr16:uid="{6F79E58E-8F25-4CAD-A693-66BEBB1E79A1}" name="Connection191"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m-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5" xr16:uid="{C5513802-DD8B-4A9A-8D97-21AF574267FE}" name="Connection193"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X-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6" xr16:uid="{D6BCC1B9-6679-49B8-892E-44F29593D1F7}" name="Connection2" type="4" refreshedVersion="8" saveData="1">
    <webPr xl2000="1" url="http://cotf.zapto.org/getcomps.php" htmlTables="1" htmlFormat="all"/>
  </connection>
  <connection id="107" xr16:uid="{50949081-CD5D-CB4F-AD35-C4678B5BE0E5}" name="Connection20" type="4" refreshedVersion="8" saveData="1">
    <webPr xl2000="1" url="http://cotf.zapto.org/getcomps.php" htmlTables="1" htmlFormat="all"/>
  </connection>
  <connection id="108" xr16:uid="{866C7549-B1CA-2245-B7DD-6EF5E77B3CC3}" name="Connection21" type="4" refreshedVersion="8" saveData="1">
    <webPr xl2000="1" url="http://cotf.zapto.org/getcomps.php" htmlTables="1" htmlFormat="all"/>
  </connection>
  <connection id="109" xr16:uid="{C75A88F3-5B33-47E4-AE25-9761D2DA0047}" name="Connection22" type="4" refreshedVersion="8" saveData="1">
    <webPr xl2000="1" url="http://cotf.zapto.org/getcomps.php" htmlTables="1" htmlFormat="all"/>
  </connection>
  <connection id="110" xr16:uid="{37494927-48EE-46A3-B8EF-429D77070D60}" name="Connection23" type="4" refreshedVersion="8" saveData="1">
    <webPr xl2000="1" url="http://cotf.zapto.org/getcomps.php" htmlTables="1" htmlFormat="all"/>
  </connection>
  <connection id="111" xr16:uid="{208D1BD1-D05A-41E6-9C23-028E9BB1FA5C}" name="Connection24" type="4" refreshedVersion="8" saveData="1">
    <webPr xl2000="1" url="http://cotf.zapto.org/simpleLifter/integrate/saveload.php?s=excel&amp;q=lifters&amp;comp=ZZZ" post="excel=}" htmlTables="1" htmlFormat="all"/>
  </connection>
  <connection id="112" xr16:uid="{2774E5C9-01FB-4A8D-8DAB-7F86F96B5507}" name="Connection2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13" xr16:uid="{69AD581B-66C3-43DF-B567-0F31239A9265}" name="Connection26" type="4" refreshedVersion="8" saveData="1">
    <webPr xl2000="1" url="http://cotf.zapto.org/simpleLifter/integrate/saveload.php?s=excel&amp;q=lifters&amp;comp=ZZZ" post="excel=}" htmlTables="1" htmlFormat="all"/>
  </connection>
  <connection id="114" xr16:uid="{9A965870-82F4-421A-BE83-5A4566E8BC6A}" name="Connection27" type="4" refreshedVersion="8" saveData="1">
    <webPr xl2000="1" url="http://cotf.zapto.org/simpleLifter/integrate/saveload.php?s=excel&amp;q=setup&amp;comp=ADL" htmlTables="1" htmlFormat="all"/>
  </connection>
  <connection id="115" xr16:uid="{83E79095-E7A1-455D-B4EB-647D0FA32030}" name="Connection28" type="4" refreshedVersion="8" saveData="1">
    <webPr xl2000="1" url="http://cotf.zapto.org/simpleLifter/integrate/saveload.php?s=excel&amp;q=lifters&amp;comp=ADL" post="excel={&quot;0&quot;:{&quot;group&quot;:&quot;A&quot;,&quot;lot&quot;:&quot;4&quot;,&quot;name&quot;:&quot;Michell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16" xr16:uid="{2AF38E93-49A9-428A-93C6-97E380485AFF}" name="Connection2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17" xr16:uid="{484BFC0A-D0B4-4385-8620-49F1EBA4F900}" name="Connection3" type="4" refreshedVersion="8" saveData="1">
    <webPr xl2000="1" url="http://cotf.zapto.org/getcomps.php" htmlTables="1" htmlFormat="all"/>
  </connection>
  <connection id="118" xr16:uid="{1FFC0632-2590-4595-8429-10FACFE0972A}" name="Connection30" type="4" refreshedVersion="8" saveData="1">
    <webPr xl2000="1" url="http://cotf.zapto.org/simpleLifter/integrate/saveload.php?s=excel&amp;q=setup&amp;comp=ADL" htmlTables="1" htmlFormat="all"/>
  </connection>
  <connection id="119" xr16:uid="{06A1271B-26E3-4A40-9C5B-A91D4C2EA4B6}" name="Connection31"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20" xr16:uid="{9AA98AF6-1AB3-4C57-959C-19A14E46B2D7}" name="Connection32" type="4" refreshedVersion="8" saveData="1">
    <webPr xl2000="1" url="http://cotf.zapto.org/simpleLifter/integrate/saveload.php?s=excel&amp;q=setup&amp;comp=ADM" htmlTables="1" htmlFormat="all"/>
  </connection>
  <connection id="121" xr16:uid="{5F8CC00A-1793-4E7D-BF6E-2D568F165E51}" name="Connection3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22" xr16:uid="{C07154C2-7D20-4C8B-B413-21F22D2C0422}" name="Connection34" type="4" refreshedVersion="8" saveData="1">
    <webPr xl2000="1" url="http://cotf.zapto.org/simpleLifter/integrate/saveload.php?s=excel&amp;q=setup&amp;comp=ADM" htmlTables="1" htmlFormat="all"/>
  </connection>
  <connection id="123" xr16:uid="{01525735-9BDF-4B3E-9B87-7CAB3064A963}" name="Connection35" type="4" refreshedVersion="8" background="1" saveData="1">
    <webPr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24" xr16:uid="{846F3327-7A33-427E-8AB7-01141DF56C90}" name="Connection36" type="4" refreshedVersion="8" saveData="1">
    <webPr xl2000="1" url="http://cotf.zapto.org/simpleLifter/integrate/saveload.php?s=excel&amp;q=lifters&amp;comp=ADL" post="excel={&quot;1&quot;:{&quot;name&quot;:&quot;Michelle Le&quot;,&quot; sqb&quot;:&quot;&quot;,&quot; bpb&quot;:&quot;&quot;,&quot; dlb&quot;:&quot;&quot;,&quot; tpb&quot;:&quot;&quot;},&quot;2&quot;:{&quot;name&quot;:&quot;Pamela Dunrobin&quot;,&quot; sqb&quot;:&quot;&quot;,&quot; bpb&quot;:&quot;&quot;,&quot; dlb&quot;:&quot;&quot;,&quot; tpb&quot;:&quot;&quot;},&quot;3&quot;:{&quot;name&quot;:&quot;Kimberley Way&quot;,&quot; sqb&quot;:&quot;&quot;,&quot; bpb&quot;:&quot;&quot;,&quot; dlb&quot;:&quot;&quot;,&quot; tpb&quot;:&quot;&quot;},&quot;4&quot;:{&quot;name&quot;:&quot;Elisabeth Vrazas&quot;,&quot; sqb&quot;:&quot;&quot;,&quot; bpb&quot;:&quot;&quot;,&quot; dlb&quot;:&quot;&quot;,&quot; tpb&quot;:&quot;&quot;},&quot;5&quot;:{&quot;name&quot;:&quot;Mary Giffin&quot;,&quot; sqb&quot;:&quot;&quot;,&quot; bpb&quot;:&quot;&quot;,&quot; dlb&quot;:&quot;&quot;,&quot; tpb&quot;:&quot;&quot;},&quot;6&quot;:{&quot;name&quot;:&quot;Susana Chen&quot;,&quot; sqb&quot;:&quot;&quot;,&quot; bpb&quot;:&quot;&quot;,&quot; dlb&quot;:&quot;&quot;,&quot; tpb&quot;:&quot;&quot;},&quot;7&quot;:{&quot;name&quot;:&quot;Bridgette Desjardins&quot;,&quot; sqb&quot;:&quot;&quot;,&quot; bpb&quot;:&quot;&quot;,&quot; dlb&quot;:&quot;&quot;,&quot; tpb&quot;:&quot;&quot;},&quot;8&quot;:{&quot;name&quot;:&quot;Ethan Lim&quot;,&quot; sqb&quot;:&quot;&quot;,&quot; bpb&quot;:&quot;&quot;,&quot; dlb&quot;:&quot;&quot;,&quot; tpb&quot;:&quot;&quot;},&quot;9&quot;:{&quot;name&quot;:&quot;Avin Pham&quot;,&quot; sqb&quot;:&quot;&quot;,&quot; bpb&quot;:&quot;&quot;,&quot; dlb&quot;:&quot;&quot;,&quot; tpb&quot;:&quot;&quot;},&quot;10&quot;:{&quot;name&quot;:&quot;Savith Mudunkotuwa&quot;,&quot; sqb&quot;:&quot;&quot;,&quot; bpb&quot;:&quot;&quot;,&quot; dlb&quot;:&quot;&quot;,&quot; tpb&quot;:&quot;&quot;},&quot;11&quot;:{&quot;name&quot;:&quot;Brian Ong&quot;,&quot; sqb&quot;:&quot;&quot;,&quot; bpb&quot;:&quot;&quot;,&quot; dlb&quot;:&quot;&quot;,&quot; tpb&quot;:&quot;&quot;},&quot;12&quot;:{&quot;name&quot;:&quot;Jeremy Sharpe&quot;,&quot; sqb&quot;:&quot;&quot;,&quot; bpb&quot;:&quot;&quot;,&quot; dlb&quot;:&quot;&quot;,&quot; tpb&quot;:&quot;&quot;},&quot;13&quot;:{&quot;name&quot;:&quot;Vivian Dally&quot;,&quot; sqb&quot;:&quot;&quot;,&quot; bpb&quot;:&quot;&quot;,&quot; dlb&quot;:&quot;&quot;,&quot; tpb&quot;:&quot;&quot;},&quot;14&quot;:{&quot;name&quot;:&quot;Izaak Conquest-Hope&quot;,&quot; sqb&quot;:&quot;&quot;,&quot; bpb&quot;:&quot;&quot;,&quot; dlb&quot;:&quot;&quot;,&quot; tpb&quot;:&quot;&quot;},&quot;15&quot;:{&quot;name&quot;:&quot;Anastasia Stamatopoulos&quot;,&quot; sqb&quot;:&quot;&quot;,&quot; bpb&quot;:&quot;&quot;,&quot; dlb&quot;:&quot;&quot;,&quot; tpb&quot;:&quot;&quot;},&quot;16&quot;:{&quot;name&quot;:&quot;Chelsea Smith&quot;,&quot; sqb&quot;:&quot;&quot;,&quot; bpb&quot;:&quot;&quot;,&quot; dlb&quot;:&quot;&quot;,&quot; tpb&quot;:&quot;&quot;},&quot;17&quot;:{&quot;name&quot;:&quot;Chrissy Athanasopoulos&quot;,&quot; sqb&quot;:&quot;&quot;,&quot; bpb&quot;:&quot;&quot;,&quot; dlb&quot;:&quot;&quot;,&quot; tpb&quot;:&quot;&quot;},&quot;18&quot;:{&quot;name&quot;:&quot;Shien Ting Lim&quot;,&quot; sqb&quot;:&quot;&quot;,&quot; bpb&quot;:&quot;&quot;,&quot; dlb&quot;:&quot;&quot;,&quot; tpb&quot;:&quot;&quot;},&quot;19&quot;:{&quot;name&quot;:&quot;Katrina Clews&quot;,&quot; sqb&quot;:&quot;&quot;,&quot; bpb&quot;:&quot;&quot;,&quot; dlb&quot;:&quot;&quot;,&quot; tpb&quot;:&quot;&quot;},&quot;20&quot;:{&quot;name&quot;:&quot;Rachit Singh&quot;,&quot; sqb&quot;:&quot;&quot;,&quot; bpb&quot;:&quot;&quot;,&quot; dlb&quot;:&quot;&quot;,&quot; tpb&quot;:&quot;&quot;},&quot;21&quot;:{&quot;name&quot;:&quot;Daniel Taylor&quot;,&quot; sqb&quot;:&quot;&quot;,&quot; bpb&quot;:&quot;&quot;,&quot; dlb&quot;:&quot;&quot;,&quot; tpb&quot;:&quot;&quot;},&quot;22&quot;:{&quot;name&quot;:&quot;Alan Zhou&quot;,&quot; sqb&quot;:&quot;&quot;,&quot; bpb&quot;:&quot;&quot;,&quot; dlb&quot;:&quot;&quot;,&quot; tpb&quot;:&quot;&quot;},&quot;23&quot;:{&quot;name&quot;:&quot;Marcus Flanagan&quot;,&quot; sqb&quot;:&quot;&quot;,&quot; bpb&quot;:&quot;&quot;,&quot; dlb&quot;:&quot;&quot;,&quot; tpb&quot;:&quot;&quot;},&quot;24&quot;:{&quot;name&quot;:&quot;Ashley O'Loghlin&quot;,&quot; sqb&quot;:&quot;&quot;,&quot; bpb&quot;:&quot;&quot;,&quot; dlb&quot;:&quot;&quot;,&quot; tpb&quot;:&quot;&quot;},&quot;25&quot;:{&quot;name&quot;:&quot;James King&quot;,&quot; sqb&quot;:&quot;&quot;,&quot; bpb&quot;:&quot;&quot;,&quot; dlb&quot;:&quot;&quot;,&quot; tpb&quot;:&quot;&quot;},&quot;26&quot;:{&quot;name&quot;:&quot;ari chenhall&quot;,&quot; sqb&quot;:&quot;&quot;,&quot; bpb&quot;:&quot;&quot;,&quot; dlb&quot;:&quot;&quot;,&quot; tpb&quot;:&quot;&quot;}}" htmlTables="1" htmlFormat="all"/>
  </connection>
  <connection id="125" xr16:uid="{CA817657-8611-4805-A0BC-96E9158255C5}" name="Connection3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26" xr16:uid="{2D42D1E5-A6B0-469C-B9BF-E22A1561B47A}" name="Connection38" type="4" refreshedVersion="8" saveData="1">
    <webPr xl2000="1" url="http://cotf.zapto.org/simpleLifter/integrate/saveload.php?s=excel&amp;q=setup&amp;comp=ADL" htmlTables="1" htmlFormat="all"/>
  </connection>
  <connection id="127" xr16:uid="{AAB78541-CA18-4DFC-9FAB-287B7581F5F0}" name="Connection39" type="4" refreshedVersion="8" saveData="1">
    <webPr xl2000="1" url="http://cotf.zapto.org/simpleLifter/integrate/saveload.php?s=excel&amp;q=lifters&amp;comp=ADM" post="excel={&quot;1&quot;:{&quot;name&quot;:&quot;Kyle Mackay&quot;,&quot; sqb&quot;:&quot;&quot;,&quot; bpb&quot;:&quot;&quot;,&quot; dlb&quot;:&quot;&quot;,&quot; tpb&quot;:&quot;&quot;},&quot;2&quot;:{&quot;name&quot;:&quot;David Vien&quot;,&quot; sqb&quot;:&quot;&quot;,&quot; bpb&quot;:&quot;&quot;,&quot; dlb&quot;:&quot;&quot;,&quot; tpb&quot;:&quot;&quot;},&quot;3&quot;:{&quot;name&quot;:&quot;Kyle Conquest-Hope&quot;,&quot; sqb&quot;:&quot;&quot;,&quot; bpb&quot;:&quot;&quot;,&quot; dlb&quot;:&quot;&quot;,&quot; tpb&quot;:&quot;&quot;},&quot;4&quot;:{&quot;name&quot;:&quot;Julian Dusting&quot;,&quot; sqb&quot;:&quot;&quot;,&quot; bpb&quot;:&quot;&quot;,&quot; dlb&quot;:&quot;&quot;,&quot; tpb&quot;:&quot;&quot;},&quot;5&quot;:{&quot;name&quot;:&quot;Eric Chau&quot;,&quot; sqb&quot;:&quot;&quot;,&quot; bpb&quot;:&quot;&quot;,&quot; dlb&quot;:&quot;&quot;,&quot; tpb&quot;:&quot;&quot;},&quot;6&quot;:{&quot;name&quot;:&quot;Edwin Gao&quot;,&quot; sqb&quot;:&quot;&quot;,&quot; bpb&quot;:&quot;&quot;,&quot; dlb&quot;:&quot;&quot;,&quot; tpb&quot;:&quot;&quot;},&quot;7&quot;:{&quot;name&quot;:&quot;Conor Warren&quot;,&quot; sqb&quot;:&quot;&quot;,&quot; bpb&quot;:&quot;&quot;,&quot; dlb&quot;:&quot;&quot;,&quot; tpb&quot;:&quot;&quot;},&quot;8&quot;:{&quot;name&quot;:&quot;Kevin Ho&quot;,&quot; sqb&quot;:&quot;&quot;,&quot; bpb&quot;:&quot;&quot;,&quot; dlb&quot;:&quot;&quot;,&quot; tpb&quot;:&quot;&quot;},&quot;9&quot;:{&quot;name&quot;:&quot;Jeffrey Tan&quot;,&quot; sqb&quot;:&quot;&quot;,&quot; bpb&quot;:&quot;&quot;,&quot; dlb&quot;:&quot;&quot;,&quot; tpb&quot;:&quot;&quot;},&quot;10&quot;:{&quot;name&quot;:&quot;Brodie Palmieri&quot;,&quot; sqb&quot;:&quot;&quot;,&quot; bpb&quot;:&quot;&quot;,&quot; dlb&quot;:&quot;&quot;,&quot; tpb&quot;:&quot;&quot;},&quot;11&quot;:{&quot;name&quot;:&quot;Daine McDonald&quot;,&quot; sqb&quot;:&quot;&quot;,&quot; bpb&quot;:&quot;&quot;,&quot; dlb&quot;:&quot;&quot;,&quot; tpb&quot;:&quot;&quot;},&quot;12&quot;:{&quot;name&quot;:&quot;James DallOste&quot;,&quot; sqb&quot;:&quot;&quot;,&quot; bpb&quot;:&quot;&quot;,&quot; dlb&quot;:&quot;&quot;,&quot; tpb&quot;:&quot;&quot;},&quot;13&quot;:{&quot;name&quot;:&quot;Nick Thompson&quot;,&quot; sqb&quot;:&quot;&quot;,&quot; bpb&quot;:&quot;&quot;,&quot; dlb&quot;:&quot;&quot;,&quot; tpb&quot;:&quot;&quot;},&quot;14&quot;:{&quot;name&quot;:&quot;Damien Hezekiah&quot;,&quot; sqb&quot;:&quot;&quot;,&quot; bpb&quot;:&quot;&quot;,&quot; dlb&quot;:&quot;&quot;,&quot; tpb&quot;:&quot;&quot;},&quot;15&quot;:{&quot;name&quot;:&quot;Adrian Davis&quot;,&quot; sqb&quot;:&quot;&quot;,&quot; bpb&quot;:&quot;&quot;,&quot; dlb&quot;:&quot;&quot;,&quot; tpb&quot;:&quot;&quot;},&quot;16&quot;:{&quot;name&quot;:&quot;Clay Bennett&quot;,&quot; sqb&quot;:&quot;&quot;,&quot; bpb&quot;:&quot;&quot;,&quot; dlb&quot;:&quot;&quot;,&quot; tpb&quot;:&quot;&quot;},&quot;17&quot;:{&quot;name&quot;:&quot;Lloyd Bernardo&quot;,&quot; sqb&quot;:&quot;&quot;,&quot; bpb&quot;:&quot;&quot;,&quot; dlb&quot;:&quot;&quot;,&quot; tpb&quot;:&quot;&quot;},&quot;18&quot;:{&quot;name&quot;:&quot;Bryson Clews&quot;,&quot; sqb&quot;:&quot;&quot;,&quot; bpb&quot;:&quot;&quot;,&quot; dlb&quot;:&quot;&quot;,&quot; tpb&quot;:&quot;&quot;},&quot;19&quot;:{&quot;name&quot;:&quot;Ethan Rowles&quot;,&quot; sqb&quot;:&quot;&quot;,&quot; bpb&quot;:&quot;&quot;,&quot; dlb&quot;:&quot;&quot;,&quot; tpb&quot;:&quot;&quot;},&quot;20&quot;:{&quot;name&quot;:&quot;Dean Sabawo&quot;,&quot; sqb&quot;:&quot;&quot;,&quot; bpb&quot;:&quot;&quot;,&quot; dlb&quot;:&quot;&quot;,&quot; tpb&quot;:&quot;&quot;},&quot;21&quot;:{&quot;name&quot;:&quot;Thomas Burdick&quot;,&quot; sqb&quot;:&quot;&quot;,&quot; bpb&quot;:&quot;&quot;,&quot; dlb&quot;:&quot;&quot;,&quot; tpb&quot;:&quot;&quot;},&quot;22&quot;:{&quot;name&quot;:&quot;Jarrid Gunn&quot;,&quot; sqb&quot;:&quot;&quot;,&quot; bpb&quot;:&quot;&quot;,&quot; dlb&quot;:&quot;&quot;,&quot; tpb&quot;:&quot;&quot;},&quot;23&quot;:{&quot;name&quot;:&quot;Daniel Lee&quot;,&quot; sqb&quot;:&quot;&quot;,&quot; bpb&quot;:&quot;&quot;,&quot; dlb&quot;:&quot;&quot;,&quot; tpb&quot;:&quot;&quot;},&quot;24&quot;:{&quot;name&quot;:&quot;Anthony Kourakis&quot;,&quot; sqb&quot;:&quot;&quot;,&quot; bpb&quot;:&quot;&quot;,&quot; dlb&quot;:&quot;&quot;,&quot; tpb&quot;:&quot;&quot;}}" htmlTables="1" htmlFormat="all"/>
  </connection>
  <connection id="128" xr16:uid="{DECD6DA0-68FA-44DA-99F7-B929643BA74E}" name="Connection4" type="4" refreshedVersion="8" saveData="1">
    <webPr xl2000="1" url="http://cotf.zapto.org/getcomps.php" htmlTables="1" htmlFormat="all"/>
  </connection>
  <connection id="129" xr16:uid="{5E1B4FF1-3FCC-41E9-B8B0-735A26486655}" name="Connection4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0" xr16:uid="{4A9B6CF3-2F4A-45A9-82A1-76C2A39B1DD0}" name="Connection41" type="4" refreshedVersion="8" saveData="1">
    <webPr xl2000="1" url="http://cotf.zapto.org/simpleLifter/integrate/saveload.php?s=excel&amp;q=setup&amp;comp=ADM" htmlTables="1" htmlFormat="all"/>
  </connection>
  <connection id="131" xr16:uid="{626A0AAB-BAE5-4FDE-B880-B4922CA831A6}" name="Connection4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2" xr16:uid="{617FEB84-7838-49B2-B723-DC2D95CD5789}" name="Connection4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3" xr16:uid="{CD0AF580-5BD9-466B-969D-D5494AE720BE}" name="Connection4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4" xr16:uid="{6BF927D4-BCEC-4CEE-A21E-201F502033CE}" name="Connection45" type="4" refreshedVersion="8" saveData="1">
    <webPr xl2000="1" url="http://cotf.zapto.org/simpleLifter/integrate/saveload.php?s=excel&amp;q=setup&amp;comp=ADL" htmlTables="1" htmlFormat="all"/>
  </connection>
  <connection id="135" xr16:uid="{13B6FC5E-D6D4-4435-91A6-B1ABF067E253}" name="Connection4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6" xr16:uid="{A32A6A6E-80D0-4237-AE40-F1DB08E938D7}" name="Connection4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7" xr16:uid="{A1893C44-57AC-4464-AF4B-B19A58236CA8}" name="Connection4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8" xr16:uid="{A42B9CF9-2FF9-4570-B910-A413ECE1D1AD}" name="Connection49"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9" xr16:uid="{E5CB6BDF-6A33-4467-AD58-836F6256185A}" name="Connection5" type="4" refreshedVersion="8" saveData="1">
    <webPr xl2000="1" url="http://cotf.zapto.org/getcomps.php" htmlTables="1" htmlFormat="all"/>
  </connection>
  <connection id="140" xr16:uid="{1D858FFF-B466-425C-9FC0-184FF0ED71E9}" name="Connection50" type="4" refreshedVersion="8" saveData="1">
    <webPr xl2000="1" url="http://cotf.zapto.org/simpleLifter/integrate/saveload.php?s=excel&amp;q=setup&amp;comp=ADM" htmlTables="1" htmlFormat="all"/>
  </connection>
  <connection id="141" xr16:uid="{F99738E6-FE16-4472-828A-369AC167A648}" name="Connection51"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2" xr16:uid="{C29DFDF4-C072-4FA2-8374-81EB264A4CD8}" name="Connection5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3" xr16:uid="{C79F3C22-75E8-45BA-BC57-5D4E437595E2}" name="Connection53" type="4" refreshedVersion="8" saveData="1">
    <webPr xl2000="1" url="http://cotf.zapto.org/getcomps.php" htmlTables="1" htmlFormat="all"/>
  </connection>
  <connection id="144" xr16:uid="{99C509FC-CFA2-4FA5-B042-B35999F7AAE6}" name="Connection5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5" xr16:uid="{A071CA78-CFD2-4230-ACC7-B0F215C15118}" name="Connection5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6" xr16:uid="{CDA7C51B-8C56-41AC-BC71-6B58CEA09088}" name="Connection5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7" xr16:uid="{2EC15E5C-9C8B-44C9-93D2-28CADB7721CC}" name="Connection57" type="4" refreshedVersion="8" saveData="1">
    <webPr xl2000="1" url="http://cotf.zapto.org/simpleLifter/integrate/saveload.php?s=excel&amp;q=setup&amp;comp=ADL" htmlTables="1" htmlFormat="all"/>
  </connection>
  <connection id="148" xr16:uid="{CC20E81B-4676-4BF8-8947-CA38CA9EACD5}" name="Connection5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9" xr16:uid="{9FB398A0-0F22-4DC9-9C06-241A3727A186}" name="Connection5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0" xr16:uid="{13C2423B-FEA3-4D30-9710-709076510F08}" name="Connection6" type="4" refreshedVersion="8" saveData="1">
    <webPr xl2000="1" url="http://cotf.zapto.org/getcomps.php" htmlTables="1" htmlFormat="all"/>
  </connection>
  <connection id="151" xr16:uid="{6C76D313-1A83-4ADC-8996-FE4D2F498348}" name="Connection6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2" xr16:uid="{67C7EEAD-D853-42F2-AA77-320B1753A965}" name="Connection61" type="4" refreshedVersion="8" saveData="1">
    <webPr xl2000="1" url="http://cotf.zapto.org/simpleLifter/integrate/saveload.php?s=excel&amp;q=setup&amp;comp=ADM" htmlTables="1" htmlFormat="all"/>
  </connection>
  <connection id="153" xr16:uid="{906CFBAB-ADEB-4E26-86BB-3AC979D1E2D5}" name="Connection6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4" xr16:uid="{73C31296-66F3-4647-975E-34C7D17D6707}" name="Connection6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5" xr16:uid="{6B39B6DF-EB80-4836-8AC5-6D105692D136}" name="Connection6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6" xr16:uid="{75BA5862-0881-442F-8CD7-72544648B379}" name="Connection6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7" xr16:uid="{0C95D04F-D255-476F-9B5B-A0F77D05E795}" name="Connection6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8" xr16:uid="{F16182D8-73E9-4503-8209-A17A381051CC}" name="Connection67" type="4" refreshedVersion="8" saveData="1">
    <webPr xl2000="1" url="http://cotf.zapto.org/simpleLifter/integrate/saveload.php?s=excel&amp;q=setup&amp;comp=ADL" htmlTables="1" htmlFormat="all"/>
  </connection>
  <connection id="159" xr16:uid="{441383EF-EE57-4DAA-98A7-DB837A3FF9DA}" name="Connection6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0" xr16:uid="{7A9B0472-7C61-4D9A-9595-F18742BE2C30}" name="Connection69" type="4" refreshedVersion="8" saveData="1">
    <webPr xl2000="1" url="http://cotf.zapto.org/simpleLifter/integrate/saveload.php?s=setup&amp;q=lifters&amp;comp=ADL" post="excel=" htmlTables="1" htmlFormat="all"/>
  </connection>
  <connection id="161" xr16:uid="{C8BC0B57-8305-4A90-B56B-56C5A0A15CD4}" name="Connection7" type="4" refreshedVersion="8" saveData="1">
    <webPr xl2000="1" url="http://cotf.zapto.org/getcomps.php" htmlTables="1" htmlFormat="all"/>
  </connection>
  <connection id="162" xr16:uid="{D750ABDC-6EE7-4FF3-95B5-CB165EA2D8AC}" name="Connection70" type="4" refreshedVersion="8" saveData="1">
    <webPr xl2000="1" url="http://cotf.zapto.org/simpleLifter/integrate/saveload.php?s=setup&amp;q=lifters&amp;comp=ADM" post="excel=" htmlTables="1" htmlFormat="all"/>
  </connection>
  <connection id="163" xr16:uid="{87F4EAE8-4F7E-4C48-B274-9C7A77F608CA}" name="Connection71" type="4" refreshedVersion="8" saveData="1">
    <webPr xl2000="1" url="http://cotf.zapto.org/simpleLifter/integrate/saveload.php?s=setup&amp;q=lifters&amp;comp=ADL" post="excel=" htmlTables="1" htmlFormat="all"/>
  </connection>
  <connection id="164" xr16:uid="{80FC9AAE-D4FA-4609-89DD-4AE1211DB609}" name="Connection72" type="4" refreshedVersion="8" saveData="1">
    <webPr xl2000="1" url="http://cotf.zapto.org/simpleLifter/integrate/saveload.php?s=setup&amp;q=lifters&amp;comp=ADM" post="excel=" htmlTables="1" htmlFormat="all"/>
  </connection>
  <connection id="165" xr16:uid="{FEFE34C8-04CF-41C5-96F9-E0F0175D1AF5}" name="Connection73" type="4" refreshedVersion="8" saveData="1">
    <webPr xl2000="1" url="http://cotf.zapto.org/simpleLifter/integrate/saveload.php?s=setup&amp;q=lifters&amp;comp=ADL" post="excel=" htmlTables="1" htmlFormat="all"/>
  </connection>
  <connection id="166" xr16:uid="{F5593383-C356-4BB0-B484-65D1F5ADF20E}" name="Connection74" type="4" refreshedVersion="8" saveData="1">
    <webPr xl2000="1" url="http://cotf.zapto.org/simpleLifter/integrate/saveload.php?s=setup&amp;q=lifters&amp;comp=ADM" post="excel=" htmlTables="1" htmlFormat="all"/>
  </connection>
  <connection id="167" xr16:uid="{6407C75F-1D0B-41C2-9778-3000D3C72C9A}" name="Connection75" type="4" refreshedVersion="8" saveData="1">
    <webPr xl2000="1" url="http://cotf.zapto.org/simpleLifter/integrate/saveload.php?s=setup&amp;q=lifters&amp;comp=ADL" htmlTables="1" htmlFormat="all"/>
  </connection>
  <connection id="168" xr16:uid="{C07C05C1-F755-438A-9923-850AF66E2121}" name="Connection76" type="4" refreshedVersion="8" saveData="1">
    <webPr xl2000="1" url="http://cotf.zapto.org/simpleLifter/integrate/saveload.php?s=setup&amp;q=lifters&amp;comp=ADM" htmlTables="1" htmlFormat="all"/>
  </connection>
  <connection id="169" xr16:uid="{6EBF9F43-66EC-40CC-B1E8-BBC4860145A4}" name="Connection77" type="4" refreshedVersion="8" saveData="1">
    <webPr xl2000="1" url="http://cotf.zapto.org/simpleLifter/integrate/saveload.php?s=excel&amp;q=setup&amp;comp=ADL" htmlTables="1" htmlFormat="all"/>
  </connection>
  <connection id="170" xr16:uid="{59301396-A622-4F9A-BD11-8209F3415E9E}" name="Connection78" type="4" refreshedVersion="8" saveData="1">
    <webPr xl2000="1" url="http://cotf.zapto.org/simpleLifter/integrate/saveload.php?s=excel&amp;q=setup&amp;comp=ADM" htmlTables="1" htmlFormat="all"/>
  </connection>
  <connection id="171" xr16:uid="{65A9D75A-2E6B-414E-8DF9-01B7136DDC82}" name="Connection79" type="4" refreshedVersion="8" saveData="1">
    <webPr xl2000="1" url="http://cotf.zapto.org/simpleLifter/integrate/saveload.php?s=excel&amp;q=setup&amp;comp=ADM" htmlTables="1" htmlFormat="all"/>
  </connection>
  <connection id="172" xr16:uid="{B8D93E0D-405E-4678-A324-404999D80181}" name="Connection8" type="4" refreshedVersion="8" saveData="1">
    <webPr xl2000="1" url="http://cotf.zapto.org/getcomps.php" htmlTables="1" htmlFormat="all"/>
  </connection>
  <connection id="173" xr16:uid="{B3851318-10EB-4653-9C40-8E1E9F2CB501}" name="Connection8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4" xr16:uid="{249632A6-907E-4F13-A10D-97124135911D}" name="Connection81" type="4" refreshedVersion="8" saveData="1">
    <webPr xl2000="1" url="http://cotf.zapto.org/simpleLifter/integrate/saveload.php?s=excel&amp;q=setup&amp;comp=ADL" htmlTables="1" htmlFormat="all"/>
  </connection>
  <connection id="175" xr16:uid="{521BD7B4-E4BB-4C43-A68F-EEA503FC9108}" name="Connection8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6" xr16:uid="{7997C629-D748-43FE-A2A3-98C8DB8A6F2C}" name="Connection83" type="4" refreshedVersion="8" saveData="1">
    <webPr xl2000="1" url="http://cotf.zapto.org/simpleLifter/integrate/saveload.php?s=excel&amp;q=setup&amp;comp=ADM" htmlTables="1" htmlFormat="all"/>
  </connection>
  <connection id="177" xr16:uid="{AF3CAAD0-3738-4864-9C31-67BE0E2ED241}" name="Connection8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z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8" xr16:uid="{C235097D-A0F7-40F6-B186-47C006071A62}" name="Connection85" type="4" refreshedVersion="8" saveData="1">
    <webPr xl2000="1" url="http://cotf.zapto.org/simpleLifter/integrate/saveload.php?s=excel&amp;q=setup&amp;comp=ADL" htmlTables="1" htmlFormat="all"/>
  </connection>
  <connection id="179" xr16:uid="{3AC4BE45-A5D9-425F-9B20-53C86DBDFCEC}" name="Connection86"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0" xr16:uid="{BFA581DF-B625-4CB0-8AFE-A12F4B030AC8}" name="Connection87" type="4" refreshedVersion="8" saveData="1">
    <webPr xl2000="1" url="http://cotf.zapto.org/simpleLifter/integrate/saveload.php?s=excel&amp;q=setup&amp;comp=ADM" htmlTables="1" htmlFormat="all"/>
  </connection>
  <connection id="181" xr16:uid="{1F5BD3A7-FE90-407A-9A16-B03CA1AD2F14}" name="Connection8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2" xr16:uid="{B8EB3AF6-17A4-44DA-AF68-3219348E27B2}" name="Connection89" type="4" refreshedVersion="8" saveData="1">
    <webPr xl2000="1" url="http://cotf.zapto.org/simpleLifter/integrate/saveload.php?s=excel&amp;q=lifters&amp;comp=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3" xr16:uid="{FE61E052-51FF-4550-AF07-A36F329168D5}" name="Connection9" type="4" refreshedVersion="8" saveData="1">
    <webPr xl2000="1" url="http://cotf.zapto.org/getcomps.php" htmlTables="1" htmlFormat="all"/>
  </connection>
  <connection id="184" xr16:uid="{23B67722-4A23-40E1-A3A7-D9E8C73F1AD0}" name="Connection9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5" xr16:uid="{953293DA-53A2-4A1C-88EC-1D215F21719D}" name="Connection91" type="4" refreshedVersion="8" saveData="1">
    <webPr xl2000="1" url="http://cotf.zapto.org/simpleLifter/integrate/saveload.php?s=excel&amp;q=setup&amp;comp=ADL" htmlTables="1" htmlFormat="all"/>
  </connection>
  <connection id="186" xr16:uid="{C072E8F2-4E3F-4389-B895-B82EBDC6AD81}" name="Connection9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7" xr16:uid="{667CCCE2-981C-494E-8832-3A4D6B073541}" name="Connection93" type="4" refreshedVersion="8" saveData="1">
    <webPr xl2000="1" url="http://cotf.zapto.org/simpleLifter/integrate/saveload.php?s=excel&amp;q=setup&amp;comp=ADM" htmlTables="1" htmlFormat="all"/>
  </connection>
  <connection id="188" xr16:uid="{3FB93C16-BA34-4A55-B660-E98D734AE75B}" name="Connection94" type="4" refreshedVersion="8" saveData="1">
    <webPr xl2000="1" url="http://cotf.zapto.org/simpleLifter/integrate/saveload.php?s=excel&amp;q=setup&amp;comp=AAD" htmlTables="1" htmlFormat="all"/>
  </connection>
  <connection id="189" xr16:uid="{C0318928-9143-40C2-95FF-ED486AFF473B}" name="Connection95" type="4" refreshedVersion="8" saveData="1">
    <webPr xl2000="1" url="http://cotf.zapto.org/getcomps.php" htmlTables="1" htmlFormat="all"/>
  </connection>
  <connection id="190" xr16:uid="{883CCC97-BC2D-4465-A92D-89CAFD73C14E}" name="Connection96" type="4" refreshedVersion="8" saveData="1">
    <webPr xl2000="1" url="http://cotf.zapto.org/getcomps.php" htmlTables="1" htmlFormat="all"/>
  </connection>
  <connection id="191" xr16:uid="{548675D1-08E4-4B36-8C6B-C1A3593DD1A0}" name="Connection97" type="4" refreshedVersion="8" saveData="1">
    <webPr xl2000="1" url="http://cotf.zapto.org/getcomps.php" htmlTables="1" htmlFormat="all"/>
  </connection>
  <connection id="192" xr16:uid="{C4AC7024-4047-4B7E-89DE-5F7FC5DB7C70}" name="Connection98" type="4" refreshedVersion="8" saveData="1">
    <webPr xl2000="1" url="http://cotf.zapto.org/getcomps.php" htmlTables="1" htmlFormat="all"/>
  </connection>
  <connection id="193" xr16:uid="{752D841F-B51E-4B1E-9B42-B60F526FE7FD}" name="Connection99" type="4" refreshedVersion="8" saveData="1">
    <webPr xl2000="1" url="http://cotf.zapto.org/simpleLifter/integrate/saveload.php?s=excel&amp;q=lifters&amp;comp=AAD&amp;pwd=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s>
</file>

<file path=xl/sharedStrings.xml><?xml version="1.0" encoding="utf-8"?>
<sst xmlns="http://schemas.openxmlformats.org/spreadsheetml/2006/main" count="481" uniqueCount="137">
  <si>
    <t>A</t>
  </si>
  <si>
    <t>"group"</t>
  </si>
  <si>
    <t>"lot"</t>
  </si>
  <si>
    <t>"name"</t>
  </si>
  <si>
    <t>"team"</t>
  </si>
  <si>
    <t>"year"</t>
  </si>
  <si>
    <t>"division"</t>
  </si>
  <si>
    <t>"bw"</t>
  </si>
  <si>
    <t>"idx"</t>
  </si>
  <si>
    <t>"sr"</t>
  </si>
  <si>
    <t>"br"</t>
  </si>
  <si>
    <t>First Name</t>
  </si>
  <si>
    <t>Lot</t>
  </si>
  <si>
    <t>Team</t>
  </si>
  <si>
    <t>DOB Year</t>
  </si>
  <si>
    <t>Event</t>
  </si>
  <si>
    <t>Age</t>
  </si>
  <si>
    <t>Group</t>
  </si>
  <si>
    <t>Competition</t>
  </si>
  <si>
    <t>Change?</t>
  </si>
  <si>
    <t>testttt</t>
  </si>
  <si>
    <t>startGroup</t>
  </si>
  <si>
    <t>plates</t>
  </si>
  <si>
    <t>lifterCount</t>
  </si>
  <si>
    <t>auto</t>
  </si>
  <si>
    <t>countUp</t>
  </si>
  <si>
    <t>showLights</t>
  </si>
  <si>
    <t>BP</t>
  </si>
  <si>
    <t>activeLi</t>
  </si>
  <si>
    <t>activeGp</t>
  </si>
  <si>
    <t>autoRefs</t>
  </si>
  <si>
    <t>stream</t>
  </si>
  <si>
    <t>openOnly</t>
  </si>
  <si>
    <t>CAPO</t>
  </si>
  <si>
    <t>activeRow</t>
  </si>
  <si>
    <t>bar</t>
  </si>
  <si>
    <t>25,20,15,10,5,2.5,1.25,0.5,0.25</t>
  </si>
  <si>
    <t>How much does the bar + collars weigh?</t>
  </si>
  <si>
    <t>Starting group (usually A)</t>
  </si>
  <si>
    <t>Ignore this one as it's updated when you upload depending on the number per competition</t>
  </si>
  <si>
    <t>Active Lift (leave at "SQ-1" in 99% of instances)</t>
  </si>
  <si>
    <t>active Row? (just set it to 0 to start)</t>
  </si>
  <si>
    <t>What plates do you have (note I don't know how to draw 50s so this is greyed out, just leave it)</t>
  </si>
  <si>
    <t>Automatically progress - eg when you click goodlift go to the next lifter, attempt, flight, lift. Default is TRUE otherwise you need to manually click</t>
  </si>
  <si>
    <t>TRUE = count up groups in alphabetical order(A-Z)? If FALSE will count from Z to A.</t>
  </si>
  <si>
    <t>Show the lights on the simpleLifter sheet?. Default is TRUE</t>
  </si>
  <si>
    <t>Bench Press only competition? Default is FALSE</t>
  </si>
  <si>
    <t>Stream updates? Note you need this if runnign the plates &amp; lights display remotely. Default is TRUE</t>
  </si>
  <si>
    <t>Open age groups only? Or use the DOB Year to calculate age groups (IPF spec). Default is FALSE</t>
  </si>
  <si>
    <t>Comp Name</t>
  </si>
  <si>
    <t>Comp Access Code</t>
  </si>
  <si>
    <t>Letters</t>
  </si>
  <si>
    <t>PB from openpowerlifting.org data</t>
  </si>
  <si>
    <t>Comp</t>
  </si>
  <si>
    <t>Name</t>
  </si>
  <si>
    <t>SQ</t>
  </si>
  <si>
    <t>DL</t>
  </si>
  <si>
    <t>TO</t>
  </si>
  <si>
    <t>i</t>
  </si>
  <si>
    <t>Rack SQ</t>
  </si>
  <si>
    <t>Rack BP</t>
  </si>
  <si>
    <t>SQ1</t>
  </si>
  <si>
    <t>BP1</t>
  </si>
  <si>
    <t>DL1</t>
  </si>
  <si>
    <t>Gender</t>
  </si>
  <si>
    <t>BW</t>
  </si>
  <si>
    <t>Division</t>
  </si>
  <si>
    <t>"sq":{"a1":999.5,"a2":"","a3":"","s1":0,"s2":0,"s3":0},"bp":{"a1":888.5,"a2":"","a3":"","s1":0,"s2":0,"s3":0},"dl":{"a1":555.5,"a2":"","a3":"","s1":0,"s2":0,"s3":0},"sortOrder":0,"act":{}}</t>
  </si>
  <si>
    <t>AAP</t>
  </si>
  <si>
    <t>EQ</t>
  </si>
  <si>
    <t>CL</t>
  </si>
  <si>
    <t>PL</t>
  </si>
  <si>
    <t>M</t>
  </si>
  <si>
    <t>B</t>
  </si>
  <si>
    <t>AAG</t>
  </si>
  <si>
    <t>5/5</t>
  </si>
  <si>
    <t>6/5</t>
  </si>
  <si>
    <t>6/6</t>
  </si>
  <si>
    <t>3/7</t>
  </si>
  <si>
    <t>7/5</t>
  </si>
  <si>
    <t>4/6</t>
  </si>
  <si>
    <t xml:space="preserve"> </t>
  </si>
  <si>
    <t>Surname / Full Name</t>
  </si>
  <si>
    <t>These columns are all optional, use them if you're weighing in the lifters and using this tool to import weigh in data as well</t>
  </si>
  <si>
    <r>
      <rPr>
        <b/>
        <sz val="11"/>
        <color theme="1"/>
        <rFont val="Calibri"/>
        <family val="2"/>
        <scheme val="minor"/>
      </rPr>
      <t>INSTRUCTIONS</t>
    </r>
    <r>
      <rPr>
        <sz val="11"/>
        <color theme="1"/>
        <rFont val="Calibri"/>
        <family val="2"/>
        <scheme val="minor"/>
      </rPr>
      <t xml:space="preserve">: This is a bulk upload tool. Load the competition choices using the button on the left and ensure you enter the password on the Comps tab. It will not give you an error message if you get the password wrong. Fill out columns E through Q, with R through W being optional for post weigh-in, then click Upload Data. The macro will work down column E (starting in row 5) until it gets to a blank cell (in column E).
</t>
    </r>
    <r>
      <rPr>
        <b/>
        <sz val="11"/>
        <color theme="1"/>
        <rFont val="Calibri"/>
        <family val="2"/>
        <scheme val="minor"/>
      </rPr>
      <t xml:space="preserve">Once your competition has begun, do not use this spreadsheet as it will OVERWRITE EVERYTHING for that competition.
</t>
    </r>
    <r>
      <rPr>
        <sz val="11"/>
        <color theme="1"/>
        <rFont val="Calibri"/>
        <family val="2"/>
        <scheme val="minor"/>
      </rPr>
      <t xml:space="preserve">Copy and paste data, or input it in manually, but it must be in plain text, refer to the examples and comments in Row 3. BW can be used for weight class entry - just type in the lifter's weight class, and add 1kg if they're a SHW.
</t>
    </r>
    <r>
      <rPr>
        <b/>
        <sz val="11"/>
        <color theme="1"/>
        <rFont val="Calibri"/>
        <family val="2"/>
        <scheme val="minor"/>
      </rPr>
      <t xml:space="preserve">Lot Randomiser: </t>
    </r>
    <r>
      <rPr>
        <sz val="11"/>
        <color theme="1"/>
        <rFont val="Calibri"/>
        <family val="2"/>
        <scheme val="minor"/>
      </rPr>
      <t xml:space="preserve"> If you want to generate random lot numbers from 1-any number, select the range you wish and press RANDOMISE
</t>
    </r>
    <r>
      <rPr>
        <b/>
        <sz val="11"/>
        <color theme="1"/>
        <rFont val="Calibri"/>
        <family val="2"/>
        <scheme val="minor"/>
      </rPr>
      <t>Reminder, this tool will overwrite EVERYTHING if you press the upload data button so be careful when you use it!</t>
    </r>
    <r>
      <rPr>
        <sz val="11"/>
        <color theme="1"/>
        <rFont val="Calibri"/>
        <family val="2"/>
        <scheme val="minor"/>
      </rPr>
      <t xml:space="preserve">
</t>
    </r>
    <r>
      <rPr>
        <b/>
        <sz val="11"/>
        <color theme="1"/>
        <rFont val="Calibri"/>
        <family val="2"/>
        <scheme val="minor"/>
      </rPr>
      <t xml:space="preserve">
Setup </t>
    </r>
    <r>
      <rPr>
        <sz val="11"/>
        <color theme="1"/>
        <rFont val="Calibri"/>
        <family val="2"/>
        <scheme val="minor"/>
      </rPr>
      <t xml:space="preserve">data is on the Setup tab. You shouldn't need to change much though.
</t>
    </r>
    <r>
      <rPr>
        <b/>
        <sz val="11"/>
        <color theme="1"/>
        <rFont val="Calibri"/>
        <family val="2"/>
        <scheme val="minor"/>
      </rPr>
      <t xml:space="preserve">PB data. </t>
    </r>
    <r>
      <rPr>
        <sz val="11"/>
        <color theme="1"/>
        <rFont val="Calibri"/>
        <family val="2"/>
        <scheme val="minor"/>
      </rPr>
      <t>If you click 'get openpowerlifting data' it will pull the lifter's best SBDT from openpowerlifting.org and instert it on the PBs from OpenIPF tab. From there you can review the best attempts, make manual changes, and hit the 'upload to server' button to get them set for the live stream</t>
    </r>
  </si>
  <si>
    <t>Testy</t>
  </si>
  <si>
    <t>McTestface</t>
  </si>
  <si>
    <t>AAA</t>
  </si>
  <si>
    <r>
      <rPr>
        <b/>
        <sz val="11"/>
        <color theme="1"/>
        <rFont val="Calibri"/>
        <family val="2"/>
        <scheme val="minor"/>
      </rPr>
      <t>1.</t>
    </r>
    <r>
      <rPr>
        <sz val="11"/>
        <color theme="1"/>
        <rFont val="Calibri"/>
        <family val="2"/>
        <scheme val="minor"/>
      </rPr>
      <t xml:space="preserve"> Input lifter data in the 'entry' tab.
</t>
    </r>
    <r>
      <rPr>
        <b/>
        <sz val="11"/>
        <color theme="1"/>
        <rFont val="Calibri"/>
        <family val="2"/>
        <scheme val="minor"/>
      </rPr>
      <t>2.</t>
    </r>
    <r>
      <rPr>
        <sz val="11"/>
        <color theme="1"/>
        <rFont val="Calibri"/>
        <family val="2"/>
        <scheme val="minor"/>
      </rPr>
      <t xml:space="preserve"> Click 'get PBs from openpowerlifting' - this will trawl through openpowerlifting.org (not openIPF) using the lifter names in column C to find the best SBDT and put them in these cells.
</t>
    </r>
    <r>
      <rPr>
        <b/>
        <sz val="11"/>
        <color theme="1"/>
        <rFont val="Calibri"/>
        <family val="2"/>
        <scheme val="minor"/>
      </rPr>
      <t>3.</t>
    </r>
    <r>
      <rPr>
        <sz val="11"/>
        <color theme="1"/>
        <rFont val="Calibri"/>
        <family val="2"/>
        <scheme val="minor"/>
      </rPr>
      <t xml:space="preserve"> If the SBDT are blank it's because the exact name didn't match. This could be for the following reasons:
    </t>
    </r>
    <r>
      <rPr>
        <b/>
        <sz val="11"/>
        <color theme="1"/>
        <rFont val="Calibri"/>
        <family val="2"/>
        <scheme val="minor"/>
      </rPr>
      <t xml:space="preserve"> a.</t>
    </r>
    <r>
      <rPr>
        <sz val="11"/>
        <color theme="1"/>
        <rFont val="Calibri"/>
        <family val="2"/>
        <scheme val="minor"/>
      </rPr>
      <t xml:space="preserve"> Lifter has never competed before, in which case the SBDT will default to 0
     </t>
    </r>
    <r>
      <rPr>
        <b/>
        <sz val="11"/>
        <color theme="1"/>
        <rFont val="Calibri"/>
        <family val="2"/>
        <scheme val="minor"/>
      </rPr>
      <t>b.</t>
    </r>
    <r>
      <rPr>
        <sz val="11"/>
        <color theme="1"/>
        <rFont val="Calibri"/>
        <family val="2"/>
        <scheme val="minor"/>
      </rPr>
      <t xml:space="preserve"> Lifter's name is spelled wrong (or was spelled wrong in a previous competition. Also consider anglicised names, nicknames, etc)
     </t>
    </r>
    <r>
      <rPr>
        <b/>
        <sz val="11"/>
        <color theme="1"/>
        <rFont val="Calibri"/>
        <family val="2"/>
        <scheme val="minor"/>
      </rPr>
      <t>c.</t>
    </r>
    <r>
      <rPr>
        <sz val="11"/>
        <color theme="1"/>
        <rFont val="Calibri"/>
        <family val="2"/>
        <scheme val="minor"/>
      </rPr>
      <t xml:space="preserve"> Multiple lifters with the same name. In this instance, check "www.openpowerlifting.org/u/liftername" to determine the right number suffix.
</t>
    </r>
    <r>
      <rPr>
        <b/>
        <sz val="11"/>
        <color theme="1"/>
        <rFont val="Calibri"/>
        <family val="2"/>
        <scheme val="minor"/>
      </rPr>
      <t>4.</t>
    </r>
    <r>
      <rPr>
        <sz val="11"/>
        <color theme="1"/>
        <rFont val="Calibri"/>
        <family val="2"/>
        <scheme val="minor"/>
      </rPr>
      <t xml:space="preserve"> to check again (say after correcting spelling), double click on the lifter's name.
</t>
    </r>
    <r>
      <rPr>
        <b/>
        <sz val="11"/>
        <color theme="1"/>
        <rFont val="Calibri"/>
        <family val="2"/>
        <scheme val="minor"/>
      </rPr>
      <t>5.</t>
    </r>
    <r>
      <rPr>
        <sz val="11"/>
        <color theme="1"/>
        <rFont val="Calibri"/>
        <family val="2"/>
        <scheme val="minor"/>
      </rPr>
      <t xml:space="preserve"> To upload to the server, press the upload to the server button</t>
    </r>
  </si>
  <si>
    <t>mW</t>
  </si>
  <si>
    <t>fW</t>
  </si>
  <si>
    <t>xW</t>
  </si>
  <si>
    <t>56,59,66,74,83,93,105,120</t>
  </si>
  <si>
    <t>47,52,57,63,69,76,84</t>
  </si>
  <si>
    <r>
      <rPr>
        <b/>
        <sz val="11"/>
        <color theme="1"/>
        <rFont val="Calibri"/>
        <family val="2"/>
        <scheme val="minor"/>
      </rPr>
      <t>m</t>
    </r>
    <r>
      <rPr>
        <sz val="11"/>
        <color theme="1"/>
        <rFont val="Calibri"/>
        <family val="2"/>
        <scheme val="minor"/>
      </rPr>
      <t xml:space="preserve">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</si>
  <si>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r>
      <rPr>
        <b/>
        <sz val="11"/>
        <color theme="1"/>
        <rFont val="Calibri"/>
        <family val="2"/>
        <scheme val="minor"/>
      </rPr>
      <t>f</t>
    </r>
    <r>
      <rPr>
        <sz val="11"/>
        <color theme="1"/>
        <rFont val="Calibri"/>
        <family val="2"/>
        <scheme val="minor"/>
      </rPr>
      <t xml:space="preserve">emale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</si>
  <si>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t>TRUE = Glossbrenner. FALSE = IPF Points</t>
  </si>
  <si>
    <r>
      <t>M</t>
    </r>
    <r>
      <rPr>
        <b/>
        <sz val="11"/>
        <color theme="1"/>
        <rFont val="Calibri"/>
        <family val="2"/>
        <scheme val="minor"/>
      </rPr>
      <t>X</t>
    </r>
    <r>
      <rPr>
        <sz val="11"/>
        <color theme="1"/>
        <rFont val="Calibri"/>
        <family val="2"/>
        <scheme val="minor"/>
      </rPr>
      <t xml:space="preserve"> </t>
    </r>
    <r>
      <rPr>
        <b/>
        <sz val="11"/>
        <color theme="1"/>
        <rFont val="Calibri"/>
        <family val="2"/>
        <scheme val="minor"/>
      </rPr>
      <t>W</t>
    </r>
    <r>
      <rPr>
        <sz val="11"/>
        <color theme="1"/>
        <rFont val="Calibri"/>
        <family val="2"/>
        <scheme val="minor"/>
      </rPr>
      <t>eight classes (ignore SHW) Subjunior/junior only is the first one. If not required, set it to 0 (eg 0,52,60…)</t>
    </r>
  </si>
  <si>
    <t>setuprow</t>
  </si>
  <si>
    <t>JSON:</t>
  </si>
  <si>
    <t>THIS IS AN EXAMPLE DO NOT DELETE</t>
  </si>
  <si>
    <t>Automatically progress based on referee calls? Default is FALSE as it is hard for the tech desk to work alongside it right now</t>
  </si>
  <si>
    <t>Active Group? (leave to be the same as the start group in 99% of instances)</t>
  </si>
  <si>
    <t>boris</t>
  </si>
  <si>
    <t>Weigh In</t>
  </si>
  <si>
    <t>{"bar":25,"startGroup":"A","plates":[25,20,15,10,5,2.5,1.25,0.5,0.25],"lifterCount":0,"auto":true,"countUp":true,"showLights":true,"BP":false,"activeLi":"Weigh In","activeGp":"A","autoRefs":false,"stream":true,"activeRow":0,"openOnly":false,"CAPO":false,"mW":[56,59,66,74,83,93,105,120,1000],"fW":[47,52,57,63,69,76,84,1000],"xW":[56,59,66,74,83,93,105,120,1000]}</t>
  </si>
  <si>
    <t>allan</t>
  </si>
  <si>
    <t>charlie</t>
  </si>
  <si>
    <t>danielle</t>
  </si>
  <si>
    <t>erich</t>
  </si>
  <si>
    <t>freya</t>
  </si>
  <si>
    <t>grant</t>
  </si>
  <si>
    <t>heidi</t>
  </si>
  <si>
    <t>IPF:</t>
  </si>
  <si>
    <t>X</t>
  </si>
  <si>
    <t>Competition Setup Page</t>
  </si>
  <si>
    <t xml:space="preserve">testttt,AAD,look mum i made a comp,ADN,Evan,AEQ,WPC platform 2,AEX,WPC #2,AEY,WPC #1,AEZ,WPC #2 2,AFA,WPC #2 2 2,AFB,WPC #2 22222,AFC,DPL Nationals,AFE, </t>
  </si>
  <si>
    <t>AAD</t>
  </si>
  <si>
    <t>look mum i made a comp</t>
  </si>
  <si>
    <t>ADN</t>
  </si>
  <si>
    <t>Evan</t>
  </si>
  <si>
    <t>AEQ</t>
  </si>
  <si>
    <t>WPC platform 2</t>
  </si>
  <si>
    <t>AEX</t>
  </si>
  <si>
    <t>WPC #2</t>
  </si>
  <si>
    <t>AEY</t>
  </si>
  <si>
    <t>WPC #1</t>
  </si>
  <si>
    <t>AEZ</t>
  </si>
  <si>
    <t>WPC #2 2</t>
  </si>
  <si>
    <t>AFA</t>
  </si>
  <si>
    <t>WPC #2 2 2</t>
  </si>
  <si>
    <t>AFB</t>
  </si>
  <si>
    <t>WPC #2 22222</t>
  </si>
  <si>
    <t>AFC</t>
  </si>
  <si>
    <t>DPL Nationals</t>
  </si>
  <si>
    <t>AFE</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</si>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</sst>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8"/>
      <name val="Calibri"/>
      <family val="2"/>
      <scheme val="minor"/>
    </font>
    <font>
      <sz val="11"/>
      <color rgb="FF000000"/>
      <name val="Calibri"/>
      <family val="2"/>
    </font>
    <font>
      <b/>
      <sz val="11"/>
      <color theme="1"/>
      <name val="Calibri"/>
      <family val="2"/>
      <scheme val="minor"/>
    </font>
    <font>
      <sz val="24"/>
      <color theme="1"/>
      <name val="Calibri"/>
      <family val="2"/>
      <scheme val="minor"/>
    </font>
    <font>
      <u/>
      <sz val="11"/>
      <color theme="4"/>
      <name val="Calibri"/>
      <family val="2"/>
      <scheme val="minor"/>
    </font>
    <font>
      <sz val="26"/>
      <color theme="1"/>
      <name val="Calibri"/>
      <family val="2"/>
      <scheme val="minor"/>
    </font>
    <font>
      <sz val="10"/>
      <color rgb="FF000000"/>
      <name val="Calibri"/>
      <family val="2"/>
      <scheme val="minor"/>
    </font>
    <font>
      <b/>
      <sz val="10"/>
      <color theme="1"/>
      <name val="Calibri"/>
      <family val="2"/>
      <scheme val="minor"/>
    </font>
    <font>
      <sz val="10"/>
      <color rgb="FF3F3F3F"/>
      <name val="Calibri"/>
      <family val="2"/>
      <scheme val="minor"/>
    </font>
    <font>
      <sz val="10"/>
      <color theme="1"/>
      <name val="Calibri"/>
      <family val="2"/>
      <scheme val="minor"/>
    </font>
  </fonts>
  <fills count="19">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rgb="FF000000"/>
      </patternFill>
    </fill>
    <fill>
      <patternFill patternType="solid">
        <fgColor theme="0" tint="-0.34998626667073579"/>
        <bgColor indexed="64"/>
      </patternFill>
    </fill>
    <fill>
      <patternFill patternType="solid">
        <fgColor theme="0" tint="-0.34998626667073579"/>
        <bgColor rgb="FF000000"/>
      </patternFill>
    </fill>
    <fill>
      <patternFill patternType="solid">
        <fgColor theme="9" tint="0.79998168889431442"/>
        <bgColor rgb="FF000000"/>
      </patternFill>
    </fill>
    <fill>
      <patternFill patternType="solid">
        <fgColor theme="8" tint="0.79998168889431442"/>
        <bgColor rgb="FF000000"/>
      </patternFill>
    </fill>
    <fill>
      <patternFill patternType="solid">
        <fgColor theme="7" tint="0.79998168889431442"/>
        <bgColor rgb="FF000000"/>
      </patternFill>
    </fill>
    <fill>
      <patternFill patternType="solid">
        <fgColor theme="6" tint="0.79998168889431442"/>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
    <xf numFmtId="0" fontId="0" fillId="0" borderId="0"/>
  </cellStyleXfs>
  <cellXfs count="165">
    <xf numFmtId="0" fontId="0" fillId="0" borderId="0" xfId="0"/>
    <xf numFmtId="0" fontId="0" fillId="0" borderId="0" xfId="0" applyAlignment="1">
      <alignment horizontal="center"/>
    </xf>
    <xf numFmtId="14" fontId="0" fillId="0" borderId="0" xfId="0" applyNumberFormat="1"/>
    <xf numFmtId="22" fontId="0" fillId="0" borderId="0" xfId="0" applyNumberFormat="1"/>
    <xf numFmtId="0" fontId="0" fillId="0" borderId="0" xfId="0" applyAlignment="1">
      <alignment horizontal="center" vertical="center"/>
    </xf>
    <xf numFmtId="0" fontId="3" fillId="0" borderId="0" xfId="0" applyFont="1"/>
    <xf numFmtId="0" fontId="0" fillId="2" borderId="0" xfId="0" applyFill="1" applyAlignment="1">
      <alignment horizontal="center"/>
    </xf>
    <xf numFmtId="0" fontId="0" fillId="2" borderId="0" xfId="0" applyFill="1"/>
    <xf numFmtId="0" fontId="0" fillId="2" borderId="1" xfId="0" applyFill="1" applyBorder="1" applyAlignment="1">
      <alignment horizontal="center"/>
    </xf>
    <xf numFmtId="0" fontId="0" fillId="2" borderId="5" xfId="0" applyFill="1" applyBorder="1" applyAlignment="1">
      <alignment horizontal="center"/>
    </xf>
    <xf numFmtId="1" fontId="0" fillId="2" borderId="5" xfId="0" applyNumberFormat="1" applyFill="1" applyBorder="1" applyAlignment="1">
      <alignment horizontal="center"/>
    </xf>
    <xf numFmtId="0" fontId="0" fillId="2" borderId="6" xfId="0" applyFill="1" applyBorder="1" applyAlignment="1">
      <alignment horizontal="center"/>
    </xf>
    <xf numFmtId="0" fontId="3" fillId="2" borderId="8" xfId="0" applyFont="1" applyFill="1" applyBorder="1" applyAlignment="1">
      <alignment horizontal="center"/>
    </xf>
    <xf numFmtId="0" fontId="3" fillId="2" borderId="9" xfId="0" applyFont="1" applyFill="1" applyBorder="1" applyAlignment="1">
      <alignment horizontal="center"/>
    </xf>
    <xf numFmtId="0" fontId="3" fillId="2" borderId="7" xfId="0" applyFont="1" applyFill="1" applyBorder="1" applyAlignment="1">
      <alignment horizontal="center"/>
    </xf>
    <xf numFmtId="0" fontId="0" fillId="2" borderId="2" xfId="0" applyFill="1" applyBorder="1" applyAlignment="1">
      <alignment horizontal="center"/>
    </xf>
    <xf numFmtId="0" fontId="3" fillId="0" borderId="7" xfId="0" applyFont="1" applyBorder="1"/>
    <xf numFmtId="0" fontId="3" fillId="0" borderId="8" xfId="0" applyFont="1" applyBorder="1"/>
    <xf numFmtId="0" fontId="3" fillId="0" borderId="9" xfId="0" applyFont="1" applyBorder="1"/>
    <xf numFmtId="0" fontId="0" fillId="0" borderId="0" xfId="0" applyAlignment="1">
      <alignment vertical="center"/>
    </xf>
    <xf numFmtId="0" fontId="4" fillId="4" borderId="14" xfId="0" applyFont="1" applyFill="1" applyBorder="1" applyAlignment="1">
      <alignment vertical="center"/>
    </xf>
    <xf numFmtId="0" fontId="0" fillId="4" borderId="15" xfId="0" applyFill="1" applyBorder="1" applyAlignment="1">
      <alignment vertical="center"/>
    </xf>
    <xf numFmtId="0" fontId="0" fillId="4" borderId="16" xfId="0" applyFill="1" applyBorder="1" applyAlignment="1">
      <alignment vertical="center"/>
    </xf>
    <xf numFmtId="0" fontId="0" fillId="4" borderId="17" xfId="0" applyFill="1" applyBorder="1" applyAlignment="1">
      <alignment vertical="center"/>
    </xf>
    <xf numFmtId="0" fontId="0" fillId="4" borderId="18" xfId="0" applyFill="1" applyBorder="1" applyAlignment="1">
      <alignment vertical="center"/>
    </xf>
    <xf numFmtId="0" fontId="0" fillId="4" borderId="19" xfId="0" applyFill="1" applyBorder="1" applyAlignment="1">
      <alignment vertical="center"/>
    </xf>
    <xf numFmtId="0" fontId="3" fillId="2" borderId="0" xfId="0" applyFont="1" applyFill="1" applyAlignment="1">
      <alignment horizontal="center"/>
    </xf>
    <xf numFmtId="49" fontId="0" fillId="0" borderId="0" xfId="0" applyNumberFormat="1" applyAlignment="1">
      <alignment horizontal="center" vertical="center"/>
    </xf>
    <xf numFmtId="0" fontId="5" fillId="0" borderId="0" xfId="0" applyFont="1" applyAlignment="1">
      <alignment vertical="center"/>
    </xf>
    <xf numFmtId="0" fontId="4" fillId="4" borderId="24" xfId="0" applyFont="1" applyFill="1" applyBorder="1" applyAlignment="1">
      <alignment vertical="center"/>
    </xf>
    <xf numFmtId="0" fontId="0" fillId="4" borderId="25" xfId="0" applyFill="1" applyBorder="1" applyAlignment="1">
      <alignment vertical="center"/>
    </xf>
    <xf numFmtId="0" fontId="3" fillId="4" borderId="20" xfId="0" applyFont="1" applyFill="1" applyBorder="1" applyAlignment="1">
      <alignment horizontal="center" vertical="center"/>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0" borderId="0" xfId="0" applyFont="1" applyAlignment="1">
      <alignment horizontal="center" vertical="center"/>
    </xf>
    <xf numFmtId="0" fontId="0" fillId="0" borderId="11" xfId="0" applyBorder="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18" borderId="10" xfId="0" applyFill="1" applyBorder="1" applyAlignment="1">
      <alignment horizontal="center" vertical="center"/>
    </xf>
    <xf numFmtId="0" fontId="0" fillId="18" borderId="2" xfId="0" applyFill="1" applyBorder="1" applyAlignment="1">
      <alignment horizontal="center" vertical="center"/>
    </xf>
    <xf numFmtId="0" fontId="0" fillId="18" borderId="12" xfId="0" applyFill="1" applyBorder="1" applyAlignment="1">
      <alignment horizontal="center" vertical="center"/>
    </xf>
    <xf numFmtId="0" fontId="0" fillId="17" borderId="14" xfId="0" applyFill="1" applyBorder="1"/>
    <xf numFmtId="0" fontId="0" fillId="17" borderId="15" xfId="0" applyFill="1" applyBorder="1"/>
    <xf numFmtId="0" fontId="0" fillId="17" borderId="16" xfId="0" applyFill="1" applyBorder="1"/>
    <xf numFmtId="0" fontId="0" fillId="17" borderId="24" xfId="0" applyFill="1" applyBorder="1"/>
    <xf numFmtId="0" fontId="0" fillId="17" borderId="0" xfId="0" applyFill="1"/>
    <xf numFmtId="0" fontId="0" fillId="17" borderId="25" xfId="0" applyFill="1" applyBorder="1"/>
    <xf numFmtId="0" fontId="0" fillId="17" borderId="17" xfId="0" applyFill="1" applyBorder="1"/>
    <xf numFmtId="0" fontId="0" fillId="17" borderId="18" xfId="0" applyFill="1" applyBorder="1"/>
    <xf numFmtId="0" fontId="0" fillId="17" borderId="19" xfId="0" applyFill="1" applyBorder="1"/>
    <xf numFmtId="0" fontId="0" fillId="2" borderId="0" xfId="0" applyFill="1" applyAlignment="1">
      <alignment horizontal="center" vertical="center" wrapText="1"/>
    </xf>
    <xf numFmtId="0" fontId="3" fillId="2" borderId="18" xfId="0" applyFont="1" applyFill="1" applyBorder="1" applyAlignment="1">
      <alignment horizontal="center" wrapText="1"/>
    </xf>
    <xf numFmtId="0" fontId="6" fillId="4" borderId="14" xfId="0" applyFont="1" applyFill="1" applyBorder="1" applyAlignment="1">
      <alignment horizontal="center" vertical="center"/>
    </xf>
    <xf numFmtId="0" fontId="6" fillId="4" borderId="15"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17" xfId="0" applyFont="1" applyFill="1" applyBorder="1" applyAlignment="1">
      <alignment horizontal="center" vertical="center"/>
    </xf>
    <xf numFmtId="0" fontId="6" fillId="4" borderId="18" xfId="0" applyFont="1" applyFill="1" applyBorder="1" applyAlignment="1">
      <alignment horizontal="center" vertical="center"/>
    </xf>
    <xf numFmtId="0" fontId="6" fillId="4" borderId="19" xfId="0" applyFont="1" applyFill="1" applyBorder="1" applyAlignment="1">
      <alignment horizontal="center" vertical="center"/>
    </xf>
    <xf numFmtId="0" fontId="0" fillId="4" borderId="0" xfId="0" applyFill="1" applyAlignment="1">
      <alignment horizontal="left" vertical="center" wrapText="1"/>
    </xf>
    <xf numFmtId="0" fontId="4" fillId="4" borderId="15" xfId="0" applyFont="1" applyFill="1" applyBorder="1" applyAlignment="1">
      <alignment horizontal="center" vertical="center"/>
    </xf>
    <xf numFmtId="0" fontId="7" fillId="5" borderId="27" xfId="0" applyFont="1" applyFill="1" applyBorder="1" applyAlignment="1">
      <alignment horizontal="center" vertical="center" readingOrder="1"/>
    </xf>
    <xf numFmtId="0" fontId="7" fillId="8" borderId="5" xfId="0" applyFont="1" applyFill="1" applyBorder="1" applyAlignment="1">
      <alignment horizontal="center" vertical="center" readingOrder="1"/>
    </xf>
    <xf numFmtId="0" fontId="7" fillId="8" borderId="1" xfId="0" applyFont="1" applyFill="1" applyBorder="1" applyAlignment="1">
      <alignment horizontal="center" vertical="center" readingOrder="1"/>
    </xf>
    <xf numFmtId="0" fontId="7" fillId="8" borderId="1" xfId="0" applyFont="1" applyFill="1" applyBorder="1" applyAlignment="1">
      <alignment horizontal="center" vertical="center" wrapText="1"/>
    </xf>
    <xf numFmtId="0" fontId="7" fillId="9" borderId="1" xfId="0" applyFont="1" applyFill="1" applyBorder="1" applyAlignment="1">
      <alignment horizontal="center" vertical="center" wrapText="1"/>
    </xf>
    <xf numFmtId="0" fontId="7" fillId="9" borderId="1" xfId="0" applyFont="1" applyFill="1" applyBorder="1" applyAlignment="1">
      <alignment horizontal="center" vertical="center" readingOrder="1"/>
    </xf>
    <xf numFmtId="0" fontId="7" fillId="10" borderId="1" xfId="0" applyFont="1" applyFill="1" applyBorder="1" applyAlignment="1">
      <alignment horizontal="center" vertical="center" readingOrder="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readingOrder="1"/>
    </xf>
    <xf numFmtId="0" fontId="7" fillId="12" borderId="1" xfId="0" applyFont="1" applyFill="1" applyBorder="1" applyAlignment="1">
      <alignment horizontal="center" vertical="center" readingOrder="1"/>
    </xf>
    <xf numFmtId="0" fontId="8" fillId="2" borderId="8" xfId="0" applyFont="1" applyFill="1" applyBorder="1" applyAlignment="1">
      <alignment horizontal="center" vertical="center"/>
    </xf>
    <xf numFmtId="0" fontId="8" fillId="2" borderId="9" xfId="0" applyFont="1" applyFill="1" applyBorder="1" applyAlignment="1">
      <alignment horizontal="center" vertical="center"/>
    </xf>
    <xf numFmtId="0" fontId="8" fillId="6" borderId="9" xfId="0" applyFont="1" applyFill="1" applyBorder="1" applyAlignment="1">
      <alignment horizontal="center" vertical="center"/>
    </xf>
    <xf numFmtId="49" fontId="8" fillId="6" borderId="9" xfId="0" applyNumberFormat="1" applyFont="1" applyFill="1" applyBorder="1" applyAlignment="1">
      <alignment horizontal="center" vertical="center"/>
    </xf>
    <xf numFmtId="0" fontId="7" fillId="7" borderId="27" xfId="0" applyFont="1" applyFill="1" applyBorder="1" applyAlignment="1">
      <alignment horizontal="center" vertical="center" readingOrder="1"/>
    </xf>
    <xf numFmtId="49" fontId="7" fillId="7" borderId="27" xfId="0" quotePrefix="1" applyNumberFormat="1" applyFont="1" applyFill="1" applyBorder="1" applyAlignment="1">
      <alignment horizontal="center" vertical="center" readingOrder="1"/>
    </xf>
    <xf numFmtId="164" fontId="7" fillId="7" borderId="27" xfId="0" applyNumberFormat="1" applyFont="1" applyFill="1" applyBorder="1" applyAlignment="1">
      <alignment horizontal="center" vertical="center" readingOrder="1"/>
    </xf>
    <xf numFmtId="164" fontId="7" fillId="7" borderId="28" xfId="0" applyNumberFormat="1" applyFont="1" applyFill="1" applyBorder="1" applyAlignment="1">
      <alignment horizontal="center" vertical="center" readingOrder="1"/>
    </xf>
    <xf numFmtId="49" fontId="7" fillId="8" borderId="5" xfId="0" applyNumberFormat="1" applyFont="1" applyFill="1" applyBorder="1" applyAlignment="1">
      <alignment horizontal="center" vertical="center" readingOrder="1"/>
    </xf>
    <xf numFmtId="164" fontId="7" fillId="8" borderId="5" xfId="0" applyNumberFormat="1" applyFont="1" applyFill="1" applyBorder="1" applyAlignment="1">
      <alignment horizontal="center" vertical="center" readingOrder="1"/>
    </xf>
    <xf numFmtId="164" fontId="7" fillId="8" borderId="6" xfId="0" applyNumberFormat="1" applyFont="1" applyFill="1" applyBorder="1" applyAlignment="1">
      <alignment horizontal="center" vertical="center" readingOrder="1"/>
    </xf>
    <xf numFmtId="49" fontId="7" fillId="8" borderId="1" xfId="0" applyNumberFormat="1" applyFont="1" applyFill="1" applyBorder="1" applyAlignment="1">
      <alignment horizontal="center" vertical="center" readingOrder="1"/>
    </xf>
    <xf numFmtId="164" fontId="7" fillId="8" borderId="1" xfId="0" applyNumberFormat="1" applyFont="1" applyFill="1" applyBorder="1" applyAlignment="1">
      <alignment horizontal="center" vertical="center" readingOrder="1"/>
    </xf>
    <xf numFmtId="164" fontId="7" fillId="8" borderId="3" xfId="0" applyNumberFormat="1" applyFont="1" applyFill="1" applyBorder="1" applyAlignment="1">
      <alignment horizontal="center" vertical="center" readingOrder="1"/>
    </xf>
    <xf numFmtId="49" fontId="7" fillId="9" borderId="1" xfId="0" applyNumberFormat="1" applyFont="1" applyFill="1" applyBorder="1" applyAlignment="1">
      <alignment horizontal="center" vertical="center" readingOrder="1"/>
    </xf>
    <xf numFmtId="164" fontId="7" fillId="9" borderId="1" xfId="0" applyNumberFormat="1" applyFont="1" applyFill="1" applyBorder="1" applyAlignment="1">
      <alignment horizontal="center" vertical="center" readingOrder="1"/>
    </xf>
    <xf numFmtId="164" fontId="7" fillId="9" borderId="3" xfId="0" applyNumberFormat="1" applyFont="1" applyFill="1" applyBorder="1" applyAlignment="1">
      <alignment horizontal="center" vertical="center" readingOrder="1"/>
    </xf>
    <xf numFmtId="49" fontId="7" fillId="10" borderId="1" xfId="0" applyNumberFormat="1" applyFont="1" applyFill="1" applyBorder="1" applyAlignment="1">
      <alignment horizontal="center" vertical="center" readingOrder="1"/>
    </xf>
    <xf numFmtId="164" fontId="7" fillId="10" borderId="1" xfId="0" applyNumberFormat="1" applyFont="1" applyFill="1" applyBorder="1" applyAlignment="1">
      <alignment horizontal="center" vertical="center" readingOrder="1"/>
    </xf>
    <xf numFmtId="164" fontId="7" fillId="10" borderId="3" xfId="0" applyNumberFormat="1" applyFont="1" applyFill="1" applyBorder="1" applyAlignment="1">
      <alignment horizontal="center" vertical="center" readingOrder="1"/>
    </xf>
    <xf numFmtId="49" fontId="7" fillId="11" borderId="1" xfId="0" applyNumberFormat="1" applyFont="1" applyFill="1" applyBorder="1" applyAlignment="1">
      <alignment horizontal="center" vertical="center" readingOrder="1"/>
    </xf>
    <xf numFmtId="164" fontId="7" fillId="11" borderId="1" xfId="0" applyNumberFormat="1" applyFont="1" applyFill="1" applyBorder="1" applyAlignment="1">
      <alignment horizontal="center" vertical="center" readingOrder="1"/>
    </xf>
    <xf numFmtId="164" fontId="7" fillId="11" borderId="3" xfId="0" applyNumberFormat="1" applyFont="1" applyFill="1" applyBorder="1" applyAlignment="1">
      <alignment horizontal="center" vertical="center" readingOrder="1"/>
    </xf>
    <xf numFmtId="49" fontId="7" fillId="12" borderId="1" xfId="0" applyNumberFormat="1" applyFont="1" applyFill="1" applyBorder="1" applyAlignment="1">
      <alignment horizontal="center" vertical="center" readingOrder="1"/>
    </xf>
    <xf numFmtId="164" fontId="7" fillId="12" borderId="1" xfId="0" applyNumberFormat="1" applyFont="1" applyFill="1" applyBorder="1" applyAlignment="1">
      <alignment horizontal="center" vertical="center" readingOrder="1"/>
    </xf>
    <xf numFmtId="164" fontId="7" fillId="12" borderId="3" xfId="0" applyNumberFormat="1" applyFont="1" applyFill="1" applyBorder="1" applyAlignment="1">
      <alignment horizontal="center" vertical="center" readingOrder="1"/>
    </xf>
    <xf numFmtId="0" fontId="10" fillId="12" borderId="1" xfId="0" applyFont="1" applyFill="1" applyBorder="1" applyAlignment="1">
      <alignment horizontal="center" vertical="center"/>
    </xf>
    <xf numFmtId="49" fontId="10" fillId="12" borderId="1" xfId="0" applyNumberFormat="1" applyFont="1" applyFill="1" applyBorder="1" applyAlignment="1">
      <alignment horizontal="center" vertical="center"/>
    </xf>
    <xf numFmtId="164" fontId="10" fillId="12" borderId="1" xfId="0" applyNumberFormat="1" applyFont="1" applyFill="1" applyBorder="1" applyAlignment="1">
      <alignment horizontal="center" vertical="center"/>
    </xf>
    <xf numFmtId="164" fontId="10" fillId="12" borderId="3" xfId="0" applyNumberFormat="1" applyFont="1" applyFill="1" applyBorder="1" applyAlignment="1">
      <alignment horizontal="center" vertical="center"/>
    </xf>
    <xf numFmtId="0" fontId="10" fillId="13" borderId="1" xfId="0" applyFont="1" applyFill="1" applyBorder="1" applyAlignment="1">
      <alignment horizontal="center" vertical="center"/>
    </xf>
    <xf numFmtId="49" fontId="10" fillId="13" borderId="1" xfId="0" applyNumberFormat="1" applyFont="1" applyFill="1" applyBorder="1" applyAlignment="1">
      <alignment horizontal="center" vertical="center"/>
    </xf>
    <xf numFmtId="164" fontId="10" fillId="13" borderId="1" xfId="0" applyNumberFormat="1" applyFont="1" applyFill="1" applyBorder="1" applyAlignment="1">
      <alignment horizontal="center" vertical="center"/>
    </xf>
    <xf numFmtId="164" fontId="10" fillId="13" borderId="3" xfId="0" applyNumberFormat="1" applyFont="1" applyFill="1" applyBorder="1" applyAlignment="1">
      <alignment horizontal="center" vertical="center"/>
    </xf>
    <xf numFmtId="0" fontId="10" fillId="14" borderId="1" xfId="0" applyFont="1" applyFill="1" applyBorder="1" applyAlignment="1">
      <alignment horizontal="center" vertical="center"/>
    </xf>
    <xf numFmtId="4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horizontal="center" vertical="center"/>
    </xf>
    <xf numFmtId="164" fontId="10" fillId="14" borderId="3" xfId="0" applyNumberFormat="1" applyFont="1" applyFill="1" applyBorder="1" applyAlignment="1">
      <alignment horizontal="center" vertical="center"/>
    </xf>
    <xf numFmtId="0" fontId="10" fillId="15" borderId="1" xfId="0" applyFont="1" applyFill="1" applyBorder="1" applyAlignment="1">
      <alignment horizontal="center" vertical="center"/>
    </xf>
    <xf numFmtId="49" fontId="10" fillId="15" borderId="1" xfId="0" applyNumberFormat="1" applyFont="1" applyFill="1" applyBorder="1" applyAlignment="1">
      <alignment horizontal="center" vertical="center"/>
    </xf>
    <xf numFmtId="164" fontId="10" fillId="15" borderId="1" xfId="0" applyNumberFormat="1" applyFont="1" applyFill="1" applyBorder="1" applyAlignment="1">
      <alignment horizontal="center" vertical="center"/>
    </xf>
    <xf numFmtId="164" fontId="10" fillId="15" borderId="3" xfId="0" applyNumberFormat="1" applyFont="1" applyFill="1" applyBorder="1" applyAlignment="1">
      <alignment horizontal="center" vertical="center"/>
    </xf>
    <xf numFmtId="0" fontId="10" fillId="16" borderId="1" xfId="0" applyFont="1" applyFill="1" applyBorder="1" applyAlignment="1">
      <alignment horizontal="center" vertical="center"/>
    </xf>
    <xf numFmtId="4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horizontal="center" vertical="center"/>
    </xf>
    <xf numFmtId="164" fontId="10" fillId="16" borderId="3" xfId="0" applyNumberFormat="1" applyFont="1" applyFill="1" applyBorder="1" applyAlignment="1">
      <alignment horizontal="center" vertical="center"/>
    </xf>
    <xf numFmtId="0" fontId="10" fillId="3" borderId="1" xfId="0" applyFont="1" applyFill="1" applyBorder="1" applyAlignment="1">
      <alignment horizontal="center" vertical="center"/>
    </xf>
    <xf numFmtId="49" fontId="10" fillId="3" borderId="1" xfId="0" applyNumberFormat="1" applyFont="1" applyFill="1" applyBorder="1" applyAlignment="1">
      <alignment horizontal="center" vertical="center"/>
    </xf>
    <xf numFmtId="164" fontId="10" fillId="3" borderId="1" xfId="0" applyNumberFormat="1" applyFont="1" applyFill="1" applyBorder="1" applyAlignment="1">
      <alignment horizontal="center" vertical="center"/>
    </xf>
    <xf numFmtId="164" fontId="10" fillId="3" borderId="3" xfId="0" applyNumberFormat="1" applyFont="1" applyFill="1" applyBorder="1" applyAlignment="1">
      <alignment horizontal="center" vertical="center"/>
    </xf>
    <xf numFmtId="0" fontId="10" fillId="17" borderId="1" xfId="0" applyFont="1" applyFill="1" applyBorder="1" applyAlignment="1">
      <alignment horizontal="center" vertical="center"/>
    </xf>
    <xf numFmtId="49" fontId="10" fillId="17" borderId="1" xfId="0" applyNumberFormat="1" applyFont="1" applyFill="1" applyBorder="1" applyAlignment="1">
      <alignment horizontal="center" vertical="center"/>
    </xf>
    <xf numFmtId="164" fontId="10" fillId="17" borderId="1" xfId="0" applyNumberFormat="1" applyFont="1" applyFill="1" applyBorder="1" applyAlignment="1">
      <alignment horizontal="center" vertical="center"/>
    </xf>
    <xf numFmtId="164" fontId="10" fillId="17" borderId="3" xfId="0" applyNumberFormat="1" applyFont="1" applyFill="1" applyBorder="1" applyAlignment="1">
      <alignment horizontal="center" vertical="center"/>
    </xf>
    <xf numFmtId="0" fontId="10" fillId="0" borderId="1" xfId="0" applyFont="1" applyBorder="1" applyAlignment="1">
      <alignment horizontal="center" vertical="center"/>
    </xf>
    <xf numFmtId="49" fontId="10" fillId="0" borderId="1" xfId="0" applyNumberFormat="1" applyFont="1" applyBorder="1" applyAlignment="1">
      <alignment horizontal="center" vertical="center"/>
    </xf>
    <xf numFmtId="164" fontId="10" fillId="0" borderId="1" xfId="0" applyNumberFormat="1" applyFont="1" applyBorder="1" applyAlignment="1">
      <alignment horizontal="center" vertical="center"/>
    </xf>
    <xf numFmtId="164" fontId="10" fillId="0" borderId="3" xfId="0" applyNumberFormat="1" applyFont="1" applyBorder="1" applyAlignment="1">
      <alignment horizontal="center" vertical="center"/>
    </xf>
    <xf numFmtId="0" fontId="10" fillId="0" borderId="23" xfId="0" applyFont="1" applyBorder="1" applyAlignment="1">
      <alignment horizontal="center" vertical="center"/>
    </xf>
    <xf numFmtId="49" fontId="10" fillId="0" borderId="23" xfId="0" applyNumberFormat="1" applyFont="1" applyBorder="1" applyAlignment="1">
      <alignment horizontal="center" vertical="center"/>
    </xf>
    <xf numFmtId="164" fontId="10" fillId="0" borderId="23" xfId="0" applyNumberFormat="1" applyFont="1" applyBorder="1" applyAlignment="1">
      <alignment horizontal="center" vertical="center"/>
    </xf>
    <xf numFmtId="164" fontId="10" fillId="0" borderId="13" xfId="0" applyNumberFormat="1" applyFont="1" applyBorder="1" applyAlignment="1">
      <alignment horizontal="center" vertical="center"/>
    </xf>
    <xf numFmtId="0" fontId="7" fillId="5" borderId="27" xfId="0" applyFont="1" applyFill="1" applyBorder="1" applyAlignment="1">
      <alignment horizontal="center" vertical="center"/>
    </xf>
    <xf numFmtId="0" fontId="9" fillId="5" borderId="27" xfId="0" applyFont="1" applyFill="1" applyBorder="1" applyAlignment="1">
      <alignment horizontal="center" vertical="center"/>
    </xf>
    <xf numFmtId="0" fontId="7" fillId="8" borderId="5" xfId="0" applyFont="1" applyFill="1" applyBorder="1" applyAlignment="1">
      <alignment horizontal="center" vertical="center"/>
    </xf>
    <xf numFmtId="0" fontId="9" fillId="8" borderId="5" xfId="0" applyFont="1" applyFill="1" applyBorder="1" applyAlignment="1">
      <alignment horizontal="center" vertical="center"/>
    </xf>
    <xf numFmtId="0" fontId="7"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7" fillId="9" borderId="1" xfId="0" applyFont="1" applyFill="1" applyBorder="1" applyAlignment="1">
      <alignment horizontal="center" vertical="center"/>
    </xf>
    <xf numFmtId="0" fontId="9" fillId="9" borderId="1" xfId="0" applyFont="1" applyFill="1" applyBorder="1" applyAlignment="1">
      <alignment horizontal="center" vertical="center"/>
    </xf>
    <xf numFmtId="0" fontId="7" fillId="10" borderId="1" xfId="0" applyFont="1" applyFill="1" applyBorder="1" applyAlignment="1">
      <alignment horizontal="center" vertical="center"/>
    </xf>
    <xf numFmtId="0" fontId="9" fillId="10" borderId="1" xfId="0" applyFont="1" applyFill="1" applyBorder="1" applyAlignment="1">
      <alignment horizontal="center" vertical="center"/>
    </xf>
    <xf numFmtId="0" fontId="7" fillId="11" borderId="1" xfId="0" applyFont="1" applyFill="1" applyBorder="1" applyAlignment="1">
      <alignment horizontal="center" vertical="center"/>
    </xf>
    <xf numFmtId="0" fontId="9" fillId="11" borderId="1" xfId="0" applyFont="1" applyFill="1" applyBorder="1" applyAlignment="1">
      <alignment horizontal="center" vertical="center"/>
    </xf>
    <xf numFmtId="0" fontId="7" fillId="12" borderId="1" xfId="0" applyFont="1" applyFill="1" applyBorder="1" applyAlignment="1">
      <alignment horizontal="center" vertical="center"/>
    </xf>
    <xf numFmtId="0" fontId="9" fillId="12" borderId="1" xfId="0" applyFont="1" applyFill="1" applyBorder="1" applyAlignment="1">
      <alignment horizontal="center" vertical="center"/>
    </xf>
    <xf numFmtId="0" fontId="9" fillId="13" borderId="1" xfId="0" applyFont="1" applyFill="1" applyBorder="1" applyAlignment="1">
      <alignment horizontal="center" vertical="center"/>
    </xf>
    <xf numFmtId="0" fontId="8" fillId="2" borderId="7" xfId="0" applyFont="1" applyFill="1" applyBorder="1" applyAlignment="1">
      <alignment horizontal="left" vertical="center"/>
    </xf>
    <xf numFmtId="0" fontId="7" fillId="5" borderId="26" xfId="0" applyFont="1" applyFill="1" applyBorder="1" applyAlignment="1">
      <alignment horizontal="left" vertical="center"/>
    </xf>
    <xf numFmtId="0" fontId="7" fillId="8" borderId="4" xfId="0" applyFont="1" applyFill="1" applyBorder="1" applyAlignment="1">
      <alignment horizontal="left" vertical="center"/>
    </xf>
    <xf numFmtId="0" fontId="7" fillId="8" borderId="2" xfId="0" applyFont="1" applyFill="1" applyBorder="1" applyAlignment="1">
      <alignment horizontal="left" vertical="center"/>
    </xf>
    <xf numFmtId="0" fontId="7" fillId="9" borderId="2" xfId="0" applyFont="1" applyFill="1" applyBorder="1" applyAlignment="1">
      <alignment horizontal="left" vertical="center"/>
    </xf>
    <xf numFmtId="0" fontId="7" fillId="10" borderId="2" xfId="0" applyFont="1" applyFill="1" applyBorder="1" applyAlignment="1">
      <alignment horizontal="left" vertical="center"/>
    </xf>
    <xf numFmtId="0" fontId="7" fillId="11" borderId="2" xfId="0" applyFont="1" applyFill="1" applyBorder="1" applyAlignment="1">
      <alignment horizontal="left" vertical="center"/>
    </xf>
    <xf numFmtId="0" fontId="10" fillId="12" borderId="2" xfId="0" applyFont="1" applyFill="1" applyBorder="1" applyAlignment="1">
      <alignment horizontal="left" vertical="center"/>
    </xf>
    <xf numFmtId="0" fontId="10" fillId="13" borderId="2" xfId="0" applyFont="1" applyFill="1" applyBorder="1" applyAlignment="1">
      <alignment horizontal="left" vertical="center"/>
    </xf>
    <xf numFmtId="0" fontId="10" fillId="14" borderId="2" xfId="0" applyFont="1" applyFill="1" applyBorder="1" applyAlignment="1">
      <alignment horizontal="left" vertical="center"/>
    </xf>
    <xf numFmtId="0" fontId="10" fillId="15" borderId="2" xfId="0" applyFont="1" applyFill="1" applyBorder="1" applyAlignment="1">
      <alignment horizontal="left" vertical="center"/>
    </xf>
    <xf numFmtId="0" fontId="10" fillId="16" borderId="2" xfId="0" applyFont="1" applyFill="1" applyBorder="1" applyAlignment="1">
      <alignment horizontal="left" vertical="center"/>
    </xf>
    <xf numFmtId="0" fontId="10" fillId="3" borderId="2" xfId="0" applyFont="1" applyFill="1" applyBorder="1" applyAlignment="1">
      <alignment horizontal="left" vertical="center"/>
    </xf>
    <xf numFmtId="0" fontId="10" fillId="17" borderId="2" xfId="0" applyFont="1" applyFill="1" applyBorder="1" applyAlignment="1">
      <alignment horizontal="left" vertical="center"/>
    </xf>
    <xf numFmtId="0" fontId="10" fillId="0" borderId="2" xfId="0" applyFont="1" applyBorder="1" applyAlignment="1">
      <alignment horizontal="left" vertical="center"/>
    </xf>
    <xf numFmtId="0" fontId="10" fillId="0" borderId="12" xfId="0" applyFont="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190500</xdr:rowOff>
        </xdr:from>
        <xdr:to>
          <xdr:col>3</xdr:col>
          <xdr:colOff>381000</xdr:colOff>
          <xdr:row>12</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Upload comp &amp; PB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13</xdr:row>
          <xdr:rowOff>0</xdr:rowOff>
        </xdr:from>
        <xdr:to>
          <xdr:col>3</xdr:col>
          <xdr:colOff>381000</xdr:colOff>
          <xdr:row>17</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Randomise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xdr:row>
          <xdr:rowOff>9525</xdr:rowOff>
        </xdr:from>
        <xdr:to>
          <xdr:col>3</xdr:col>
          <xdr:colOff>371475</xdr:colOff>
          <xdr:row>8</xdr:row>
          <xdr:rowOff>133350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Load Comps CLICK ME FIRST!</a:t>
              </a:r>
            </a:p>
            <a:p>
              <a:pPr algn="ctr" rtl="0">
                <a:defRPr sz="1000"/>
              </a:pPr>
              <a:r>
                <a:rPr lang="en-AU" sz="1100" b="0" i="0" u="none" strike="noStrike" baseline="0">
                  <a:solidFill>
                    <a:srgbClr val="000000"/>
                  </a:solidFill>
                  <a:latin typeface="Calibri"/>
                  <a:cs typeface="Calibri"/>
                </a:rPr>
                <a:t>(this isn't automatic due to Excel Macro security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17</xdr:row>
          <xdr:rowOff>57150</xdr:rowOff>
        </xdr:from>
        <xdr:to>
          <xdr:col>3</xdr:col>
          <xdr:colOff>400050</xdr:colOff>
          <xdr:row>21</xdr:row>
          <xdr:rowOff>66675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Get openpowerlifting PB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1</xdr:row>
          <xdr:rowOff>76200</xdr:rowOff>
        </xdr:from>
        <xdr:to>
          <xdr:col>11</xdr:col>
          <xdr:colOff>542925</xdr:colOff>
          <xdr:row>1</xdr:row>
          <xdr:rowOff>723900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Upload to the server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van McCloy" id="{5518FBDC-BB4E-42F8-AC0C-9D975850DEBD}" userId="fae6e0a56fb7c2c6"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26" backgroundRefresh="0" growShrinkType="overwriteClear" connectionId="103" xr16:uid="{297F10DF-7D9A-4641-94BE-DFB74B1EC0C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25" backgroundRefresh="0" growShrinkType="overwriteClear" connectionId="100" xr16:uid="{58E009D2-A761-40D3-9217-2F7E73D0914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24" backgroundRefresh="0" growShrinkType="overwriteClear" connectionId="97" xr16:uid="{26313542-347C-48F0-837A-AA693F0EAFA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23" backgroundRefresh="0" growShrinkType="overwriteClear" connectionId="95" xr16:uid="{923026C5-33B3-478E-9FC7-D9784A7382C4}"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84" backgroundRefresh="0" growShrinkType="overwriteClear" connectionId="70" xr16:uid="{495014C0-D97D-40FE-AAE4-388D0F539C1B}"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58" backgroundRefresh="0" growShrinkType="overwriteClear" connectionId="146" xr16:uid="{6EE5EE2A-A1D7-4CE0-A040-10373D3F5F3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88" backgroundRefresh="0" growShrinkType="overwriteClear" connectionId="74" xr16:uid="{BE8A9754-855A-476B-B745-58E565EB4E9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48" backgroundRefresh="0" growShrinkType="overwriteClear" connectionId="135" xr16:uid="{180397A8-4EE7-4AC2-B368-42F0232F0ACE}"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07" backgroundRefresh="0" growShrinkType="overwriteClear" connectionId="90" xr16:uid="{BD5FC7B9-AAC4-4238-8F0E-97CBF5B1696C}"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72" backgroundRefresh="0" growShrinkType="overwriteClear" connectionId="162" xr16:uid="{C821346D-8ADA-4906-8DF6-C81971521E1E}"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21" backgroundRefresh="0" growShrinkType="overwriteClear" connectionId="191" xr16:uid="{A143103B-5983-42F0-BA55-31B781F131A3}"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3" backgroundRefresh="0" growShrinkType="overwriteClear" connectionId="141" xr16:uid="{C2D0E290-216C-43A3-BE6D-59EEB640930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28" backgroundRefresh="0" growShrinkType="overwriteClear" connectionId="8" xr16:uid="{673773F7-4A71-4445-8623-980B17892C6B}"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44" backgroundRefresh="0" growShrinkType="overwriteClear" connectionId="26" xr16:uid="{48503DCF-92C6-4A06-8148-B0B3E053D08B}"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16" backgroundRefresh="0" growShrinkType="overwriteClear" connectionId="99" xr16:uid="{BB930AEF-DE4B-4BF4-8D07-556067A05901}"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6" backgroundRefresh="0" growShrinkType="overwriteClear" connectionId="6" xr16:uid="{290BC2C4-5BEF-48F0-BC92-E5A8C8B835DC}"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95" backgroundRefresh="0" growShrinkType="overwriteClear" connectionId="187" xr16:uid="{C7F26F9D-7D8D-490D-AF72-CFFB485A611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3" backgroundRefresh="0" growShrinkType="overwriteClear" connectionId="108" xr16:uid="{06C2415F-E0C6-E94B-A769-D37391A6555E}"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9" backgroundRefresh="0" growShrinkType="overwriteClear" connectionId="80" xr16:uid="{65A2A22D-73D4-4EF6-85A1-F8510B29FC56}"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74" backgroundRefresh="0" growShrinkType="overwriteClear" connectionId="164" xr16:uid="{2ABCE048-5E11-4E50-9D71-3D49EA292478}"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08" backgroundRefresh="0" growShrinkType="overwriteClear" connectionId="92" xr16:uid="{E92227CC-3C26-494E-AE4D-D5548BB9FA87}"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14" backgroundRefresh="0" growShrinkType="overwriteClear" connectionId="158" xr16:uid="{7757F346-68B7-4145-9EFF-56275908AACF}"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connectionId="106" xr16:uid="{76D4891A-195A-4BA5-925D-A5EA0274C814}"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93" backgroundRefresh="0" growShrinkType="overwriteClear" connectionId="185" xr16:uid="{CFC56FC7-C7AA-406E-9F24-420168530F2F}"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85" backgroundRefresh="0" growShrinkType="overwriteClear" connectionId="71" xr16:uid="{436A7193-B231-4109-BB54-4BE545923877}"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79" backgroundRefresh="0" growShrinkType="overwriteClear" connectionId="64" xr16:uid="{7D931D52-742D-44D2-887B-8247AE38BD0F}"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34" backgroundRefresh="0" growShrinkType="overwriteClear" connectionId="120" xr16:uid="{537B99DC-F408-4AE5-BDA1-EAF2477D5148}"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79" backgroundRefresh="0" growShrinkType="overwriteClear" connectionId="169" xr16:uid="{3201BD4C-325B-434A-A227-915DA964FF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81" backgroundRefresh="0" growShrinkType="overwriteClear" connectionId="66" xr16:uid="{276574DE-89F2-47C7-98E2-4DE26E36EFDE}"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209" backgroundRefresh="0" growShrinkType="overwriteClear" connectionId="89" xr16:uid="{A7352DFB-A35B-4314-96FE-4C4D33B6E5CA}"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92" backgroundRefresh="0" growShrinkType="overwriteClear" connectionId="184" xr16:uid="{67831DDA-C6F7-4778-A6C3-FAE394D88C82}"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72" backgroundRefresh="0" growShrinkType="overwriteClear" connectionId="56" xr16:uid="{A1BC446A-688A-459E-80B3-AB6F195299A4}"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32" backgroundRefresh="0" growShrinkType="overwriteClear" connectionId="12" xr16:uid="{E4C6A728-CB65-46FF-B0FB-1C2D7639CD17}"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31" backgroundRefresh="0" growShrinkType="overwriteClear" connectionId="11" xr16:uid="{E7525563-0279-4805-99F3-531FC26FF5E3}"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83" backgroundRefresh="0" growShrinkType="overwriteClear" connectionId="68" xr16:uid="{40A48006-373B-4847-9230-11AEF60422A7}"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54" backgroundRefresh="0" growShrinkType="overwriteClear" connectionId="142" xr16:uid="{3B1BF498-7C5E-4428-A757-2D32FAB503CF}"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77" backgroundRefresh="0" growShrinkType="overwriteClear" connectionId="167" xr16:uid="{FE124DF5-63C2-439D-ADC3-ACA1FD032658}"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88" backgroundRefresh="0" growShrinkType="overwriteClear" connectionId="179" xr16:uid="{12FE953A-839F-4E4B-BE06-27EBED3EA902}"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99" backgroundRefresh="0" growShrinkType="overwriteClear" connectionId="122" xr16:uid="{01567167-E1B1-4908-9AD2-5845669CD483}"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6" backgroundRefresh="0" growShrinkType="overwriteClear" connectionId="111" xr16:uid="{80FA89AE-63EE-44D8-8B43-CCDD68884A43}"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6" backgroundRefresh="0" growShrinkType="overwriteClear" connectionId="50" xr16:uid="{C946D399-2FD6-41E8-8CC3-346132B2F789}"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58" backgroundRefresh="0" growShrinkType="overwriteClear" connectionId="41" xr16:uid="{64E2067C-79A1-4C41-A11D-EE09B214908F}"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73" backgroundRefresh="0" growShrinkType="overwriteClear" connectionId="57" xr16:uid="{25DEF7E9-928E-44A2-B151-EA793B79D621}"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86" backgroundRefresh="0" growShrinkType="overwriteClear" connectionId="177" xr16:uid="{0EAA99F8-CECC-4205-8054-48B5DE7A4DDB}"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5" backgroundRefresh="0" growShrinkType="overwriteClear" connectionId="87" xr16:uid="{9378781A-2876-4316-BF75-A4036D6A8A6B}"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10" backgroundRefresh="0" growShrinkType="overwriteClear" connectionId="147" xr16:uid="{944FA3EA-FA61-4A86-A6B9-8F2842665EFD}"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195" backgroundRefresh="0" growShrinkType="overwriteClear" connectionId="79" xr16:uid="{2096B9A4-EDBA-42E8-AB07-C3E3B783301A}"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103" backgroundRefresh="0" growShrinkType="overwriteClear" connectionId="130" xr16:uid="{B18A48DC-C543-4820-A0B4-220068E5A3F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146" backgroundRefresh="0" growShrinkType="overwriteClear" connectionId="28" xr16:uid="{E8ED68A6-8A63-4C2D-8B85-3CD6B08D0DAE}"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62" backgroundRefresh="0" growShrinkType="overwriteClear" connectionId="151" xr16:uid="{6764C409-08D1-461D-9AAA-7B2C5F4365F1}"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18" backgroundRefresh="0" growShrinkType="overwriteClear" connectionId="101" xr16:uid="{0393904E-1837-422B-8D01-24760E45A476}"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14" backgroundRefresh="0" growShrinkType="overwriteClear" connectionId="25" xr16:uid="{B259E7E7-C6FE-42D6-BC0B-216E7E82802C}"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156" backgroundRefresh="0" growShrinkType="overwriteClear" connectionId="39" xr16:uid="{86FD7538-AB14-46D3-BF00-730855E37E64}"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02" backgroundRefresh="0" growShrinkType="overwriteClear" connectionId="127" xr16:uid="{03682D0E-12ED-46F2-8B01-BD00F61183F9}"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108" backgroundRefresh="0" growShrinkType="overwriteClear" connectionId="143" xr16:uid="{0032B099-1D82-4A63-AD42-73642178E4A6}"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18" backgroundRefresh="0" growShrinkType="overwriteClear" connectionId="69" xr16:uid="{8F6CD9EE-11A4-4883-9F24-71DA3D9BBA6D}"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44" backgroundRefresh="0" growShrinkType="overwriteClear" connectionId="131" xr16:uid="{E3E50A25-5A67-41B6-9C6D-D5854360CF9C}"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20" backgroundRefresh="0" growShrinkType="overwriteClear" connectionId="91" xr16:uid="{7892EF24-9279-4EC2-AE2C-0405412CC58C}"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186" backgroundRefresh="0" growShrinkType="overwriteClear" connectionId="72" xr16:uid="{D5AEFD90-DB02-43D3-940B-813A8C1E7E46}"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94" backgroundRefresh="0" growShrinkType="overwriteClear" connectionId="186" xr16:uid="{E8152FBF-2955-4D36-9E2E-B399133D9D5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210" backgroundRefresh="0" growShrinkType="overwriteClear" connectionId="93" xr16:uid="{0C28EE39-D895-4095-9440-1BA84F4B472C}"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119" backgroundRefresh="0" growShrinkType="overwriteClear" connectionId="189" xr16:uid="{BF280EF6-50AF-4FC6-81E8-9A2D5E6E25F5}"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147" backgroundRefresh="0" growShrinkType="overwriteClear" connectionId="29" xr16:uid="{A61FD2C1-AFB6-4EF0-9275-4F996C271758}"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39" backgroundRefresh="0" growShrinkType="overwriteClear" connectionId="125" xr16:uid="{57768CE0-40CA-4E41-B841-101C88FBA059}"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6" backgroundRefresh="0" growShrinkType="overwriteClear" connectionId="139" xr16:uid="{8A5C7681-E311-4179-9132-4F2215F00E7C}"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160" backgroundRefresh="0" growShrinkType="overwriteClear" connectionId="43" xr16:uid="{FEFB22B6-C641-49D0-8C9D-4A4C4D70F3D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82" backgroundRefresh="0" growShrinkType="overwriteClear" connectionId="173" xr16:uid="{F3D46139-A0E5-4549-AE42-4FED2FA8098C}"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135" backgroundRefresh="0" growShrinkType="overwriteClear" connectionId="16" xr16:uid="{03182FF7-0B90-4CEF-9F23-5F30FD13D109}"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12" backgroundRefresh="0" growShrinkType="overwriteClear" connectionId="172" xr16:uid="{5E25BAC4-1362-4968-B6D1-D2461BF3042B}"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28" backgroundRefresh="0" growShrinkType="overwriteClear" connectionId="113" xr16:uid="{13BF5E43-B85E-4527-AC9B-465393A509D1}"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75" backgroundRefresh="0" growShrinkType="overwriteClear" connectionId="165" xr16:uid="{A773218A-3A10-4531-B6CB-368E3CAC3AF3}"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203" backgroundRefresh="0" growShrinkType="overwriteClear" connectionId="88" xr16:uid="{2D0157A1-6C9A-43CD-87CE-2CBB17526A3D}"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49" backgroundRefresh="0" growShrinkType="overwriteClear" connectionId="136" xr16:uid="{9CCE729E-3FF9-4E02-8B3A-6DD1DB7710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164" backgroundRefresh="0" growShrinkType="overwriteClear" connectionId="48" xr16:uid="{7F1DC535-59C8-462E-BEA3-6E28424CC28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107" backgroundRefresh="0" growShrinkType="overwriteClear" connectionId="140" xr16:uid="{04A84703-EA60-4D9A-97FA-FEF2E2658553}"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180" backgroundRefresh="0" growShrinkType="overwriteClear" connectionId="65" xr16:uid="{D255A938-C419-41FF-AE52-513321038681}"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122" backgroundRefresh="0" growShrinkType="overwriteClear" connectionId="192" xr16:uid="{0474269C-8944-4E50-8DA2-F9434A901A0B}"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30" backgroundRefresh="0" growShrinkType="overwriteClear" connectionId="115" xr16:uid="{C86650C0-C163-4CCD-AA78-C896E9813667}"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152" backgroundRefresh="0" growShrinkType="overwriteClear" connectionId="34" xr16:uid="{5099D673-A5D0-42D7-A0D7-F61C990A093A}"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139" backgroundRefresh="0" growShrinkType="overwriteClear" connectionId="20" xr16:uid="{D9E5D843-EAAB-4FB7-8524-71C9CCF6F5D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46" backgroundRefresh="0" growShrinkType="overwriteClear" connectionId="133" xr16:uid="{797D893C-0201-4814-A703-FA8ED1540A68}"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connectionId="1" xr16:uid="{ED0A9960-7F3F-4092-A174-A99669DDCDAB}"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98" backgroundRefresh="0" growShrinkType="overwriteClear" connectionId="116" xr16:uid="{5D543524-C190-47DF-AAEA-734662DA9154}"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98" backgroundRefresh="0" growShrinkType="overwriteClear" connectionId="83" xr16:uid="{BA352E31-3751-402E-AD3D-E4E38FC32DD2}"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25" backgroundRefresh="0" growShrinkType="overwriteClear" connectionId="110" xr16:uid="{0FD4EBE7-2672-4FDF-9B61-D5388DC4A456}"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8" backgroundRefresh="0" growShrinkType="overwriteClear" connectionId="161" xr16:uid="{01290E52-948C-4787-9102-DF597BA969ED}"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194" backgroundRefresh="0" growShrinkType="overwriteClear" connectionId="77" xr16:uid="{9581D99B-4526-412F-8B06-7874BC134558}"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189" backgroundRefresh="0" growShrinkType="overwriteClear" connectionId="75" xr16:uid="{5B8DB438-106F-4039-9E68-956BEF76AA6D}"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220" backgroundRefresh="0" growShrinkType="overwriteClear" connectionId="104" xr16:uid="{1B6E9D92-35FE-4BB0-BE6E-F4EA5293C1AC}"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182" backgroundRefresh="0" growShrinkType="overwriteClear" connectionId="67" xr16:uid="{82F11991-CDF5-43AB-8E54-9503B1BD7E2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204" backgroundRefresh="0" growShrinkType="overwriteClear" connectionId="85" xr16:uid="{2CC31419-28AB-4FD4-823E-5989792A6A2A}"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159" backgroundRefresh="0" growShrinkType="overwriteClear" connectionId="42" xr16:uid="{4B95CA49-6EEE-4F42-9B26-8ADB293F2A42}"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169" backgroundRefresh="0" growShrinkType="overwriteClear" connectionId="53" xr16:uid="{5928464A-2D62-40D3-A626-033739E1D8D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211" backgroundRefresh="0" growShrinkType="overwriteClear" connectionId="94" xr16:uid="{ECF5970E-98E4-41F6-8CB0-74A3812F5B4A}"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117" backgroundRefresh="0" growShrinkType="overwriteClear" connectionId="182" xr16:uid="{AE69E1EC-9395-44BC-A315-64FD57F07F04}"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175" backgroundRefresh="0" growShrinkType="overwriteClear" connectionId="60" xr16:uid="{8C191043-B9C8-4EFA-9E6F-019E9DD84204}"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16" backgroundRefresh="0" growShrinkType="overwriteClear" connectionId="47" xr16:uid="{54852627-3358-4D98-AC0F-645EA47DE54C}"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60" backgroundRefresh="0" growShrinkType="overwriteClear" connectionId="148" xr16:uid="{03370C3D-A94B-4BD6-83E0-157EA4DFDFA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66" backgroundRefresh="0" growShrinkType="overwriteClear" connectionId="155" xr16:uid="{03683519-E3CC-4CF6-8370-AB5E21F2B7BE}"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134" backgroundRefresh="0" growShrinkType="overwriteClear" connectionId="15" xr16:uid="{6F3D17F0-68D7-47B6-9D63-90E98087022E}"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35" backgroundRefresh="0" growShrinkType="overwriteClear" connectionId="121" xr16:uid="{79205A37-0957-4010-A06A-572E0EB1CEC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155" backgroundRefresh="0" growShrinkType="overwriteClear" connectionId="38" xr16:uid="{4EE044E8-7063-4CB4-9C1A-27562F7E8C8A}"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15" backgroundRefresh="0" growShrinkType="overwriteClear" connectionId="36" xr16:uid="{DC2F1FAC-BA55-4DCF-9167-21502EBE933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199" backgroundRefresh="0" growShrinkType="overwriteClear" connectionId="84" xr16:uid="{62930533-B265-4783-A8EC-3578EBE0DAF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140" backgroundRefresh="0" growShrinkType="overwriteClear" connectionId="21" xr16:uid="{BEBC1D91-2EF1-4EF4-A9D8-644E4505CB4C}"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116" backgroundRefresh="0" growShrinkType="overwriteClear" connectionId="171" xr16:uid="{7926B3C1-AEB4-4A4E-8C43-9F1FA33A283B}"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42" backgroundRefresh="0" growShrinkType="overwriteClear" connectionId="129" xr16:uid="{A70BBAC5-52F3-402C-9D28-28D796B6AFF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17" backgroundRefresh="0" growShrinkType="overwriteClear" connectionId="58" xr16:uid="{62C5A6B4-D654-4B7C-90B8-E919F9C7964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143" backgroundRefresh="0" growShrinkType="overwriteClear" connectionId="24" xr16:uid="{DDC64C6B-A860-46DC-99C0-97287BE51EA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192" backgroundRefresh="0" growShrinkType="overwriteClear" connectionId="78" xr16:uid="{81CE0D40-DE2A-4AC3-946B-C6BA1C506B5F}"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187" backgroundRefresh="0" growShrinkType="overwriteClear" connectionId="73" xr16:uid="{609B7FDA-C7CE-46AF-B6F7-12DC24086A5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11" backgroundRefresh="0" growShrinkType="overwriteClear" connectionId="3" xr16:uid="{1334430C-0867-4D9F-AAD4-45CED261EC6F}"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165" backgroundRefresh="0" growShrinkType="overwriteClear" connectionId="49" xr16:uid="{B34A660B-32ED-4742-950E-B510E9C9BD6C}"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0" backgroundRefresh="0" growShrinkType="overwriteClear" connectionId="183" xr16:uid="{40C00E0C-B077-4D08-9E38-41DC716B69A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170" backgroundRefresh="0" growShrinkType="overwriteClear" connectionId="54" xr16:uid="{C3D20F2C-6C8E-4F9B-B8E0-0B13F8620AD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22" backgroundRefresh="0" growShrinkType="overwriteClear" connectionId="107" xr16:uid="{77260DF6-A6D1-8447-B4BF-B1D3B57CFAB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162" backgroundRefresh="0" growShrinkType="overwriteClear" connectionId="45" xr16:uid="{8EA878CD-520A-44F6-AB63-396D89B926A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76" backgroundRefresh="0" growShrinkType="overwriteClear" connectionId="166" xr16:uid="{BA5B9390-D7F1-43A7-A15C-1AB0CE5E85A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78" backgroundRefresh="0" growShrinkType="overwriteClear" connectionId="168" xr16:uid="{D8560260-34EF-463B-A034-A2E0A21EE6F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32" backgroundRefresh="0" growShrinkType="overwriteClear" connectionId="118" xr16:uid="{D7705A93-CFAC-4B73-8399-88747B25EF2A}"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123" backgroundRefresh="0" growShrinkType="overwriteClear" connectionId="193" xr16:uid="{6AE4F546-6C54-4137-BB71-0B22E80D3B0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13" backgroundRefresh="0" growShrinkType="overwriteClear" connectionId="14" xr16:uid="{5A1F8512-DA3A-40B8-AE01-EDCBC4919D9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153" backgroundRefresh="0" growShrinkType="overwriteClear" connectionId="35" xr16:uid="{00E149B5-2602-4721-B4D2-2224E3BEB40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104" backgroundRefresh="0" growShrinkType="overwriteClear" connectionId="132" xr16:uid="{E521E384-73E6-4C1D-B3CF-40D69097DFE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178" backgroundRefresh="0" growShrinkType="overwriteClear" connectionId="63" xr16:uid="{71F300BA-BDFB-4114-85D3-916245C4885F}"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136" backgroundRefresh="0" growShrinkType="overwriteClear" connectionId="17" xr16:uid="{D274E3DB-0846-4D8C-A2B5-BA9E5285FD7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213" backgroundRefresh="0" growShrinkType="overwriteClear" connectionId="96" xr16:uid="{862659C6-AA6F-4354-A841-5B154DF3D3D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222" backgroundRefresh="0" growShrinkType="overwriteClear" connectionId="105" xr16:uid="{D1FF9FC9-962B-4372-A728-332D1690D52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101" backgroundRefresh="0" growShrinkType="overwriteClear" connectionId="126" xr16:uid="{789CA9FE-1D26-43B3-A605-C3FB374926E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113" backgroundRefresh="0" growShrinkType="overwriteClear" connectionId="154" xr16:uid="{EAC1BCEB-99EC-4092-9654-DE3CA133561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00" backgroundRefresh="0" growShrinkType="overwriteClear" connectionId="124" xr16:uid="{A8F7169B-28A3-492F-B839-7D0511A0899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18" backgroundRefresh="0" growShrinkType="overwriteClear" connectionId="188" xr16:uid="{B3415ABC-63C5-44D9-9B27-AE4B9AD0403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150" backgroundRefresh="0" growShrinkType="overwriteClear" connectionId="32" xr16:uid="{49FA528B-B88B-41A9-857B-E69CDD3A5F2A}"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149" backgroundRefresh="0" growShrinkType="overwriteClear" connectionId="31" xr16:uid="{618D0C8D-7BD1-48F9-9AB4-3B21160D10F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123" xr16:uid="{5E8A7CA4-D46B-41A4-AF3F-0379842F637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154" backgroundRefresh="0" growShrinkType="overwriteClear" connectionId="37" xr16:uid="{C017754F-52C3-4E62-B0E2-39661F95CB0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56" backgroundRefresh="0" growShrinkType="overwriteClear" connectionId="144" xr16:uid="{82B942ED-29F5-47DF-962C-11608420567F}"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68" backgroundRefresh="0" growShrinkType="overwriteClear" connectionId="157" xr16:uid="{3606FF78-373C-4CE4-A0AF-9CD3AFCC6EE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176" backgroundRefresh="0" growShrinkType="overwriteClear" connectionId="61" xr16:uid="{9CD2567A-CF1C-44F0-94D1-CE27853B1D7A}"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21" backgroundRefresh="0" growShrinkType="overwriteClear" connectionId="102" xr16:uid="{E7B586EB-1F4F-402A-8CAE-1628495E43E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124" backgroundRefresh="0" growShrinkType="overwriteClear" connectionId="4" xr16:uid="{B58CEA1C-C8EF-4135-A4AF-C378F300FA1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127" backgroundRefresh="0" growShrinkType="overwriteClear" connectionId="7" xr16:uid="{AFBCBA0D-5E15-4E10-AECF-1E35F6F17E3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96" backgroundRefresh="0" growShrinkType="overwriteClear" connectionId="112" xr16:uid="{6C304728-9CCA-47E8-A54A-B9204DA0294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112" backgroundRefresh="0" growShrinkType="overwriteClear" connectionId="152" xr16:uid="{77731A75-EE6C-4372-8D15-E4CD7A075F3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80" backgroundRefresh="0" growShrinkType="overwriteClear" connectionId="170" xr16:uid="{9AC83A8D-F1C4-44A0-B3EB-7B983258225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141" backgroundRefresh="0" growShrinkType="overwriteClear" connectionId="22" xr16:uid="{4378157C-81D8-4E38-9C31-B0D801E84B4A}"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5" backgroundRefresh="0" growShrinkType="overwriteClear" connectionId="128" xr16:uid="{B1F4FAF3-8A46-4005-B247-96D2B16016C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111" backgroundRefresh="0" growShrinkType="overwriteClear" connectionId="149" xr16:uid="{6AE18D10-9668-4A4E-B949-5EE917ED5AB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84" backgroundRefresh="0" growShrinkType="overwriteClear" connectionId="175" xr16:uid="{59428BF2-9802-4712-8926-B827CCA9DA8A}"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142" backgroundRefresh="0" growShrinkType="overwriteClear" connectionId="23" xr16:uid="{EC7CCE01-DE07-4B64-BFFB-F3D580519D8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168" backgroundRefresh="0" growShrinkType="overwriteClear" connectionId="52" xr16:uid="{A82EFAFC-9738-48E3-9F70-7E673389246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151" backgroundRefresh="0" growShrinkType="overwriteClear" connectionId="33" xr16:uid="{E792BBBF-5CEE-4C98-B209-8B6CB1D3531B}"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161" backgroundRefresh="0" growShrinkType="overwriteClear" connectionId="44" xr16:uid="{FD4B0984-D77B-48AC-91EC-8BD0763B98C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171" backgroundRefresh="0" growShrinkType="overwriteClear" connectionId="55" xr16:uid="{58095506-D4EF-4013-BD0B-B39B61601A4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64" backgroundRefresh="0" growShrinkType="overwriteClear" connectionId="153" xr16:uid="{E9B89FCD-BAF9-4EAC-9F90-FF3480194B2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174" backgroundRefresh="0" growShrinkType="overwriteClear" connectionId="59" xr16:uid="{7F46947E-6045-4942-82B1-C8861F865B3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197" backgroundRefresh="0" growShrinkType="overwriteClear" connectionId="82" xr16:uid="{3D0F9CE7-D161-4296-8DA6-DD31D7B10A3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33" backgroundRefresh="0" growShrinkType="overwriteClear" connectionId="119" xr16:uid="{F37B740E-9DA2-486B-A1DA-8F2D550D257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133" backgroundRefresh="0" growShrinkType="overwriteClear" connectionId="13" xr16:uid="{BF12860A-0B50-4441-904F-2B5A6787CC7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83" backgroundRefresh="0" growShrinkType="overwriteClear" connectionId="174" xr16:uid="{266B6F34-AF1C-420B-9A84-933B8793F30F}"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201" backgroundRefresh="0" growShrinkType="overwriteClear" connectionId="86" xr16:uid="{6779DC93-837D-4E19-9518-3A7C787163EE}"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167" backgroundRefresh="0" growShrinkType="overwriteClear" connectionId="51" xr16:uid="{CE2093F3-9092-48E4-A669-BDDDA10F0CB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71" backgroundRefresh="0" growShrinkType="overwriteClear" connectionId="160" xr16:uid="{AB41F29F-469C-4CB2-89DF-871109950FBC}"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115" backgroundRefresh="0" growShrinkType="overwriteClear" connectionId="159" xr16:uid="{43890CC0-577C-4437-BD70-FC016C15E48C}"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138" backgroundRefresh="0" growShrinkType="overwriteClear" connectionId="19" xr16:uid="{25AFFFC4-7B91-4A2A-9630-AD4D857E335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89" backgroundRefresh="0" growShrinkType="overwriteClear" connectionId="180" xr16:uid="{74949864-FACC-4D96-A8A6-A91FDE2A460D}"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129" backgroundRefresh="0" growShrinkType="overwriteClear" connectionId="9" xr16:uid="{4C29EE40-3378-4020-99FF-F66ABC003BE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51" backgroundRefresh="0" growShrinkType="overwriteClear" connectionId="138" xr16:uid="{DFDEE518-374C-4643-A621-7DF898C6DB6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105" backgroundRefresh="0" growShrinkType="overwriteClear" connectionId="134" xr16:uid="{D6D88E5D-2A8C-4FA1-AE01-E0D5B4394F7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125" backgroundRefresh="0" growShrinkType="overwriteClear" connectionId="5" xr16:uid="{D4E431B1-3876-46D2-B2EC-BA870BE0CCA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215" backgroundRefresh="0" growShrinkType="overwriteClear" connectionId="98" xr16:uid="{4E380D88-B193-4113-A326-19F26E47608C}"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137" backgroundRefresh="0" growShrinkType="overwriteClear" connectionId="18" xr16:uid="{3661DEFD-6831-42BE-812C-D7BB5BA32CF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87" backgroundRefresh="0" growShrinkType="overwriteClear" connectionId="178" xr16:uid="{D23DF79A-6270-49C8-9AA5-87040F77761A}"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177" backgroundRefresh="0" growShrinkType="overwriteClear" connectionId="62" xr16:uid="{4F7070E0-F517-406F-BB3A-9DC361303D1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196" backgroundRefresh="0" growShrinkType="overwriteClear" connectionId="81" xr16:uid="{49DB32F3-B927-4B5E-86EE-1A67804A3A8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85" backgroundRefresh="0" growShrinkType="overwriteClear" connectionId="176" xr16:uid="{CFD875D1-663B-4942-B86A-8036688D498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106" backgroundRefresh="0" growShrinkType="overwriteClear" connectionId="137" xr16:uid="{F78048CE-8FAE-4962-AEF1-1D5AFDF5C7BF}"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connectionId="117" xr16:uid="{D936E0C3-B7EB-4B15-9C69-916D5383AFA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97" backgroundRefresh="0" growShrinkType="overwriteClear" connectionId="114" xr16:uid="{966B206B-2D68-4E6A-B76E-06F1A9D54FF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73" backgroundRefresh="0" growShrinkType="overwriteClear" connectionId="163" xr16:uid="{CCC75796-946C-415C-BC54-44CA1500880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109" backgroundRefresh="0" growShrinkType="overwriteClear" connectionId="145" xr16:uid="{317AD727-F5D1-4CB9-A637-86BF03621E6A}"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67" backgroundRefresh="0" growShrinkType="overwriteClear" connectionId="156" xr16:uid="{CBD0027B-E618-49E3-BD55-ED72DBD08A5E}"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130" backgroundRefresh="0" growShrinkType="overwriteClear" connectionId="10" xr16:uid="{6CC425DE-DAEE-4901-A451-7D4746BE90E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157" backgroundRefresh="0" growShrinkType="overwriteClear" connectionId="40" xr16:uid="{89AD6B59-4BD8-4F64-9477-B41B6B8C95D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7" backgroundRefresh="0" growShrinkType="overwriteClear" connectionId="150" xr16:uid="{415DD373-00B3-4C85-BD9E-2766B8B74DC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148" backgroundRefresh="0" growShrinkType="overwriteClear" connectionId="30" xr16:uid="{41D48AFA-9E04-45C6-B3FC-62A2EB1B89AD}"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163" backgroundRefresh="0" growShrinkType="overwriteClear" connectionId="46" xr16:uid="{D9DD31D6-6298-46CF-87BC-81B9196C489B}"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connectionId="2" xr16:uid="{9E241BCC-EF18-49CA-8C4A-96882EB3510A}"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120" backgroundRefresh="0" growShrinkType="overwriteClear" connectionId="190" xr16:uid="{5DA8C596-B847-4AB9-A6F6-056482147D3F}"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24" backgroundRefresh="0" growShrinkType="overwriteClear" connectionId="109" xr16:uid="{FF27CEC2-A809-41B9-A254-C28B4FD74F1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90" backgroundRefresh="0" growShrinkType="overwriteClear" connectionId="181" xr16:uid="{ECBCBF79-B2FC-4EBF-9326-44F8D8C2306B}"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193" backgroundRefresh="0" growShrinkType="overwriteClear" connectionId="76" xr16:uid="{08EEF05C-AEC7-47B7-8F8F-CB00D29B0F4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145" backgroundRefresh="0" growShrinkType="overwriteClear" connectionId="27" xr16:uid="{D2352DD8-CE39-448D-A6AA-950D94B0B8D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3" dT="2022-11-05T05:38:17.79" personId="{5518FBDC-BB4E-42F8-AC0C-9D975850DEBD}" id="{25754854-317A-432C-A94E-79BAA21B6231}">
    <text>Pick from the dropdown</text>
  </threadedComment>
  <threadedComment ref="F3" dT="2022-11-05T05:38:37.71" personId="{5518FBDC-BB4E-42F8-AC0C-9D975850DEBD}" id="{90ADF3E1-711F-4B1E-AD6D-050B8FF33D74}">
    <text>This is for multiple competition bulk uploads</text>
  </threadedComment>
  <threadedComment ref="G3" dT="2022-11-05T05:38:48.48" personId="{5518FBDC-BB4E-42F8-AC0C-9D975850DEBD}" id="{12B7E9D5-3056-480D-ABB4-D4E7112C04FB}">
    <text>Randomise me</text>
  </threadedComment>
  <threadedComment ref="H3" dT="2022-11-05T05:38:55.17" personId="{5518FBDC-BB4E-42F8-AC0C-9D975850DEBD}" id="{879B212F-8810-48ED-8598-E1315A7FDCD5}">
    <text>Only input data in this column if you have split first and surnames</text>
  </threadedComment>
  <threadedComment ref="I3" dT="2022-11-05T05:39:01.37" personId="{5518FBDC-BB4E-42F8-AC0C-9D975850DEBD}" id="{5216D83A-0B87-46BF-8795-AB2EA538D78D}">
    <text>If you have first name and surname split, put just the surname here. IF you have combined first and surnames, put the whole name here AND LEAVE COLUMN H BLANK</text>
  </threadedComment>
  <threadedComment ref="J3" dT="2022-11-05T05:39:17.21" personId="{5518FBDC-BB4E-42F8-AC0C-9D975850DEBD}" id="{BEB54C8F-2943-46D4-A377-9A7090513034}">
    <text>Leave blank if not required. 2-4 letters usually</text>
  </threadedComment>
  <threadedComment ref="K3" dT="2022-11-05T05:39:34.80" personId="{5518FBDC-BB4E-42F8-AC0C-9D975850DEBD}" id="{86E065D2-0ECF-40EC-B02B-AB7A6DDEE8EF}">
    <text>Birth year? Year of birth. Yob. Yobbo. I dunno.</text>
  </threadedComment>
  <threadedComment ref="L3" dT="2022-12-12T10:12:05.99" personId="{5518FBDC-BB4E-42F8-AC0C-9D975850DEBD}" id="{2D4EBA1A-CDAF-40DF-9FA7-57F4F5A67B55}">
    <text xml:space="preserve">For IPF:
CL - Classic
EQ - Equipped
Otherwise - go nuts eg
MP - Multiply
SO - Special Olympics
WR - Wraps
</text>
  </threadedComment>
  <threadedComment ref="M3" dT="2022-12-12T10:13:14.79" personId="{5518FBDC-BB4E-42F8-AC0C-9D975850DEBD}" id="{1BB135C2-7C8F-4763-8369-CA8F36BF6A38}">
    <text>For IPF:
PL or BP only. This is for IPF Points calculation
Otherwise, go nuts, eg:
PL - Powerlifting 3 Lift
PP - Push Pull
SQ/BP/DL - single lift
Note because it's up to you, it does not affect the competition flow in simpleLifter.</text>
  </threadedComment>
  <threadedComment ref="N3" dT="2022-11-05T05:40:15.68" personId="{5518FBDC-BB4E-42F8-AC0C-9D975850DEBD}" id="{E120F1C1-F335-4A0F-95DA-145F08178DC8}">
    <text>F/M - used for IPF and Glos points calculation, weight classes, and for live stream information.
X (for Mx) is a third option. The software only supports one character right now. It should use Male weight classes &amp; points calculators</text>
  </threadedComment>
  <threadedComment ref="O3" dT="2022-11-05T05:40:21.45" personId="{5518FBDC-BB4E-42F8-AC0C-9D975850DEBD}" id="{ECF9A729-A0EE-401C-A000-8998F12538EF}">
    <text>Open</text>
  </threadedComment>
  <threadedComment ref="P3" dT="2022-11-05T05:40:27.97" personId="{5518FBDC-BB4E-42F8-AC0C-9D975850DEBD}" id="{5497937D-D8EC-46DA-ACB9-CB7D0CBE37F0}">
    <text>Blank</text>
  </threadedComment>
  <threadedComment ref="Q3" dT="2022-11-05T05:40:41.18" personId="{5518FBDC-BB4E-42F8-AC0C-9D975850DEBD}" id="{9CC2D784-41BA-4CB4-B995-41CB981F535B}">
    <text xml:space="preserve">Flight / group. Used interchangably. </text>
  </threadedComment>
  <threadedComment ref="R3" dT="2023-01-10T23:24:45.27" personId="{5518FBDC-BB4E-42F8-AC0C-9D975850DEBD}" id="{1DF38124-A0B5-4547-AF10-647D8EDEBB32}">
    <text>Bodyweight - if you're using this prior to weigh in and will use simpleLifter for weigh in, type in the nominated weight class here.
If you're putting in weight classes andd the lifter is a SHW, just add a kg. eg. 
84+ -&gt; 85
120+ -&gt; 121
etc</text>
  </threadedComment>
  <threadedComment ref="S3" dT="2023-01-10T23:25:13.88" personId="{5518FBDC-BB4E-42F8-AC0C-9D975850DEBD}" id="{4AE4CC67-6640-42EC-A4CC-674921D0CD8B}">
    <text xml:space="preserve">Squat Rack Height
</text>
  </threadedComment>
  <threadedComment ref="T3" dT="2023-01-10T23:25:50.99" personId="{5518FBDC-BB4E-42F8-AC0C-9D975850DEBD}" id="{11E35A56-6424-4BA5-945A-19AD024998AE}">
    <text>Bench / Safety rack height. Note this is free text to input what you want how you want.
Eg. 5/5, 5E, 5.5, etc they're all fine</text>
  </threadedComment>
  <threadedComment ref="U3" dT="2023-01-10T23:25:59.81" personId="{5518FBDC-BB4E-42F8-AC0C-9D975850DEBD}" id="{5A06785B-9C45-40F0-9D2A-58339E0EDDDE}">
    <text>Opening squat</text>
  </threadedComment>
  <threadedComment ref="V3" dT="2023-01-10T23:26:05.00" personId="{5518FBDC-BB4E-42F8-AC0C-9D975850DEBD}" id="{43A28E22-CC94-411F-B800-D6BDA553CE53}">
    <text>Opening Bench</text>
  </threadedComment>
  <threadedComment ref="W3" dT="2023-01-10T23:26:12.72" personId="{5518FBDC-BB4E-42F8-AC0C-9D975850DEBD}" id="{CBC0868C-DB63-48B2-846F-449682F86EBA}">
    <text>Opening deadlift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queryTable" Target="../queryTables/queryTable117.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38" Type="http://schemas.openxmlformats.org/officeDocument/2006/relationships/queryTable" Target="../queryTables/queryTable138.xml"/><Relationship Id="rId154" Type="http://schemas.openxmlformats.org/officeDocument/2006/relationships/queryTable" Target="../queryTables/queryTable154.xml"/><Relationship Id="rId159" Type="http://schemas.openxmlformats.org/officeDocument/2006/relationships/queryTable" Target="../queryTables/queryTable159.xml"/><Relationship Id="rId175" Type="http://schemas.openxmlformats.org/officeDocument/2006/relationships/queryTable" Target="../queryTables/queryTable175.xml"/><Relationship Id="rId170" Type="http://schemas.openxmlformats.org/officeDocument/2006/relationships/queryTable" Target="../queryTables/queryTable170.xml"/><Relationship Id="rId191" Type="http://schemas.openxmlformats.org/officeDocument/2006/relationships/queryTable" Target="../queryTables/queryTable191.xml"/><Relationship Id="rId16" Type="http://schemas.openxmlformats.org/officeDocument/2006/relationships/queryTable" Target="../queryTables/queryTable16.xml"/><Relationship Id="rId107" Type="http://schemas.openxmlformats.org/officeDocument/2006/relationships/queryTable" Target="../queryTables/queryTable107.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28" Type="http://schemas.openxmlformats.org/officeDocument/2006/relationships/queryTable" Target="../queryTables/queryTable128.xml"/><Relationship Id="rId144" Type="http://schemas.openxmlformats.org/officeDocument/2006/relationships/queryTable" Target="../queryTables/queryTable144.xml"/><Relationship Id="rId149" Type="http://schemas.openxmlformats.org/officeDocument/2006/relationships/queryTable" Target="../queryTables/queryTable149.xml"/><Relationship Id="rId5" Type="http://schemas.openxmlformats.org/officeDocument/2006/relationships/queryTable" Target="../queryTables/queryTable5.xml"/><Relationship Id="rId90" Type="http://schemas.openxmlformats.org/officeDocument/2006/relationships/queryTable" Target="../queryTables/queryTable90.xml"/><Relationship Id="rId95" Type="http://schemas.openxmlformats.org/officeDocument/2006/relationships/queryTable" Target="../queryTables/queryTable95.xml"/><Relationship Id="rId160" Type="http://schemas.openxmlformats.org/officeDocument/2006/relationships/queryTable" Target="../queryTables/queryTable160.xml"/><Relationship Id="rId165" Type="http://schemas.openxmlformats.org/officeDocument/2006/relationships/queryTable" Target="../queryTables/queryTable165.xml"/><Relationship Id="rId181" Type="http://schemas.openxmlformats.org/officeDocument/2006/relationships/queryTable" Target="../queryTables/queryTable181.xml"/><Relationship Id="rId186" Type="http://schemas.openxmlformats.org/officeDocument/2006/relationships/queryTable" Target="../queryTables/queryTable186.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113" Type="http://schemas.openxmlformats.org/officeDocument/2006/relationships/queryTable" Target="../queryTables/queryTable113.xml"/><Relationship Id="rId118" Type="http://schemas.openxmlformats.org/officeDocument/2006/relationships/queryTable" Target="../queryTables/queryTable118.xml"/><Relationship Id="rId134" Type="http://schemas.openxmlformats.org/officeDocument/2006/relationships/queryTable" Target="../queryTables/queryTable134.xml"/><Relationship Id="rId139" Type="http://schemas.openxmlformats.org/officeDocument/2006/relationships/queryTable" Target="../queryTables/queryTable139.xml"/><Relationship Id="rId80" Type="http://schemas.openxmlformats.org/officeDocument/2006/relationships/queryTable" Target="../queryTables/queryTable80.xml"/><Relationship Id="rId85" Type="http://schemas.openxmlformats.org/officeDocument/2006/relationships/queryTable" Target="../queryTables/queryTable85.xml"/><Relationship Id="rId150" Type="http://schemas.openxmlformats.org/officeDocument/2006/relationships/queryTable" Target="../queryTables/queryTable150.xml"/><Relationship Id="rId155" Type="http://schemas.openxmlformats.org/officeDocument/2006/relationships/queryTable" Target="../queryTables/queryTable155.xml"/><Relationship Id="rId171" Type="http://schemas.openxmlformats.org/officeDocument/2006/relationships/queryTable" Target="../queryTables/queryTable171.xml"/><Relationship Id="rId176" Type="http://schemas.openxmlformats.org/officeDocument/2006/relationships/queryTable" Target="../queryTables/queryTable176.xml"/><Relationship Id="rId192" Type="http://schemas.openxmlformats.org/officeDocument/2006/relationships/queryTable" Target="../queryTables/queryTable192.xml"/><Relationship Id="rId12" Type="http://schemas.openxmlformats.org/officeDocument/2006/relationships/queryTable" Target="../queryTables/queryTable12.xml"/><Relationship Id="rId17" Type="http://schemas.openxmlformats.org/officeDocument/2006/relationships/queryTable" Target="../queryTables/queryTable17.xml"/><Relationship Id="rId33" Type="http://schemas.openxmlformats.org/officeDocument/2006/relationships/queryTable" Target="../queryTables/queryTable33.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08" Type="http://schemas.openxmlformats.org/officeDocument/2006/relationships/queryTable" Target="../queryTables/queryTable108.xml"/><Relationship Id="rId124" Type="http://schemas.openxmlformats.org/officeDocument/2006/relationships/queryTable" Target="../queryTables/queryTable124.xml"/><Relationship Id="rId129" Type="http://schemas.openxmlformats.org/officeDocument/2006/relationships/queryTable" Target="../queryTables/queryTable129.xml"/><Relationship Id="rId54" Type="http://schemas.openxmlformats.org/officeDocument/2006/relationships/queryTable" Target="../queryTables/queryTable54.xml"/><Relationship Id="rId70" Type="http://schemas.openxmlformats.org/officeDocument/2006/relationships/queryTable" Target="../queryTables/queryTable70.xml"/><Relationship Id="rId75" Type="http://schemas.openxmlformats.org/officeDocument/2006/relationships/queryTable" Target="../queryTables/queryTable75.xml"/><Relationship Id="rId91" Type="http://schemas.openxmlformats.org/officeDocument/2006/relationships/queryTable" Target="../queryTables/queryTable91.xml"/><Relationship Id="rId96" Type="http://schemas.openxmlformats.org/officeDocument/2006/relationships/queryTable" Target="../queryTables/queryTable96.xml"/><Relationship Id="rId140" Type="http://schemas.openxmlformats.org/officeDocument/2006/relationships/queryTable" Target="../queryTables/queryTable140.xml"/><Relationship Id="rId145" Type="http://schemas.openxmlformats.org/officeDocument/2006/relationships/queryTable" Target="../queryTables/queryTable145.xml"/><Relationship Id="rId161" Type="http://schemas.openxmlformats.org/officeDocument/2006/relationships/queryTable" Target="../queryTables/queryTable161.xml"/><Relationship Id="rId166" Type="http://schemas.openxmlformats.org/officeDocument/2006/relationships/queryTable" Target="../queryTables/queryTable166.xml"/><Relationship Id="rId182" Type="http://schemas.openxmlformats.org/officeDocument/2006/relationships/queryTable" Target="../queryTables/queryTable182.xml"/><Relationship Id="rId187" Type="http://schemas.openxmlformats.org/officeDocument/2006/relationships/queryTable" Target="../queryTables/queryTable187.xml"/><Relationship Id="rId1" Type="http://schemas.openxmlformats.org/officeDocument/2006/relationships/queryTable" Target="../queryTables/queryTable1.xml"/><Relationship Id="rId6" Type="http://schemas.openxmlformats.org/officeDocument/2006/relationships/queryTable" Target="../queryTables/queryTable6.xml"/><Relationship Id="rId23" Type="http://schemas.openxmlformats.org/officeDocument/2006/relationships/queryTable" Target="../queryTables/queryTable23.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119" Type="http://schemas.openxmlformats.org/officeDocument/2006/relationships/queryTable" Target="../queryTables/queryTable119.xml"/><Relationship Id="rId44" Type="http://schemas.openxmlformats.org/officeDocument/2006/relationships/queryTable" Target="../queryTables/queryTable44.xml"/><Relationship Id="rId60" Type="http://schemas.openxmlformats.org/officeDocument/2006/relationships/queryTable" Target="../queryTables/queryTable60.xml"/><Relationship Id="rId65" Type="http://schemas.openxmlformats.org/officeDocument/2006/relationships/queryTable" Target="../queryTables/queryTable65.xml"/><Relationship Id="rId81" Type="http://schemas.openxmlformats.org/officeDocument/2006/relationships/queryTable" Target="../queryTables/queryTable81.xml"/><Relationship Id="rId86" Type="http://schemas.openxmlformats.org/officeDocument/2006/relationships/queryTable" Target="../queryTables/queryTable86.xml"/><Relationship Id="rId130" Type="http://schemas.openxmlformats.org/officeDocument/2006/relationships/queryTable" Target="../queryTables/queryTable130.xml"/><Relationship Id="rId135" Type="http://schemas.openxmlformats.org/officeDocument/2006/relationships/queryTable" Target="../queryTables/queryTable135.xml"/><Relationship Id="rId151" Type="http://schemas.openxmlformats.org/officeDocument/2006/relationships/queryTable" Target="../queryTables/queryTable151.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72" Type="http://schemas.openxmlformats.org/officeDocument/2006/relationships/queryTable" Target="../queryTables/queryTable172.xml"/><Relationship Id="rId193" Type="http://schemas.openxmlformats.org/officeDocument/2006/relationships/queryTable" Target="../queryTables/queryTable193.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109" Type="http://schemas.openxmlformats.org/officeDocument/2006/relationships/queryTable" Target="../queryTables/queryTable10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04" Type="http://schemas.openxmlformats.org/officeDocument/2006/relationships/queryTable" Target="../queryTables/queryTable104.xml"/><Relationship Id="rId120" Type="http://schemas.openxmlformats.org/officeDocument/2006/relationships/queryTable" Target="../queryTables/queryTable120.xml"/><Relationship Id="rId125" Type="http://schemas.openxmlformats.org/officeDocument/2006/relationships/queryTable" Target="../queryTables/queryTable125.xml"/><Relationship Id="rId141" Type="http://schemas.openxmlformats.org/officeDocument/2006/relationships/queryTable" Target="../queryTables/queryTable141.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15" Type="http://schemas.openxmlformats.org/officeDocument/2006/relationships/queryTable" Target="../queryTables/queryTable115.xml"/><Relationship Id="rId131" Type="http://schemas.openxmlformats.org/officeDocument/2006/relationships/queryTable" Target="../queryTables/queryTable131.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61" Type="http://schemas.openxmlformats.org/officeDocument/2006/relationships/queryTable" Target="../queryTables/queryTable61.xml"/><Relationship Id="rId82" Type="http://schemas.openxmlformats.org/officeDocument/2006/relationships/queryTable" Target="../queryTables/queryTable82.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189" Type="http://schemas.openxmlformats.org/officeDocument/2006/relationships/queryTable" Target="../queryTables/queryTable189.xml"/><Relationship Id="rId3" Type="http://schemas.openxmlformats.org/officeDocument/2006/relationships/queryTable" Target="../queryTables/queryTable3.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79" Type="http://schemas.openxmlformats.org/officeDocument/2006/relationships/queryTable" Target="../queryTables/queryTable179.xml"/><Relationship Id="rId190" Type="http://schemas.openxmlformats.org/officeDocument/2006/relationships/queryTable" Target="../queryTables/queryTable190.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106" Type="http://schemas.openxmlformats.org/officeDocument/2006/relationships/queryTable" Target="../queryTables/queryTable106.xml"/><Relationship Id="rId127" Type="http://schemas.openxmlformats.org/officeDocument/2006/relationships/queryTable" Target="../queryTables/queryTable12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78" Type="http://schemas.openxmlformats.org/officeDocument/2006/relationships/queryTable" Target="../queryTables/queryTable78.xml"/><Relationship Id="rId94" Type="http://schemas.openxmlformats.org/officeDocument/2006/relationships/queryTable" Target="../queryTables/queryTable94.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48" Type="http://schemas.openxmlformats.org/officeDocument/2006/relationships/queryTable" Target="../queryTables/queryTable148.xml"/><Relationship Id="rId164" Type="http://schemas.openxmlformats.org/officeDocument/2006/relationships/queryTable" Target="../queryTables/queryTable164.xml"/><Relationship Id="rId169" Type="http://schemas.openxmlformats.org/officeDocument/2006/relationships/queryTable" Target="../queryTables/queryTable169.xml"/><Relationship Id="rId185" Type="http://schemas.openxmlformats.org/officeDocument/2006/relationships/queryTable" Target="../queryTables/queryTable185.xml"/><Relationship Id="rId4" Type="http://schemas.openxmlformats.org/officeDocument/2006/relationships/queryTable" Target="../queryTables/queryTable4.xml"/><Relationship Id="rId9" Type="http://schemas.openxmlformats.org/officeDocument/2006/relationships/queryTable" Target="../queryTables/queryTable9.xml"/><Relationship Id="rId180" Type="http://schemas.openxmlformats.org/officeDocument/2006/relationships/queryTable" Target="../queryTables/queryTable180.xml"/><Relationship Id="rId26" Type="http://schemas.openxmlformats.org/officeDocument/2006/relationships/queryTable" Target="../queryTables/queryTable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4BF56-A988-4DB5-93AE-5B8669CB3ADA}">
  <sheetPr codeName="Sheet1"/>
  <dimension ref="A1:BB299"/>
  <sheetViews>
    <sheetView showGridLines="0" tabSelected="1" zoomScale="85" zoomScaleNormal="85" workbookViewId="0">
      <selection activeCell="E2" sqref="E2:Q2"/>
    </sheetView>
  </sheetViews>
  <sheetFormatPr defaultColWidth="8.85546875" defaultRowHeight="15" x14ac:dyDescent="0.25"/>
  <cols>
    <col min="5" max="5" width="38.85546875" customWidth="1"/>
    <col min="6" max="6" width="12.42578125" hidden="1" customWidth="1"/>
    <col min="7" max="7" width="9.140625" style="4"/>
    <col min="8" max="8" width="15" style="4" bestFit="1" customWidth="1"/>
    <col min="9" max="9" width="20.7109375" style="4" bestFit="1" customWidth="1"/>
    <col min="10" max="10" width="6.7109375" style="4" bestFit="1" customWidth="1"/>
    <col min="11" max="11" width="12.85546875" style="4" bestFit="1" customWidth="1"/>
    <col min="12" max="12" width="12.85546875" style="4" customWidth="1"/>
    <col min="13" max="13" width="21.42578125" style="4" bestFit="1" customWidth="1"/>
    <col min="14" max="14" width="7.7109375" style="4" bestFit="1" customWidth="1"/>
    <col min="15" max="15" width="7.85546875" style="4" bestFit="1" customWidth="1"/>
    <col min="16" max="16" width="0" style="4" hidden="1" customWidth="1"/>
    <col min="17" max="17" width="9.140625" style="4"/>
    <col min="18" max="19" width="8.85546875" style="4"/>
    <col min="20" max="20" width="8.85546875" style="27"/>
    <col min="21" max="23" width="8.85546875" style="4"/>
    <col min="24" max="25" width="0" hidden="1" customWidth="1"/>
    <col min="26" max="27" width="9.140625" style="1" hidden="1" customWidth="1"/>
    <col min="28" max="28" width="26.42578125" style="1" hidden="1" customWidth="1"/>
    <col min="29" max="30" width="9.140625" style="1" hidden="1" customWidth="1"/>
    <col min="31" max="31" width="12.42578125" style="1" hidden="1" customWidth="1"/>
    <col min="32" max="37" width="9.140625" style="1" hidden="1" customWidth="1"/>
    <col min="38" max="39" width="9.140625" style="1" customWidth="1"/>
    <col min="40" max="40" width="5.85546875" hidden="1" customWidth="1"/>
    <col min="41" max="41" width="12.28515625" hidden="1" customWidth="1"/>
    <col min="42" max="42" width="9" hidden="1" customWidth="1"/>
    <col min="43" max="50" width="12.28515625" hidden="1" customWidth="1"/>
    <col min="51" max="51" width="9.140625" hidden="1" customWidth="1"/>
    <col min="52" max="52" width="11.85546875" hidden="1" customWidth="1"/>
    <col min="53" max="53" width="94.28515625" hidden="1" customWidth="1"/>
    <col min="54" max="54" width="9.140625" hidden="1" customWidth="1"/>
  </cols>
  <sheetData>
    <row r="1" spans="1:54" x14ac:dyDescent="0.25">
      <c r="V1" s="4" t="s">
        <v>58</v>
      </c>
    </row>
    <row r="2" spans="1:54" ht="262.5" customHeight="1" thickBot="1" x14ac:dyDescent="0.3">
      <c r="A2" s="7"/>
      <c r="B2" s="7"/>
      <c r="C2" s="7"/>
      <c r="D2" s="7"/>
      <c r="E2" s="52" t="s">
        <v>84</v>
      </c>
      <c r="F2" s="52"/>
      <c r="G2" s="52"/>
      <c r="H2" s="52"/>
      <c r="I2" s="52"/>
      <c r="J2" s="52"/>
      <c r="K2" s="52"/>
      <c r="L2" s="52"/>
      <c r="M2" s="52"/>
      <c r="N2" s="52"/>
      <c r="O2" s="52"/>
      <c r="P2" s="52"/>
      <c r="Q2" s="52"/>
      <c r="R2" s="53" t="s">
        <v>83</v>
      </c>
      <c r="S2" s="53"/>
      <c r="T2" s="53"/>
      <c r="U2" s="53"/>
      <c r="V2" s="53"/>
      <c r="W2" s="53"/>
      <c r="X2" s="7"/>
      <c r="Y2" s="7"/>
      <c r="Z2" s="6"/>
      <c r="AA2" s="6"/>
      <c r="AB2" s="6"/>
      <c r="AC2" s="6"/>
      <c r="AD2" s="6"/>
      <c r="AE2" s="6"/>
      <c r="AF2" s="6"/>
      <c r="AG2" s="6"/>
      <c r="AH2" s="6"/>
      <c r="AI2" s="6"/>
      <c r="AJ2" s="6"/>
      <c r="AK2" s="6"/>
      <c r="AL2" s="6"/>
    </row>
    <row r="3" spans="1:54" ht="15.75" thickBot="1" x14ac:dyDescent="0.3">
      <c r="A3" s="7"/>
      <c r="B3" s="7"/>
      <c r="C3" s="7"/>
      <c r="D3" s="7"/>
      <c r="E3" s="149" t="s">
        <v>18</v>
      </c>
      <c r="F3" s="72" t="s">
        <v>19</v>
      </c>
      <c r="G3" s="72" t="s">
        <v>12</v>
      </c>
      <c r="H3" s="72" t="s">
        <v>11</v>
      </c>
      <c r="I3" s="72" t="s">
        <v>82</v>
      </c>
      <c r="J3" s="72" t="s">
        <v>13</v>
      </c>
      <c r="K3" s="72" t="s">
        <v>14</v>
      </c>
      <c r="L3" s="72" t="s">
        <v>66</v>
      </c>
      <c r="M3" s="72" t="s">
        <v>15</v>
      </c>
      <c r="N3" s="72" t="s">
        <v>64</v>
      </c>
      <c r="O3" s="72" t="s">
        <v>16</v>
      </c>
      <c r="P3" s="72"/>
      <c r="Q3" s="73" t="s">
        <v>17</v>
      </c>
      <c r="R3" s="74" t="s">
        <v>65</v>
      </c>
      <c r="S3" s="74" t="s">
        <v>59</v>
      </c>
      <c r="T3" s="75" t="s">
        <v>60</v>
      </c>
      <c r="U3" s="74" t="s">
        <v>61</v>
      </c>
      <c r="V3" s="74" t="s">
        <v>62</v>
      </c>
      <c r="W3" s="74" t="s">
        <v>63</v>
      </c>
      <c r="X3" s="7"/>
      <c r="Y3" s="7"/>
      <c r="Z3" s="14" t="s">
        <v>1</v>
      </c>
      <c r="AA3" s="12" t="s">
        <v>2</v>
      </c>
      <c r="AB3" s="12" t="s">
        <v>3</v>
      </c>
      <c r="AC3" s="12" t="s">
        <v>4</v>
      </c>
      <c r="AD3" s="12" t="s">
        <v>5</v>
      </c>
      <c r="AE3" s="12" t="s">
        <v>6</v>
      </c>
      <c r="AF3" s="12" t="s">
        <v>7</v>
      </c>
      <c r="AG3" s="12" t="s">
        <v>8</v>
      </c>
      <c r="AH3" s="12" t="s">
        <v>9</v>
      </c>
      <c r="AI3" s="13" t="s">
        <v>10</v>
      </c>
      <c r="AJ3" s="26"/>
      <c r="AK3" s="26"/>
      <c r="AL3" s="26"/>
      <c r="AN3" s="5"/>
      <c r="AO3" s="5"/>
    </row>
    <row r="4" spans="1:54" ht="15.75" thickBot="1" x14ac:dyDescent="0.3">
      <c r="E4" s="150" t="s">
        <v>100</v>
      </c>
      <c r="F4" s="62"/>
      <c r="G4" s="62">
        <v>69</v>
      </c>
      <c r="H4" s="134" t="s">
        <v>85</v>
      </c>
      <c r="I4" s="134" t="s">
        <v>86</v>
      </c>
      <c r="J4" s="134" t="s">
        <v>87</v>
      </c>
      <c r="K4" s="134">
        <v>1990</v>
      </c>
      <c r="L4" s="134" t="s">
        <v>69</v>
      </c>
      <c r="M4" s="135" t="s">
        <v>71</v>
      </c>
      <c r="N4" s="134" t="s">
        <v>72</v>
      </c>
      <c r="O4" s="134">
        <f ca="1">YEAR(TODAY())-K4</f>
        <v>33</v>
      </c>
      <c r="P4" s="62"/>
      <c r="Q4" s="62" t="s">
        <v>0</v>
      </c>
      <c r="R4" s="76">
        <v>55</v>
      </c>
      <c r="S4" s="76">
        <v>15</v>
      </c>
      <c r="T4" s="77" t="s">
        <v>75</v>
      </c>
      <c r="U4" s="78">
        <v>100</v>
      </c>
      <c r="V4" s="78">
        <v>200</v>
      </c>
      <c r="W4" s="79">
        <v>200</v>
      </c>
      <c r="Z4" s="15" t="str">
        <f t="shared" ref="Z4:Z53" si="0">IF(Q4="","A",PROPER(Q4))</f>
        <v>A</v>
      </c>
      <c r="AA4" s="9">
        <f t="shared" ref="AA4:AA67" si="1">G4</f>
        <v>69</v>
      </c>
      <c r="AB4" s="9" t="str">
        <f>IF(ISBLANK(H4),I4,H4&amp;" " &amp;I4)</f>
        <v>Testy McTestface</v>
      </c>
      <c r="AC4" s="9" t="str">
        <f t="shared" ref="AC4:AC67" si="2">J4</f>
        <v>AAA</v>
      </c>
      <c r="AD4" s="9">
        <f t="shared" ref="AD4:AD67" si="3">K4</f>
        <v>1990</v>
      </c>
      <c r="AE4" s="8" t="str">
        <f>LEFT(N4,1)&amp;"-"&amp;L4&amp;"-"&amp;M4</f>
        <v>M-EQ-PL</v>
      </c>
      <c r="AF4" s="10">
        <f>R4</f>
        <v>55</v>
      </c>
      <c r="AG4" s="9">
        <v>0</v>
      </c>
      <c r="AH4" s="9">
        <f>S4</f>
        <v>15</v>
      </c>
      <c r="AI4" s="11" t="str">
        <f>T4</f>
        <v>5/5</v>
      </c>
      <c r="AJ4" s="6"/>
      <c r="AK4" s="6"/>
      <c r="AL4" s="6"/>
      <c r="AN4" t="str">
        <f>CHAR(34)&amp;AG4&amp;CHAR(34)&amp;":{"</f>
        <v>"0":{</v>
      </c>
      <c r="AO4" t="str">
        <f>Z$3&amp;":"&amp;CHAR(34)&amp;Z4&amp;CHAR(34)&amp;","</f>
        <v>"group":"A",</v>
      </c>
      <c r="AP4" t="str">
        <f>AA$3&amp;":"&amp;AA4&amp;","</f>
        <v>"lot":69,</v>
      </c>
      <c r="AQ4" t="str">
        <f t="shared" ref="AQ4:AV4" si="4">AB$3&amp;":"&amp;CHAR(34)&amp;AB4&amp;CHAR(34)&amp;","</f>
        <v>"name":"Testy McTestface",</v>
      </c>
      <c r="AR4" t="str">
        <f t="shared" si="4"/>
        <v>"team":"AAA",</v>
      </c>
      <c r="AS4" t="str">
        <f t="shared" si="4"/>
        <v>"year":"1990",</v>
      </c>
      <c r="AT4" t="str">
        <f t="shared" si="4"/>
        <v>"division":"M-EQ-PL",</v>
      </c>
      <c r="AU4" t="str">
        <f t="shared" si="4"/>
        <v>"bw":"55",</v>
      </c>
      <c r="AV4" t="str">
        <f t="shared" si="4"/>
        <v>"idx":"0",</v>
      </c>
      <c r="AW4" t="str">
        <f t="shared" ref="AW4" si="5">AH$3&amp;":"&amp;CHAR(34)&amp;AH4&amp;CHAR(34)&amp;","</f>
        <v>"sr":"15",</v>
      </c>
      <c r="AX4" t="str">
        <f t="shared" ref="AX4" si="6">AI$3&amp;":"&amp;CHAR(34)&amp;AI4&amp;CHAR(34)&amp;","</f>
        <v>"br":"5/5",</v>
      </c>
      <c r="AY4" t="str">
        <f>CHAR(34)&amp;"row"&amp;CHAR(34)&amp;":"&amp;AA4&amp;","</f>
        <v>"row":69,</v>
      </c>
      <c r="AZ4" t="s">
        <v>67</v>
      </c>
      <c r="BA4" t="str">
        <f>SUBSTITUTE(SUBSTITUTE(SUBSTITUTE(AZ4,"999.5",IF(ISBLANK(U4),"0",U4)),"888.5",IF(ISBLANK(V4),"0",V4)),"555.5",IF(ISBLANK(W4),"0",W4))</f>
        <v>"sq":{"a1":100,"a2":"","a3":"","s1":0,"s2":0,"s3":0},"bp":{"a1":200,"a2":"","a3":"","s1":0,"s2":0,"s3":0},"dl":{"a1":200,"a2":"","a3":"","s1":0,"s2":0,"s3":0},"sortOrder":0,"act":{}}</v>
      </c>
      <c r="BB4" t="str">
        <f>AN4&amp;AO4&amp;AP4&amp;AQ4&amp;AR4&amp;AS4&amp;AT4&amp;AU4&amp;AV4&amp;AW4&amp;AX4&amp;AY4&amp;BA4</f>
        <v>"0":{"group":"A","lot":69,"name":"Testy McTestface","team":"AAA","year":"1990","division":"M-EQ-PL","bw":"55","idx":"0","sr":"15","br":"5/5","row":69,"sq":{"a1":100,"a2":"","a3":"","s1":0,"s2":0,"s3":0},"bp":{"a1":200,"a2":"","a3":"","s1":0,"s2":0,"s3":0},"dl":{"a1":200,"a2":"","a3":"","s1":0,"s2":0,"s3":0},"sortOrder":0,"act":{}}</v>
      </c>
    </row>
    <row r="5" spans="1:54" x14ac:dyDescent="0.25">
      <c r="E5" s="151" t="s">
        <v>20</v>
      </c>
      <c r="F5" s="63"/>
      <c r="G5" s="63">
        <v>2</v>
      </c>
      <c r="H5" s="136"/>
      <c r="I5" s="136" t="s">
        <v>106</v>
      </c>
      <c r="J5" s="136" t="s">
        <v>68</v>
      </c>
      <c r="K5" s="136">
        <v>1990</v>
      </c>
      <c r="L5" s="136" t="s">
        <v>70</v>
      </c>
      <c r="M5" s="137" t="s">
        <v>71</v>
      </c>
      <c r="N5" s="136" t="s">
        <v>114</v>
      </c>
      <c r="O5" s="136">
        <f t="shared" ref="O5:O12" ca="1" si="7">YEAR(TODAY())-K5</f>
        <v>33</v>
      </c>
      <c r="P5" s="63"/>
      <c r="Q5" s="63" t="s">
        <v>0</v>
      </c>
      <c r="R5" s="63">
        <v>90</v>
      </c>
      <c r="S5" s="63">
        <v>15</v>
      </c>
      <c r="T5" s="80" t="s">
        <v>76</v>
      </c>
      <c r="U5" s="81">
        <v>200</v>
      </c>
      <c r="V5" s="81">
        <v>200</v>
      </c>
      <c r="W5" s="82">
        <v>150</v>
      </c>
      <c r="Z5" s="15" t="str">
        <f t="shared" si="0"/>
        <v>A</v>
      </c>
      <c r="AA5" s="8">
        <f t="shared" si="1"/>
        <v>2</v>
      </c>
      <c r="AB5" s="9" t="str">
        <f t="shared" ref="AB5:AB68" si="8">IF(ISBLANK(H5),I5,H5&amp;" " &amp;I5)</f>
        <v>allan</v>
      </c>
      <c r="AC5" s="8" t="str">
        <f t="shared" si="2"/>
        <v>AAP</v>
      </c>
      <c r="AD5" s="8">
        <f t="shared" si="3"/>
        <v>1990</v>
      </c>
      <c r="AE5" s="8" t="str">
        <f t="shared" ref="AE5:AE68" si="9">LEFT(N5,1)&amp;"-"&amp;L5&amp;"-"&amp;M5</f>
        <v>X-CL-PL</v>
      </c>
      <c r="AF5" s="10">
        <f t="shared" ref="AF5:AF68" si="10">R5</f>
        <v>90</v>
      </c>
      <c r="AG5" s="8">
        <v>0</v>
      </c>
      <c r="AH5" s="9">
        <f t="shared" ref="AH5:AH68" si="11">S5</f>
        <v>15</v>
      </c>
      <c r="AI5" s="11" t="str">
        <f t="shared" ref="AI5:AI68" si="12">T5</f>
        <v>6/5</v>
      </c>
      <c r="AJ5" s="6"/>
      <c r="AK5" s="6"/>
      <c r="AL5" s="6"/>
      <c r="AN5" t="str">
        <f t="shared" ref="AN5:AN53" si="13">CHAR(34)&amp;AG5&amp;CHAR(34)&amp;":{"</f>
        <v>"0":{</v>
      </c>
      <c r="AO5" t="str">
        <f t="shared" ref="AO5:AO53" si="14">Z$3&amp;":"&amp;CHAR(34)&amp;Z5&amp;CHAR(34)&amp;","</f>
        <v>"group":"A",</v>
      </c>
      <c r="AP5" t="str">
        <f t="shared" ref="AP5:AP68" si="15">AA$3&amp;":"&amp;AA5&amp;","</f>
        <v>"lot":2,</v>
      </c>
      <c r="AQ5" t="str">
        <f t="shared" ref="AQ5:AQ53" si="16">AB$3&amp;":"&amp;CHAR(34)&amp;AB5&amp;CHAR(34)&amp;","</f>
        <v>"name":"allan",</v>
      </c>
      <c r="AR5" t="str">
        <f t="shared" ref="AR5:AR53" si="17">AC$3&amp;":"&amp;CHAR(34)&amp;AC5&amp;CHAR(34)&amp;","</f>
        <v>"team":"AAP",</v>
      </c>
      <c r="AS5" t="str">
        <f t="shared" ref="AS5:AS53" si="18">AD$3&amp;":"&amp;CHAR(34)&amp;AD5&amp;CHAR(34)&amp;","</f>
        <v>"year":"1990",</v>
      </c>
      <c r="AT5" t="str">
        <f t="shared" ref="AT5:AT53" si="19">AE$3&amp;":"&amp;CHAR(34)&amp;AE5&amp;CHAR(34)&amp;","</f>
        <v>"division":"X-CL-PL",</v>
      </c>
      <c r="AU5" t="str">
        <f t="shared" ref="AU5:AU53" si="20">AF$3&amp;":"&amp;CHAR(34)&amp;AF5&amp;CHAR(34)&amp;","</f>
        <v>"bw":"90",</v>
      </c>
      <c r="AV5" t="str">
        <f t="shared" ref="AV5:AV53" si="21">AG$3&amp;":"&amp;CHAR(34)&amp;AG5&amp;CHAR(34)&amp;","</f>
        <v>"idx":"0",</v>
      </c>
      <c r="AW5" t="str">
        <f t="shared" ref="AW5:AW53" si="22">AH$3&amp;":"&amp;CHAR(34)&amp;AH5&amp;CHAR(34)&amp;","</f>
        <v>"sr":"15",</v>
      </c>
      <c r="AX5" t="str">
        <f t="shared" ref="AX5:AX53" si="23">AI$3&amp;":"&amp;CHAR(34)&amp;AI5&amp;CHAR(34)&amp;","</f>
        <v>"br":"6/5",</v>
      </c>
      <c r="AY5" t="str">
        <f t="shared" ref="AY5:AY53" si="24">CHAR(34)&amp;"row"&amp;CHAR(34)&amp;":"&amp;AA5&amp;","</f>
        <v>"row":2,</v>
      </c>
      <c r="AZ5" t="s">
        <v>67</v>
      </c>
      <c r="BA5" t="str">
        <f t="shared" ref="BA5:BA68" si="25">SUBSTITUTE(SUBSTITUTE(SUBSTITUTE(AZ5,"999.5",IF(ISBLANK(U5),"0",U5)),"888.5",IF(ISBLANK(V5),"0",V5)),"555.5",IF(ISBLANK(W5),"0",W5))</f>
        <v>"sq":{"a1":200,"a2":"","a3":"","s1":0,"s2":0,"s3":0},"bp":{"a1":200,"a2":"","a3":"","s1":0,"s2":0,"s3":0},"dl":{"a1":150,"a2":"","a3":"","s1":0,"s2":0,"s3":0},"sortOrder":0,"act":{}}</v>
      </c>
      <c r="BB5" t="str">
        <f t="shared" ref="BB5:BB68" si="26">AN5&amp;AO5&amp;AP5&amp;AQ5&amp;AR5&amp;AS5&amp;AT5&amp;AU5&amp;AV5&amp;AW5&amp;AX5&amp;AY5&amp;BA5</f>
        <v>"0":{"group":"A","lot":2,"name":"allan","team":"AAP","year":"1990","division":"X-CL-PL","bw":"90","idx":"0","sr":"15","br":"6/5","row":2,"sq":{"a1":200,"a2":"","a3":"","s1":0,"s2":0,"s3":0},"bp":{"a1":200,"a2":"","a3":"","s1":0,"s2":0,"s3":0},"dl":{"a1":150,"a2":"","a3":"","s1":0,"s2":0,"s3":0},"sortOrder":0,"act":{}}</v>
      </c>
    </row>
    <row r="6" spans="1:54" x14ac:dyDescent="0.25">
      <c r="E6" s="151" t="s">
        <v>20</v>
      </c>
      <c r="F6" s="64"/>
      <c r="G6" s="64">
        <v>4</v>
      </c>
      <c r="H6" s="138"/>
      <c r="I6" s="138" t="s">
        <v>103</v>
      </c>
      <c r="J6" s="138" t="s">
        <v>68</v>
      </c>
      <c r="K6" s="138">
        <v>1990</v>
      </c>
      <c r="L6" s="138" t="s">
        <v>69</v>
      </c>
      <c r="M6" s="139" t="s">
        <v>71</v>
      </c>
      <c r="N6" s="138" t="s">
        <v>72</v>
      </c>
      <c r="O6" s="138">
        <f t="shared" ca="1" si="7"/>
        <v>33</v>
      </c>
      <c r="P6" s="64"/>
      <c r="Q6" s="64" t="s">
        <v>0</v>
      </c>
      <c r="R6" s="64">
        <v>90</v>
      </c>
      <c r="S6" s="64"/>
      <c r="T6" s="83" t="s">
        <v>77</v>
      </c>
      <c r="U6" s="84">
        <v>200</v>
      </c>
      <c r="V6" s="84">
        <v>100</v>
      </c>
      <c r="W6" s="85">
        <v>177.5</v>
      </c>
      <c r="Z6" s="15" t="str">
        <f t="shared" si="0"/>
        <v>A</v>
      </c>
      <c r="AA6" s="8">
        <f t="shared" si="1"/>
        <v>4</v>
      </c>
      <c r="AB6" s="9" t="str">
        <f t="shared" si="8"/>
        <v>boris</v>
      </c>
      <c r="AC6" s="8" t="str">
        <f t="shared" si="2"/>
        <v>AAP</v>
      </c>
      <c r="AD6" s="8">
        <f t="shared" si="3"/>
        <v>1990</v>
      </c>
      <c r="AE6" s="8" t="str">
        <f t="shared" si="9"/>
        <v>M-EQ-PL</v>
      </c>
      <c r="AF6" s="10">
        <f t="shared" si="10"/>
        <v>90</v>
      </c>
      <c r="AG6" s="8">
        <v>1</v>
      </c>
      <c r="AH6" s="9">
        <f t="shared" si="11"/>
        <v>0</v>
      </c>
      <c r="AI6" s="11" t="str">
        <f t="shared" si="12"/>
        <v>6/6</v>
      </c>
      <c r="AJ6" s="6"/>
      <c r="AK6" s="6"/>
      <c r="AL6" s="6"/>
      <c r="AN6" t="str">
        <f t="shared" si="13"/>
        <v>"1":{</v>
      </c>
      <c r="AO6" t="str">
        <f t="shared" si="14"/>
        <v>"group":"A",</v>
      </c>
      <c r="AP6" t="str">
        <f t="shared" si="15"/>
        <v>"lot":4,</v>
      </c>
      <c r="AQ6" t="str">
        <f t="shared" si="16"/>
        <v>"name":"boris",</v>
      </c>
      <c r="AR6" t="str">
        <f t="shared" si="17"/>
        <v>"team":"AAP",</v>
      </c>
      <c r="AS6" t="str">
        <f t="shared" si="18"/>
        <v>"year":"1990",</v>
      </c>
      <c r="AT6" t="str">
        <f t="shared" si="19"/>
        <v>"division":"M-EQ-PL",</v>
      </c>
      <c r="AU6" t="str">
        <f t="shared" si="20"/>
        <v>"bw":"90",</v>
      </c>
      <c r="AV6" t="str">
        <f t="shared" si="21"/>
        <v>"idx":"1",</v>
      </c>
      <c r="AW6" t="str">
        <f t="shared" si="22"/>
        <v>"sr":"0",</v>
      </c>
      <c r="AX6" t="str">
        <f t="shared" si="23"/>
        <v>"br":"6/6",</v>
      </c>
      <c r="AY6" t="str">
        <f t="shared" si="24"/>
        <v>"row":4,</v>
      </c>
      <c r="AZ6" t="s">
        <v>67</v>
      </c>
      <c r="BA6" t="str">
        <f t="shared" si="25"/>
        <v>"sq":{"a1":200,"a2":"","a3":"","s1":0,"s2":0,"s3":0},"bp":{"a1":100,"a2":"","a3":"","s1":0,"s2":0,"s3":0},"dl":{"a1":177.5,"a2":"","a3":"","s1":0,"s2":0,"s3":0},"sortOrder":0,"act":{}}</v>
      </c>
      <c r="BB6" t="str">
        <f t="shared" si="26"/>
        <v>"1":{"group":"A","lot":4,"name":"boris","team":"AAP","year":"1990","division":"M-EQ-PL","bw":"90","idx":"1","sr":"0","br":"6/6","row":4,"sq":{"a1":200,"a2":"","a3":"","s1":0,"s2":0,"s3":0},"bp":{"a1":100,"a2":"","a3":"","s1":0,"s2":0,"s3":0},"dl":{"a1":177.5,"a2":"","a3":"","s1":0,"s2":0,"s3":0},"sortOrder":0,"act":{}}</v>
      </c>
    </row>
    <row r="7" spans="1:54" x14ac:dyDescent="0.25">
      <c r="E7" s="151" t="s">
        <v>20</v>
      </c>
      <c r="F7" s="64"/>
      <c r="G7" s="64">
        <v>6</v>
      </c>
      <c r="H7" s="138"/>
      <c r="I7" s="138" t="s">
        <v>107</v>
      </c>
      <c r="J7" s="138" t="s">
        <v>68</v>
      </c>
      <c r="K7" s="138">
        <v>1990</v>
      </c>
      <c r="L7" s="138" t="s">
        <v>70</v>
      </c>
      <c r="M7" s="139" t="s">
        <v>71</v>
      </c>
      <c r="N7" s="138" t="s">
        <v>136</v>
      </c>
      <c r="O7" s="138">
        <f t="shared" ca="1" si="7"/>
        <v>33</v>
      </c>
      <c r="P7" s="64"/>
      <c r="Q7" s="64" t="s">
        <v>0</v>
      </c>
      <c r="R7" s="64">
        <v>90</v>
      </c>
      <c r="S7" s="64">
        <v>15</v>
      </c>
      <c r="T7" s="83" t="s">
        <v>78</v>
      </c>
      <c r="U7" s="84">
        <v>100</v>
      </c>
      <c r="V7" s="84">
        <v>60</v>
      </c>
      <c r="W7" s="85">
        <v>170</v>
      </c>
      <c r="Z7" s="15" t="str">
        <f t="shared" si="0"/>
        <v>A</v>
      </c>
      <c r="AA7" s="8">
        <f t="shared" si="1"/>
        <v>6</v>
      </c>
      <c r="AB7" s="9" t="str">
        <f t="shared" si="8"/>
        <v>charlie</v>
      </c>
      <c r="AC7" s="8" t="str">
        <f t="shared" si="2"/>
        <v>AAP</v>
      </c>
      <c r="AD7" s="8">
        <f t="shared" si="3"/>
        <v>1990</v>
      </c>
      <c r="AE7" s="8" t="str">
        <f t="shared" si="9"/>
        <v>F-CL-PL</v>
      </c>
      <c r="AF7" s="10">
        <f t="shared" si="10"/>
        <v>90</v>
      </c>
      <c r="AG7" s="8">
        <v>2</v>
      </c>
      <c r="AH7" s="9">
        <f t="shared" si="11"/>
        <v>15</v>
      </c>
      <c r="AI7" s="11" t="str">
        <f t="shared" si="12"/>
        <v>3/7</v>
      </c>
      <c r="AJ7" s="6"/>
      <c r="AK7" s="6"/>
      <c r="AL7" s="6"/>
      <c r="AN7" t="str">
        <f t="shared" si="13"/>
        <v>"2":{</v>
      </c>
      <c r="AO7" t="str">
        <f t="shared" si="14"/>
        <v>"group":"A",</v>
      </c>
      <c r="AP7" t="str">
        <f t="shared" si="15"/>
        <v>"lot":6,</v>
      </c>
      <c r="AQ7" t="str">
        <f t="shared" si="16"/>
        <v>"name":"charlie",</v>
      </c>
      <c r="AR7" t="str">
        <f t="shared" si="17"/>
        <v>"team":"AAP",</v>
      </c>
      <c r="AS7" t="str">
        <f t="shared" si="18"/>
        <v>"year":"1990",</v>
      </c>
      <c r="AT7" t="str">
        <f t="shared" si="19"/>
        <v>"division":"F-CL-PL",</v>
      </c>
      <c r="AU7" t="str">
        <f t="shared" si="20"/>
        <v>"bw":"90",</v>
      </c>
      <c r="AV7" t="str">
        <f t="shared" si="21"/>
        <v>"idx":"2",</v>
      </c>
      <c r="AW7" t="str">
        <f t="shared" si="22"/>
        <v>"sr":"15",</v>
      </c>
      <c r="AX7" t="str">
        <f>AI$3&amp;":"&amp;CHAR(34)&amp;AI7&amp;CHAR(34)&amp;","</f>
        <v>"br":"3/7",</v>
      </c>
      <c r="AY7" t="str">
        <f t="shared" si="24"/>
        <v>"row":6,</v>
      </c>
      <c r="AZ7" t="s">
        <v>67</v>
      </c>
      <c r="BA7" t="str">
        <f t="shared" si="25"/>
        <v>"sq":{"a1":100,"a2":"","a3":"","s1":0,"s2":0,"s3":0},"bp":{"a1":60,"a2":"","a3":"","s1":0,"s2":0,"s3":0},"dl":{"a1":170,"a2":"","a3":"","s1":0,"s2":0,"s3":0},"sortOrder":0,"act":{}}</v>
      </c>
      <c r="BB7" t="str">
        <f t="shared" si="26"/>
        <v>"2":{"group":"A","lot":6,"name":"charlie","team":"AAP","year":"1990","division":"F-CL-PL","bw":"90","idx":"2","sr":"15","br":"3/7","row":6,"sq":{"a1":100,"a2":"","a3":"","s1":0,"s2":0,"s3":0},"bp":{"a1":60,"a2":"","a3":"","s1":0,"s2":0,"s3":0},"dl":{"a1":170,"a2":"","a3":"","s1":0,"s2":0,"s3":0},"sortOrder":0,"act":{}}</v>
      </c>
    </row>
    <row r="8" spans="1:54" x14ac:dyDescent="0.25">
      <c r="E8" s="151" t="s">
        <v>20</v>
      </c>
      <c r="F8" s="64"/>
      <c r="G8" s="64">
        <v>1</v>
      </c>
      <c r="H8" s="138"/>
      <c r="I8" s="138" t="s">
        <v>108</v>
      </c>
      <c r="J8" s="138" t="s">
        <v>68</v>
      </c>
      <c r="K8" s="138">
        <v>1990</v>
      </c>
      <c r="L8" s="138" t="s">
        <v>69</v>
      </c>
      <c r="M8" s="139" t="s">
        <v>71</v>
      </c>
      <c r="N8" s="138" t="s">
        <v>136</v>
      </c>
      <c r="O8" s="138">
        <f t="shared" ca="1" si="7"/>
        <v>33</v>
      </c>
      <c r="P8" s="64"/>
      <c r="Q8" s="64" t="s">
        <v>73</v>
      </c>
      <c r="R8" s="64">
        <v>90</v>
      </c>
      <c r="S8" s="64">
        <v>15</v>
      </c>
      <c r="T8" s="83" t="s">
        <v>79</v>
      </c>
      <c r="U8" s="84">
        <v>150</v>
      </c>
      <c r="V8" s="84">
        <v>85</v>
      </c>
      <c r="W8" s="85">
        <v>175</v>
      </c>
      <c r="Z8" s="15" t="str">
        <f t="shared" si="0"/>
        <v>B</v>
      </c>
      <c r="AA8" s="8">
        <f t="shared" si="1"/>
        <v>1</v>
      </c>
      <c r="AB8" s="9" t="str">
        <f t="shared" si="8"/>
        <v>danielle</v>
      </c>
      <c r="AC8" s="8" t="str">
        <f t="shared" si="2"/>
        <v>AAP</v>
      </c>
      <c r="AD8" s="8">
        <f t="shared" si="3"/>
        <v>1990</v>
      </c>
      <c r="AE8" s="8" t="str">
        <f t="shared" si="9"/>
        <v>F-EQ-PL</v>
      </c>
      <c r="AF8" s="10">
        <f t="shared" si="10"/>
        <v>90</v>
      </c>
      <c r="AG8" s="8">
        <v>3</v>
      </c>
      <c r="AH8" s="9">
        <f t="shared" si="11"/>
        <v>15</v>
      </c>
      <c r="AI8" s="11" t="str">
        <f t="shared" si="12"/>
        <v>7/5</v>
      </c>
      <c r="AJ8" s="6"/>
      <c r="AK8" s="6"/>
      <c r="AL8" s="6"/>
      <c r="AN8" t="str">
        <f t="shared" si="13"/>
        <v>"3":{</v>
      </c>
      <c r="AO8" t="str">
        <f t="shared" si="14"/>
        <v>"group":"B",</v>
      </c>
      <c r="AP8" t="str">
        <f t="shared" si="15"/>
        <v>"lot":1,</v>
      </c>
      <c r="AQ8" t="str">
        <f t="shared" si="16"/>
        <v>"name":"danielle",</v>
      </c>
      <c r="AR8" t="str">
        <f t="shared" si="17"/>
        <v>"team":"AAP",</v>
      </c>
      <c r="AS8" t="str">
        <f t="shared" si="18"/>
        <v>"year":"1990",</v>
      </c>
      <c r="AT8" t="str">
        <f t="shared" si="19"/>
        <v>"division":"F-EQ-PL",</v>
      </c>
      <c r="AU8" t="str">
        <f t="shared" si="20"/>
        <v>"bw":"90",</v>
      </c>
      <c r="AV8" t="str">
        <f t="shared" si="21"/>
        <v>"idx":"3",</v>
      </c>
      <c r="AW8" t="str">
        <f t="shared" si="22"/>
        <v>"sr":"15",</v>
      </c>
      <c r="AX8" t="str">
        <f t="shared" si="23"/>
        <v>"br":"7/5",</v>
      </c>
      <c r="AY8" t="str">
        <f t="shared" si="24"/>
        <v>"row":1,</v>
      </c>
      <c r="AZ8" t="s">
        <v>67</v>
      </c>
      <c r="BA8" t="str">
        <f t="shared" si="25"/>
        <v>"sq":{"a1":150,"a2":"","a3":"","s1":0,"s2":0,"s3":0},"bp":{"a1":85,"a2":"","a3":"","s1":0,"s2":0,"s3":0},"dl":{"a1":175,"a2":"","a3":"","s1":0,"s2":0,"s3":0},"sortOrder":0,"act":{}}</v>
      </c>
      <c r="BB8" t="str">
        <f t="shared" si="26"/>
        <v>"3":{"group":"B","lot":1,"name":"danielle","team":"AAP","year":"1990","division":"F-EQ-PL","bw":"90","idx":"3","sr":"15","br":"7/5","row":1,"sq":{"a1":150,"a2":"","a3":"","s1":0,"s2":0,"s3":0},"bp":{"a1":85,"a2":"","a3":"","s1":0,"s2":0,"s3":0},"dl":{"a1":175,"a2":"","a3":"","s1":0,"s2":0,"s3":0},"sortOrder":0,"act":{}}</v>
      </c>
    </row>
    <row r="9" spans="1:54" x14ac:dyDescent="0.25">
      <c r="E9" s="151" t="s">
        <v>20</v>
      </c>
      <c r="F9" s="64"/>
      <c r="G9" s="64">
        <v>5</v>
      </c>
      <c r="H9" s="138"/>
      <c r="I9" s="138" t="s">
        <v>109</v>
      </c>
      <c r="J9" s="138" t="s">
        <v>68</v>
      </c>
      <c r="K9" s="138">
        <v>1990</v>
      </c>
      <c r="L9" s="138" t="s">
        <v>70</v>
      </c>
      <c r="M9" s="139" t="s">
        <v>71</v>
      </c>
      <c r="N9" s="138" t="s">
        <v>72</v>
      </c>
      <c r="O9" s="138">
        <f t="shared" ca="1" si="7"/>
        <v>33</v>
      </c>
      <c r="P9" s="64"/>
      <c r="Q9" s="64" t="s">
        <v>73</v>
      </c>
      <c r="R9" s="64">
        <v>90</v>
      </c>
      <c r="S9" s="64">
        <v>15</v>
      </c>
      <c r="T9" s="83" t="s">
        <v>80</v>
      </c>
      <c r="U9" s="84">
        <v>200</v>
      </c>
      <c r="V9" s="84">
        <v>72.5</v>
      </c>
      <c r="W9" s="85">
        <v>190</v>
      </c>
      <c r="Z9" s="15" t="str">
        <f t="shared" si="0"/>
        <v>B</v>
      </c>
      <c r="AA9" s="8">
        <f t="shared" si="1"/>
        <v>5</v>
      </c>
      <c r="AB9" s="9" t="str">
        <f t="shared" si="8"/>
        <v>erich</v>
      </c>
      <c r="AC9" s="8" t="str">
        <f t="shared" si="2"/>
        <v>AAP</v>
      </c>
      <c r="AD9" s="8">
        <f t="shared" si="3"/>
        <v>1990</v>
      </c>
      <c r="AE9" s="8" t="str">
        <f t="shared" si="9"/>
        <v>M-CL-PL</v>
      </c>
      <c r="AF9" s="10">
        <f t="shared" si="10"/>
        <v>90</v>
      </c>
      <c r="AG9" s="8">
        <v>4</v>
      </c>
      <c r="AH9" s="9">
        <f t="shared" si="11"/>
        <v>15</v>
      </c>
      <c r="AI9" s="11" t="str">
        <f t="shared" si="12"/>
        <v>4/6</v>
      </c>
      <c r="AJ9" s="6"/>
      <c r="AK9" s="6"/>
      <c r="AL9" s="6"/>
      <c r="AN9" t="str">
        <f t="shared" si="13"/>
        <v>"4":{</v>
      </c>
      <c r="AO9" t="str">
        <f t="shared" si="14"/>
        <v>"group":"B",</v>
      </c>
      <c r="AP9" t="str">
        <f t="shared" si="15"/>
        <v>"lot":5,</v>
      </c>
      <c r="AQ9" t="str">
        <f t="shared" si="16"/>
        <v>"name":"erich",</v>
      </c>
      <c r="AR9" t="str">
        <f t="shared" si="17"/>
        <v>"team":"AAP",</v>
      </c>
      <c r="AS9" t="str">
        <f t="shared" si="18"/>
        <v>"year":"1990",</v>
      </c>
      <c r="AT9" t="str">
        <f t="shared" si="19"/>
        <v>"division":"M-CL-PL",</v>
      </c>
      <c r="AU9" t="str">
        <f t="shared" si="20"/>
        <v>"bw":"90",</v>
      </c>
      <c r="AV9" t="str">
        <f t="shared" si="21"/>
        <v>"idx":"4",</v>
      </c>
      <c r="AW9" t="str">
        <f t="shared" si="22"/>
        <v>"sr":"15",</v>
      </c>
      <c r="AX9" t="str">
        <f t="shared" si="23"/>
        <v>"br":"4/6",</v>
      </c>
      <c r="AY9" t="str">
        <f t="shared" si="24"/>
        <v>"row":5,</v>
      </c>
      <c r="AZ9" t="s">
        <v>67</v>
      </c>
      <c r="BA9" t="str">
        <f t="shared" si="25"/>
        <v>"sq":{"a1":200,"a2":"","a3":"","s1":0,"s2":0,"s3":0},"bp":{"a1":72.5,"a2":"","a3":"","s1":0,"s2":0,"s3":0},"dl":{"a1":190,"a2":"","a3":"","s1":0,"s2":0,"s3":0},"sortOrder":0,"act":{}}</v>
      </c>
      <c r="BB9" t="str">
        <f t="shared" si="26"/>
        <v>"4":{"group":"B","lot":5,"name":"erich","team":"AAP","year":"1990","division":"M-CL-PL","bw":"90","idx":"4","sr":"15","br":"4/6","row":5,"sq":{"a1":200,"a2":"","a3":"","s1":0,"s2":0,"s3":0},"bp":{"a1":72.5,"a2":"","a3":"","s1":0,"s2":0,"s3":0},"dl":{"a1":190,"a2":"","a3":"","s1":0,"s2":0,"s3":0},"sortOrder":0,"act":{}}</v>
      </c>
    </row>
    <row r="10" spans="1:54" x14ac:dyDescent="0.25">
      <c r="E10" s="151" t="s">
        <v>20</v>
      </c>
      <c r="F10" s="64"/>
      <c r="G10" s="64">
        <v>3</v>
      </c>
      <c r="H10" s="138"/>
      <c r="I10" s="138" t="s">
        <v>110</v>
      </c>
      <c r="J10" s="138" t="s">
        <v>74</v>
      </c>
      <c r="K10" s="138">
        <v>1990</v>
      </c>
      <c r="L10" s="138" t="s">
        <v>70</v>
      </c>
      <c r="M10" s="139" t="s">
        <v>71</v>
      </c>
      <c r="N10" s="138" t="s">
        <v>136</v>
      </c>
      <c r="O10" s="138">
        <f t="shared" ca="1" si="7"/>
        <v>33</v>
      </c>
      <c r="P10" s="64"/>
      <c r="Q10" s="64" t="s">
        <v>73</v>
      </c>
      <c r="R10" s="64">
        <v>90</v>
      </c>
      <c r="S10" s="64"/>
      <c r="T10" s="83"/>
      <c r="U10" s="84">
        <v>200</v>
      </c>
      <c r="V10" s="84">
        <v>150</v>
      </c>
      <c r="W10" s="85">
        <v>312.5</v>
      </c>
      <c r="Z10" s="15" t="str">
        <f t="shared" si="0"/>
        <v>B</v>
      </c>
      <c r="AA10" s="8">
        <f t="shared" si="1"/>
        <v>3</v>
      </c>
      <c r="AB10" s="9" t="str">
        <f t="shared" si="8"/>
        <v>freya</v>
      </c>
      <c r="AC10" s="8" t="str">
        <f t="shared" si="2"/>
        <v>AAG</v>
      </c>
      <c r="AD10" s="8">
        <f t="shared" si="3"/>
        <v>1990</v>
      </c>
      <c r="AE10" s="8" t="str">
        <f t="shared" si="9"/>
        <v>F-CL-PL</v>
      </c>
      <c r="AF10" s="10">
        <f t="shared" si="10"/>
        <v>90</v>
      </c>
      <c r="AG10" s="8">
        <v>5</v>
      </c>
      <c r="AH10" s="9">
        <f t="shared" si="11"/>
        <v>0</v>
      </c>
      <c r="AI10" s="11">
        <f t="shared" si="12"/>
        <v>0</v>
      </c>
      <c r="AJ10" s="6"/>
      <c r="AK10" s="6"/>
      <c r="AL10" s="6"/>
      <c r="AN10" t="str">
        <f t="shared" si="13"/>
        <v>"5":{</v>
      </c>
      <c r="AO10" t="str">
        <f t="shared" si="14"/>
        <v>"group":"B",</v>
      </c>
      <c r="AP10" t="str">
        <f t="shared" si="15"/>
        <v>"lot":3,</v>
      </c>
      <c r="AQ10" t="str">
        <f t="shared" si="16"/>
        <v>"name":"freya",</v>
      </c>
      <c r="AR10" t="str">
        <f t="shared" si="17"/>
        <v>"team":"AAG",</v>
      </c>
      <c r="AS10" t="str">
        <f t="shared" si="18"/>
        <v>"year":"1990",</v>
      </c>
      <c r="AT10" t="str">
        <f t="shared" si="19"/>
        <v>"division":"F-CL-PL",</v>
      </c>
      <c r="AU10" t="str">
        <f t="shared" si="20"/>
        <v>"bw":"90",</v>
      </c>
      <c r="AV10" t="str">
        <f t="shared" si="21"/>
        <v>"idx":"5",</v>
      </c>
      <c r="AW10" t="str">
        <f t="shared" si="22"/>
        <v>"sr":"0",</v>
      </c>
      <c r="AX10" t="str">
        <f t="shared" si="23"/>
        <v>"br":"0",</v>
      </c>
      <c r="AY10" t="str">
        <f t="shared" si="24"/>
        <v>"row":3,</v>
      </c>
      <c r="AZ10" t="s">
        <v>67</v>
      </c>
      <c r="BA10" t="str">
        <f t="shared" si="25"/>
        <v>"sq":{"a1":200,"a2":"","a3":"","s1":0,"s2":0,"s3":0},"bp":{"a1":150,"a2":"","a3":"","s1":0,"s2":0,"s3":0},"dl":{"a1":312.5,"a2":"","a3":"","s1":0,"s2":0,"s3":0},"sortOrder":0,"act":{}}</v>
      </c>
      <c r="BB10" t="str">
        <f t="shared" si="26"/>
        <v>"5":{"group":"B","lot":3,"name":"freya","team":"AAG","year":"1990","division":"F-CL-PL","bw":"90","idx":"5","sr":"0","br":"0","row":3,"sq":{"a1":200,"a2":"","a3":"","s1":0,"s2":0,"s3":0},"bp":{"a1":150,"a2":"","a3":"","s1":0,"s2":0,"s3":0},"dl":{"a1":312.5,"a2":"","a3":"","s1":0,"s2":0,"s3":0},"sortOrder":0,"act":{}}</v>
      </c>
    </row>
    <row r="11" spans="1:54" x14ac:dyDescent="0.25">
      <c r="E11" s="151" t="s">
        <v>20</v>
      </c>
      <c r="F11" s="64"/>
      <c r="G11" s="65">
        <v>8</v>
      </c>
      <c r="H11" s="138"/>
      <c r="I11" s="138" t="s">
        <v>111</v>
      </c>
      <c r="J11" s="138" t="s">
        <v>68</v>
      </c>
      <c r="K11" s="138">
        <v>1990</v>
      </c>
      <c r="L11" s="138" t="s">
        <v>70</v>
      </c>
      <c r="M11" s="139" t="s">
        <v>71</v>
      </c>
      <c r="N11" s="138" t="s">
        <v>72</v>
      </c>
      <c r="O11" s="138">
        <f t="shared" ca="1" si="7"/>
        <v>33</v>
      </c>
      <c r="P11" s="64"/>
      <c r="Q11" s="64" t="s">
        <v>73</v>
      </c>
      <c r="R11" s="64">
        <v>90</v>
      </c>
      <c r="S11" s="64"/>
      <c r="T11" s="83"/>
      <c r="U11" s="84">
        <v>200</v>
      </c>
      <c r="V11" s="84">
        <v>175</v>
      </c>
      <c r="W11" s="85">
        <v>270</v>
      </c>
      <c r="Z11" s="15" t="str">
        <f t="shared" si="0"/>
        <v>B</v>
      </c>
      <c r="AA11" s="8">
        <f t="shared" si="1"/>
        <v>8</v>
      </c>
      <c r="AB11" s="9" t="str">
        <f t="shared" si="8"/>
        <v>grant</v>
      </c>
      <c r="AC11" s="8" t="str">
        <f t="shared" si="2"/>
        <v>AAP</v>
      </c>
      <c r="AD11" s="8">
        <f t="shared" si="3"/>
        <v>1990</v>
      </c>
      <c r="AE11" s="8" t="str">
        <f t="shared" si="9"/>
        <v>M-CL-PL</v>
      </c>
      <c r="AF11" s="10">
        <f t="shared" si="10"/>
        <v>90</v>
      </c>
      <c r="AG11" s="8">
        <v>6</v>
      </c>
      <c r="AH11" s="9">
        <f t="shared" si="11"/>
        <v>0</v>
      </c>
      <c r="AI11" s="11">
        <f t="shared" si="12"/>
        <v>0</v>
      </c>
      <c r="AJ11" s="6"/>
      <c r="AK11" s="6"/>
      <c r="AL11" s="6"/>
      <c r="AN11" t="str">
        <f t="shared" si="13"/>
        <v>"6":{</v>
      </c>
      <c r="AO11" t="str">
        <f t="shared" si="14"/>
        <v>"group":"B",</v>
      </c>
      <c r="AP11" t="str">
        <f t="shared" si="15"/>
        <v>"lot":8,</v>
      </c>
      <c r="AQ11" t="str">
        <f t="shared" si="16"/>
        <v>"name":"grant",</v>
      </c>
      <c r="AR11" t="str">
        <f t="shared" si="17"/>
        <v>"team":"AAP",</v>
      </c>
      <c r="AS11" t="str">
        <f t="shared" si="18"/>
        <v>"year":"1990",</v>
      </c>
      <c r="AT11" t="str">
        <f t="shared" si="19"/>
        <v>"division":"M-CL-PL",</v>
      </c>
      <c r="AU11" t="str">
        <f t="shared" si="20"/>
        <v>"bw":"90",</v>
      </c>
      <c r="AV11" t="str">
        <f t="shared" si="21"/>
        <v>"idx":"6",</v>
      </c>
      <c r="AW11" t="str">
        <f t="shared" si="22"/>
        <v>"sr":"0",</v>
      </c>
      <c r="AX11" t="str">
        <f t="shared" si="23"/>
        <v>"br":"0",</v>
      </c>
      <c r="AY11" t="str">
        <f t="shared" si="24"/>
        <v>"row":8,</v>
      </c>
      <c r="AZ11" t="s">
        <v>67</v>
      </c>
      <c r="BA11" t="str">
        <f t="shared" si="25"/>
        <v>"sq":{"a1":200,"a2":"","a3":"","s1":0,"s2":0,"s3":0},"bp":{"a1":175,"a2":"","a3":"","s1":0,"s2":0,"s3":0},"dl":{"a1":270,"a2":"","a3":"","s1":0,"s2":0,"s3":0},"sortOrder":0,"act":{}}</v>
      </c>
      <c r="BB11" t="str">
        <f t="shared" si="26"/>
        <v>"6":{"group":"B","lot":8,"name":"grant","team":"AAP","year":"1990","division":"M-CL-PL","bw":"90","idx":"6","sr":"0","br":"0","row":8,"sq":{"a1":200,"a2":"","a3":"","s1":0,"s2":0,"s3":0},"bp":{"a1":175,"a2":"","a3":"","s1":0,"s2":0,"s3":0},"dl":{"a1":270,"a2":"","a3":"","s1":0,"s2":0,"s3":0},"sortOrder":0,"act":{}}</v>
      </c>
    </row>
    <row r="12" spans="1:54" x14ac:dyDescent="0.25">
      <c r="E12" s="151" t="s">
        <v>20</v>
      </c>
      <c r="F12" s="64"/>
      <c r="G12" s="65">
        <v>7</v>
      </c>
      <c r="H12" s="138"/>
      <c r="I12" s="138" t="s">
        <v>112</v>
      </c>
      <c r="J12" s="138" t="s">
        <v>68</v>
      </c>
      <c r="K12" s="138">
        <v>1990</v>
      </c>
      <c r="L12" s="138" t="s">
        <v>69</v>
      </c>
      <c r="M12" s="139" t="s">
        <v>71</v>
      </c>
      <c r="N12" s="138" t="s">
        <v>136</v>
      </c>
      <c r="O12" s="138">
        <f t="shared" ca="1" si="7"/>
        <v>33</v>
      </c>
      <c r="P12" s="64"/>
      <c r="Q12" s="64" t="s">
        <v>0</v>
      </c>
      <c r="R12" s="64">
        <v>90</v>
      </c>
      <c r="S12" s="64">
        <v>15</v>
      </c>
      <c r="T12" s="83" t="s">
        <v>75</v>
      </c>
      <c r="U12" s="84">
        <v>300</v>
      </c>
      <c r="V12" s="84">
        <v>300</v>
      </c>
      <c r="W12" s="85">
        <v>300</v>
      </c>
      <c r="Z12" s="15" t="str">
        <f t="shared" si="0"/>
        <v>A</v>
      </c>
      <c r="AA12" s="8">
        <f t="shared" si="1"/>
        <v>7</v>
      </c>
      <c r="AB12" s="9" t="str">
        <f t="shared" si="8"/>
        <v>heidi</v>
      </c>
      <c r="AC12" s="8" t="str">
        <f t="shared" si="2"/>
        <v>AAP</v>
      </c>
      <c r="AD12" s="8">
        <f t="shared" si="3"/>
        <v>1990</v>
      </c>
      <c r="AE12" s="8" t="str">
        <f t="shared" si="9"/>
        <v>F-EQ-PL</v>
      </c>
      <c r="AF12" s="10">
        <f t="shared" si="10"/>
        <v>90</v>
      </c>
      <c r="AG12" s="8">
        <v>7</v>
      </c>
      <c r="AH12" s="9">
        <f t="shared" si="11"/>
        <v>15</v>
      </c>
      <c r="AI12" s="11" t="str">
        <f t="shared" si="12"/>
        <v>5/5</v>
      </c>
      <c r="AJ12" s="6"/>
      <c r="AK12" s="6"/>
      <c r="AL12" s="6"/>
      <c r="AN12" t="str">
        <f t="shared" si="13"/>
        <v>"7":{</v>
      </c>
      <c r="AO12" t="str">
        <f t="shared" si="14"/>
        <v>"group":"A",</v>
      </c>
      <c r="AP12" t="str">
        <f t="shared" si="15"/>
        <v>"lot":7,</v>
      </c>
      <c r="AQ12" t="str">
        <f t="shared" si="16"/>
        <v>"name":"heidi",</v>
      </c>
      <c r="AR12" t="str">
        <f t="shared" si="17"/>
        <v>"team":"AAP",</v>
      </c>
      <c r="AS12" t="str">
        <f t="shared" si="18"/>
        <v>"year":"1990",</v>
      </c>
      <c r="AT12" t="str">
        <f t="shared" si="19"/>
        <v>"division":"F-EQ-PL",</v>
      </c>
      <c r="AU12" t="str">
        <f t="shared" si="20"/>
        <v>"bw":"90",</v>
      </c>
      <c r="AV12" t="str">
        <f t="shared" si="21"/>
        <v>"idx":"7",</v>
      </c>
      <c r="AW12" t="str">
        <f t="shared" si="22"/>
        <v>"sr":"15",</v>
      </c>
      <c r="AX12" t="str">
        <f t="shared" si="23"/>
        <v>"br":"5/5",</v>
      </c>
      <c r="AY12" t="str">
        <f t="shared" si="24"/>
        <v>"row":7,</v>
      </c>
      <c r="AZ12" t="s">
        <v>67</v>
      </c>
      <c r="BA12" t="str">
        <f t="shared" si="25"/>
        <v>"sq":{"a1":300,"a2":"","a3":"","s1":0,"s2":0,"s3":0},"bp":{"a1":300,"a2":"","a3":"","s1":0,"s2":0,"s3":0},"dl":{"a1":300,"a2":"","a3":"","s1":0,"s2":0,"s3":0},"sortOrder":0,"act":{}}</v>
      </c>
      <c r="BB12" t="str">
        <f t="shared" si="26"/>
        <v>"7":{"group":"A","lot":7,"name":"heidi","team":"AAP","year":"1990","division":"F-EQ-PL","bw":"90","idx":"7","sr":"15","br":"5/5","row":7,"sq":{"a1":300,"a2":"","a3":"","s1":0,"s2":0,"s3":0},"bp":{"a1":300,"a2":"","a3":"","s1":0,"s2":0,"s3":0},"dl":{"a1":300,"a2":"","a3":"","s1":0,"s2":0,"s3":0},"sortOrder":0,"act":{}}</v>
      </c>
    </row>
    <row r="13" spans="1:54" x14ac:dyDescent="0.25">
      <c r="E13" s="152"/>
      <c r="F13" s="64"/>
      <c r="G13" s="65"/>
      <c r="H13" s="138"/>
      <c r="I13" s="138"/>
      <c r="J13" s="138"/>
      <c r="K13" s="138"/>
      <c r="L13" s="138"/>
      <c r="M13" s="139"/>
      <c r="N13" s="138"/>
      <c r="O13" s="138"/>
      <c r="P13" s="64"/>
      <c r="Q13" s="64"/>
      <c r="R13" s="64"/>
      <c r="S13" s="64"/>
      <c r="T13" s="83"/>
      <c r="U13" s="84"/>
      <c r="V13" s="84"/>
      <c r="W13" s="85"/>
      <c r="Z13" s="15" t="str">
        <f t="shared" si="0"/>
        <v>A</v>
      </c>
      <c r="AA13" s="8">
        <f t="shared" si="1"/>
        <v>0</v>
      </c>
      <c r="AB13" s="9">
        <f t="shared" si="8"/>
        <v>0</v>
      </c>
      <c r="AC13" s="8">
        <f t="shared" si="2"/>
        <v>0</v>
      </c>
      <c r="AD13" s="8">
        <f t="shared" si="3"/>
        <v>0</v>
      </c>
      <c r="AE13" s="8" t="str">
        <f t="shared" si="9"/>
        <v>--</v>
      </c>
      <c r="AF13" s="10">
        <f t="shared" si="10"/>
        <v>0</v>
      </c>
      <c r="AG13" s="8">
        <v>9</v>
      </c>
      <c r="AH13" s="9">
        <f t="shared" si="11"/>
        <v>0</v>
      </c>
      <c r="AI13" s="11">
        <f t="shared" si="12"/>
        <v>0</v>
      </c>
      <c r="AJ13" s="6"/>
      <c r="AK13" s="6"/>
      <c r="AL13" s="6"/>
      <c r="AN13" t="str">
        <f t="shared" si="13"/>
        <v>"9":{</v>
      </c>
      <c r="AO13" t="str">
        <f t="shared" si="14"/>
        <v>"group":"A",</v>
      </c>
      <c r="AP13" t="str">
        <f t="shared" si="15"/>
        <v>"lot":0,</v>
      </c>
      <c r="AQ13" t="str">
        <f t="shared" si="16"/>
        <v>"name":"0",</v>
      </c>
      <c r="AR13" t="str">
        <f t="shared" si="17"/>
        <v>"team":"0",</v>
      </c>
      <c r="AS13" t="str">
        <f t="shared" si="18"/>
        <v>"year":"0",</v>
      </c>
      <c r="AT13" t="str">
        <f t="shared" si="19"/>
        <v>"division":"--",</v>
      </c>
      <c r="AU13" t="str">
        <f t="shared" si="20"/>
        <v>"bw":"0",</v>
      </c>
      <c r="AV13" t="str">
        <f t="shared" si="21"/>
        <v>"idx":"9",</v>
      </c>
      <c r="AW13" t="str">
        <f t="shared" si="22"/>
        <v>"sr":"0",</v>
      </c>
      <c r="AX13" t="str">
        <f t="shared" si="23"/>
        <v>"br":"0",</v>
      </c>
      <c r="AY13" t="str">
        <f t="shared" si="24"/>
        <v>"row":0,</v>
      </c>
      <c r="AZ13" t="s">
        <v>67</v>
      </c>
      <c r="BA13" t="str">
        <f t="shared" si="25"/>
        <v>"sq":{"a1":0,"a2":"","a3":"","s1":0,"s2":0,"s3":0},"bp":{"a1":0,"a2":"","a3":"","s1":0,"s2":0,"s3":0},"dl":{"a1":0,"a2":"","a3":"","s1":0,"s2":0,"s3":0},"sortOrder":0,"act":{}}</v>
      </c>
      <c r="BB13" t="str">
        <f t="shared" si="26"/>
        <v>"9":{"group":"A","lot":0,"name":"0","team":"0","year":"0","division":"--","bw":"0","idx":"9","sr":"0","br":"0","row":0,"sq":{"a1":0,"a2":"","a3":"","s1":0,"s2":0,"s3":0},"bp":{"a1":0,"a2":"","a3":"","s1":0,"s2":0,"s3":0},"dl":{"a1":0,"a2":"","a3":"","s1":0,"s2":0,"s3":0},"sortOrder":0,"act":{}}</v>
      </c>
    </row>
    <row r="14" spans="1:54" x14ac:dyDescent="0.25">
      <c r="E14" s="152"/>
      <c r="F14" s="64"/>
      <c r="G14" s="65"/>
      <c r="H14" s="138"/>
      <c r="I14" s="138"/>
      <c r="J14" s="138"/>
      <c r="K14" s="138"/>
      <c r="L14" s="138"/>
      <c r="M14" s="139"/>
      <c r="N14" s="138"/>
      <c r="O14" s="138"/>
      <c r="P14" s="64"/>
      <c r="Q14" s="64"/>
      <c r="R14" s="64"/>
      <c r="S14" s="64"/>
      <c r="T14" s="83"/>
      <c r="U14" s="84"/>
      <c r="V14" s="84"/>
      <c r="W14" s="85"/>
      <c r="Z14" s="15" t="str">
        <f t="shared" si="0"/>
        <v>A</v>
      </c>
      <c r="AA14" s="8">
        <f t="shared" si="1"/>
        <v>0</v>
      </c>
      <c r="AB14" s="9">
        <f t="shared" si="8"/>
        <v>0</v>
      </c>
      <c r="AC14" s="8">
        <f t="shared" si="2"/>
        <v>0</v>
      </c>
      <c r="AD14" s="8">
        <f t="shared" si="3"/>
        <v>0</v>
      </c>
      <c r="AE14" s="8" t="str">
        <f t="shared" si="9"/>
        <v>--</v>
      </c>
      <c r="AF14" s="10">
        <f t="shared" si="10"/>
        <v>0</v>
      </c>
      <c r="AG14" s="8">
        <v>10</v>
      </c>
      <c r="AH14" s="9">
        <f t="shared" si="11"/>
        <v>0</v>
      </c>
      <c r="AI14" s="11">
        <f t="shared" si="12"/>
        <v>0</v>
      </c>
      <c r="AJ14" s="6"/>
      <c r="AK14" s="6"/>
      <c r="AL14" s="6"/>
      <c r="AN14" t="str">
        <f t="shared" si="13"/>
        <v>"10":{</v>
      </c>
      <c r="AO14" t="str">
        <f t="shared" si="14"/>
        <v>"group":"A",</v>
      </c>
      <c r="AP14" t="str">
        <f t="shared" si="15"/>
        <v>"lot":0,</v>
      </c>
      <c r="AQ14" t="str">
        <f t="shared" si="16"/>
        <v>"name":"0",</v>
      </c>
      <c r="AR14" t="str">
        <f t="shared" si="17"/>
        <v>"team":"0",</v>
      </c>
      <c r="AS14" t="str">
        <f t="shared" si="18"/>
        <v>"year":"0",</v>
      </c>
      <c r="AT14" t="str">
        <f t="shared" si="19"/>
        <v>"division":"--",</v>
      </c>
      <c r="AU14" t="str">
        <f t="shared" si="20"/>
        <v>"bw":"0",</v>
      </c>
      <c r="AV14" t="str">
        <f t="shared" si="21"/>
        <v>"idx":"10",</v>
      </c>
      <c r="AW14" t="str">
        <f t="shared" si="22"/>
        <v>"sr":"0",</v>
      </c>
      <c r="AX14" t="str">
        <f t="shared" si="23"/>
        <v>"br":"0",</v>
      </c>
      <c r="AY14" t="str">
        <f t="shared" si="24"/>
        <v>"row":0,</v>
      </c>
      <c r="AZ14" t="s">
        <v>67</v>
      </c>
      <c r="BA14" t="str">
        <f t="shared" si="25"/>
        <v>"sq":{"a1":0,"a2":"","a3":"","s1":0,"s2":0,"s3":0},"bp":{"a1":0,"a2":"","a3":"","s1":0,"s2":0,"s3":0},"dl":{"a1":0,"a2":"","a3":"","s1":0,"s2":0,"s3":0},"sortOrder":0,"act":{}}</v>
      </c>
      <c r="BB14" t="str">
        <f t="shared" si="26"/>
        <v>"10":{"group":"A","lot":0,"name":"0","team":"0","year":"0","division":"--","bw":"0","idx":"10","sr":"0","br":"0","row":0,"sq":{"a1":0,"a2":"","a3":"","s1":0,"s2":0,"s3":0},"bp":{"a1":0,"a2":"","a3":"","s1":0,"s2":0,"s3":0},"dl":{"a1":0,"a2":"","a3":"","s1":0,"s2":0,"s3":0},"sortOrder":0,"act":{}}</v>
      </c>
    </row>
    <row r="15" spans="1:54" x14ac:dyDescent="0.25">
      <c r="E15" s="152"/>
      <c r="F15" s="64"/>
      <c r="G15" s="65"/>
      <c r="H15" s="138"/>
      <c r="I15" s="138"/>
      <c r="J15" s="138"/>
      <c r="K15" s="138"/>
      <c r="L15" s="138"/>
      <c r="M15" s="139"/>
      <c r="N15" s="138"/>
      <c r="O15" s="138"/>
      <c r="P15" s="64"/>
      <c r="Q15" s="64"/>
      <c r="R15" s="64"/>
      <c r="S15" s="64"/>
      <c r="T15" s="83"/>
      <c r="U15" s="84"/>
      <c r="V15" s="84"/>
      <c r="W15" s="85"/>
      <c r="Z15" s="15" t="str">
        <f t="shared" si="0"/>
        <v>A</v>
      </c>
      <c r="AA15" s="8">
        <f t="shared" si="1"/>
        <v>0</v>
      </c>
      <c r="AB15" s="9">
        <f t="shared" si="8"/>
        <v>0</v>
      </c>
      <c r="AC15" s="8">
        <f t="shared" si="2"/>
        <v>0</v>
      </c>
      <c r="AD15" s="8">
        <f t="shared" si="3"/>
        <v>0</v>
      </c>
      <c r="AE15" s="8" t="str">
        <f t="shared" si="9"/>
        <v>--</v>
      </c>
      <c r="AF15" s="10">
        <f t="shared" si="10"/>
        <v>0</v>
      </c>
      <c r="AG15" s="8">
        <v>11</v>
      </c>
      <c r="AH15" s="9">
        <f t="shared" si="11"/>
        <v>0</v>
      </c>
      <c r="AI15" s="11">
        <f t="shared" si="12"/>
        <v>0</v>
      </c>
      <c r="AJ15" s="6"/>
      <c r="AK15" s="6"/>
      <c r="AL15" s="6"/>
      <c r="AN15" t="str">
        <f t="shared" si="13"/>
        <v>"11":{</v>
      </c>
      <c r="AO15" t="str">
        <f t="shared" si="14"/>
        <v>"group":"A",</v>
      </c>
      <c r="AP15" t="str">
        <f t="shared" si="15"/>
        <v>"lot":0,</v>
      </c>
      <c r="AQ15" t="str">
        <f t="shared" si="16"/>
        <v>"name":"0",</v>
      </c>
      <c r="AR15" t="str">
        <f t="shared" si="17"/>
        <v>"team":"0",</v>
      </c>
      <c r="AS15" t="str">
        <f t="shared" si="18"/>
        <v>"year":"0",</v>
      </c>
      <c r="AT15" t="str">
        <f t="shared" si="19"/>
        <v>"division":"--",</v>
      </c>
      <c r="AU15" t="str">
        <f t="shared" si="20"/>
        <v>"bw":"0",</v>
      </c>
      <c r="AV15" t="str">
        <f t="shared" si="21"/>
        <v>"idx":"11",</v>
      </c>
      <c r="AW15" t="str">
        <f t="shared" si="22"/>
        <v>"sr":"0",</v>
      </c>
      <c r="AX15" t="str">
        <f t="shared" si="23"/>
        <v>"br":"0",</v>
      </c>
      <c r="AY15" t="str">
        <f t="shared" si="24"/>
        <v>"row":0,</v>
      </c>
      <c r="AZ15" t="s">
        <v>67</v>
      </c>
      <c r="BA15" t="str">
        <f t="shared" si="25"/>
        <v>"sq":{"a1":0,"a2":"","a3":"","s1":0,"s2":0,"s3":0},"bp":{"a1":0,"a2":"","a3":"","s1":0,"s2":0,"s3":0},"dl":{"a1":0,"a2":"","a3":"","s1":0,"s2":0,"s3":0},"sortOrder":0,"act":{}}</v>
      </c>
      <c r="BB15" t="str">
        <f t="shared" si="26"/>
        <v>"11":{"group":"A","lot":0,"name":"0","team":"0","year":"0","division":"--","bw":"0","idx":"11","sr":"0","br":"0","row":0,"sq":{"a1":0,"a2":"","a3":"","s1":0,"s2":0,"s3":0},"bp":{"a1":0,"a2":"","a3":"","s1":0,"s2":0,"s3":0},"dl":{"a1":0,"a2":"","a3":"","s1":0,"s2":0,"s3":0},"sortOrder":0,"act":{}}</v>
      </c>
    </row>
    <row r="16" spans="1:54" x14ac:dyDescent="0.25">
      <c r="E16" s="152"/>
      <c r="F16" s="64"/>
      <c r="G16" s="65"/>
      <c r="H16" s="138"/>
      <c r="I16" s="138"/>
      <c r="J16" s="138"/>
      <c r="K16" s="138"/>
      <c r="L16" s="138"/>
      <c r="M16" s="139"/>
      <c r="N16" s="138"/>
      <c r="O16" s="138"/>
      <c r="P16" s="64"/>
      <c r="Q16" s="64" t="s">
        <v>81</v>
      </c>
      <c r="R16" s="64"/>
      <c r="S16" s="64"/>
      <c r="T16" s="83"/>
      <c r="U16" s="84"/>
      <c r="V16" s="84"/>
      <c r="W16" s="85"/>
      <c r="Z16" s="15" t="str">
        <f t="shared" si="0"/>
        <v xml:space="preserve"> </v>
      </c>
      <c r="AA16" s="8">
        <f t="shared" si="1"/>
        <v>0</v>
      </c>
      <c r="AB16" s="9">
        <f t="shared" si="8"/>
        <v>0</v>
      </c>
      <c r="AC16" s="8">
        <f t="shared" si="2"/>
        <v>0</v>
      </c>
      <c r="AD16" s="8">
        <f t="shared" si="3"/>
        <v>0</v>
      </c>
      <c r="AE16" s="8" t="str">
        <f t="shared" si="9"/>
        <v>--</v>
      </c>
      <c r="AF16" s="10">
        <f t="shared" si="10"/>
        <v>0</v>
      </c>
      <c r="AG16" s="8">
        <v>12</v>
      </c>
      <c r="AH16" s="9">
        <f t="shared" si="11"/>
        <v>0</v>
      </c>
      <c r="AI16" s="11">
        <f t="shared" si="12"/>
        <v>0</v>
      </c>
      <c r="AJ16" s="6"/>
      <c r="AK16" s="6"/>
      <c r="AL16" s="6"/>
      <c r="AN16" t="str">
        <f t="shared" si="13"/>
        <v>"12":{</v>
      </c>
      <c r="AO16" t="str">
        <f t="shared" si="14"/>
        <v>"group":" ",</v>
      </c>
      <c r="AP16" t="str">
        <f t="shared" si="15"/>
        <v>"lot":0,</v>
      </c>
      <c r="AQ16" t="str">
        <f t="shared" si="16"/>
        <v>"name":"0",</v>
      </c>
      <c r="AR16" t="str">
        <f t="shared" si="17"/>
        <v>"team":"0",</v>
      </c>
      <c r="AS16" t="str">
        <f t="shared" si="18"/>
        <v>"year":"0",</v>
      </c>
      <c r="AT16" t="str">
        <f t="shared" si="19"/>
        <v>"division":"--",</v>
      </c>
      <c r="AU16" t="str">
        <f t="shared" si="20"/>
        <v>"bw":"0",</v>
      </c>
      <c r="AV16" t="str">
        <f t="shared" si="21"/>
        <v>"idx":"12",</v>
      </c>
      <c r="AW16" t="str">
        <f t="shared" si="22"/>
        <v>"sr":"0",</v>
      </c>
      <c r="AX16" t="str">
        <f t="shared" si="23"/>
        <v>"br":"0",</v>
      </c>
      <c r="AY16" t="str">
        <f t="shared" si="24"/>
        <v>"row":0,</v>
      </c>
      <c r="AZ16" t="s">
        <v>67</v>
      </c>
      <c r="BA16" t="str">
        <f t="shared" si="25"/>
        <v>"sq":{"a1":0,"a2":"","a3":"","s1":0,"s2":0,"s3":0},"bp":{"a1":0,"a2":"","a3":"","s1":0,"s2":0,"s3":0},"dl":{"a1":0,"a2":"","a3":"","s1":0,"s2":0,"s3":0},"sortOrder":0,"act":{}}</v>
      </c>
      <c r="BB16" t="str">
        <f t="shared" si="26"/>
        <v>"12":{"group":" ","lot":0,"name":"0","team":"0","year":"0","division":"--","bw":"0","idx":"12","sr":"0","br":"0","row":0,"sq":{"a1":0,"a2":"","a3":"","s1":0,"s2":0,"s3":0},"bp":{"a1":0,"a2":"","a3":"","s1":0,"s2":0,"s3":0},"dl":{"a1":0,"a2":"","a3":"","s1":0,"s2":0,"s3":0},"sortOrder":0,"act":{}}</v>
      </c>
    </row>
    <row r="17" spans="1:54" x14ac:dyDescent="0.25">
      <c r="E17" s="152"/>
      <c r="F17" s="64"/>
      <c r="G17" s="65"/>
      <c r="H17" s="138"/>
      <c r="I17" s="138"/>
      <c r="J17" s="138"/>
      <c r="K17" s="138"/>
      <c r="L17" s="138"/>
      <c r="M17" s="139"/>
      <c r="N17" s="138"/>
      <c r="O17" s="138"/>
      <c r="P17" s="64"/>
      <c r="Q17" s="64"/>
      <c r="R17" s="64"/>
      <c r="S17" s="64"/>
      <c r="T17" s="83"/>
      <c r="U17" s="84"/>
      <c r="V17" s="84"/>
      <c r="W17" s="85"/>
      <c r="Z17" s="15" t="str">
        <f t="shared" si="0"/>
        <v>A</v>
      </c>
      <c r="AA17" s="8">
        <f t="shared" si="1"/>
        <v>0</v>
      </c>
      <c r="AB17" s="9">
        <f t="shared" si="8"/>
        <v>0</v>
      </c>
      <c r="AC17" s="8">
        <f t="shared" si="2"/>
        <v>0</v>
      </c>
      <c r="AD17" s="8">
        <f t="shared" si="3"/>
        <v>0</v>
      </c>
      <c r="AE17" s="8" t="str">
        <f t="shared" si="9"/>
        <v>--</v>
      </c>
      <c r="AF17" s="10">
        <f t="shared" si="10"/>
        <v>0</v>
      </c>
      <c r="AG17" s="8">
        <v>13</v>
      </c>
      <c r="AH17" s="9">
        <f t="shared" si="11"/>
        <v>0</v>
      </c>
      <c r="AI17" s="11">
        <f t="shared" si="12"/>
        <v>0</v>
      </c>
      <c r="AJ17" s="6"/>
      <c r="AK17" s="6"/>
      <c r="AL17" s="6"/>
      <c r="AN17" t="str">
        <f t="shared" si="13"/>
        <v>"13":{</v>
      </c>
      <c r="AO17" t="str">
        <f t="shared" si="14"/>
        <v>"group":"A",</v>
      </c>
      <c r="AP17" t="str">
        <f t="shared" si="15"/>
        <v>"lot":0,</v>
      </c>
      <c r="AQ17" t="str">
        <f t="shared" si="16"/>
        <v>"name":"0",</v>
      </c>
      <c r="AR17" t="str">
        <f t="shared" si="17"/>
        <v>"team":"0",</v>
      </c>
      <c r="AS17" t="str">
        <f t="shared" si="18"/>
        <v>"year":"0",</v>
      </c>
      <c r="AT17" t="str">
        <f t="shared" si="19"/>
        <v>"division":"--",</v>
      </c>
      <c r="AU17" t="str">
        <f t="shared" si="20"/>
        <v>"bw":"0",</v>
      </c>
      <c r="AV17" t="str">
        <f t="shared" si="21"/>
        <v>"idx":"13",</v>
      </c>
      <c r="AW17" t="str">
        <f t="shared" si="22"/>
        <v>"sr":"0",</v>
      </c>
      <c r="AX17" t="str">
        <f t="shared" si="23"/>
        <v>"br":"0",</v>
      </c>
      <c r="AY17" t="str">
        <f t="shared" si="24"/>
        <v>"row":0,</v>
      </c>
      <c r="AZ17" t="s">
        <v>67</v>
      </c>
      <c r="BA17" t="str">
        <f t="shared" si="25"/>
        <v>"sq":{"a1":0,"a2":"","a3":"","s1":0,"s2":0,"s3":0},"bp":{"a1":0,"a2":"","a3":"","s1":0,"s2":0,"s3":0},"dl":{"a1":0,"a2":"","a3":"","s1":0,"s2":0,"s3":0},"sortOrder":0,"act":{}}</v>
      </c>
      <c r="BB17" t="str">
        <f t="shared" si="26"/>
        <v>"13":{"group":"A","lot":0,"name":"0","team":"0","year":"0","division":"--","bw":"0","idx":"13","sr":"0","br":"0","row":0,"sq":{"a1":0,"a2":"","a3":"","s1":0,"s2":0,"s3":0},"bp":{"a1":0,"a2":"","a3":"","s1":0,"s2":0,"s3":0},"dl":{"a1":0,"a2":"","a3":"","s1":0,"s2":0,"s3":0},"sortOrder":0,"act":{}}</v>
      </c>
    </row>
    <row r="18" spans="1:54" x14ac:dyDescent="0.25">
      <c r="E18" s="152"/>
      <c r="F18" s="64"/>
      <c r="G18" s="65"/>
      <c r="H18" s="138"/>
      <c r="I18" s="138"/>
      <c r="J18" s="138"/>
      <c r="K18" s="138"/>
      <c r="L18" s="138"/>
      <c r="M18" s="139"/>
      <c r="N18" s="138"/>
      <c r="O18" s="138"/>
      <c r="P18" s="64"/>
      <c r="Q18" s="64"/>
      <c r="R18" s="64"/>
      <c r="S18" s="64"/>
      <c r="T18" s="83"/>
      <c r="U18" s="84"/>
      <c r="V18" s="84"/>
      <c r="W18" s="85"/>
      <c r="Z18" s="15" t="str">
        <f t="shared" si="0"/>
        <v>A</v>
      </c>
      <c r="AA18" s="8">
        <f t="shared" si="1"/>
        <v>0</v>
      </c>
      <c r="AB18" s="9">
        <f t="shared" si="8"/>
        <v>0</v>
      </c>
      <c r="AC18" s="8">
        <f t="shared" si="2"/>
        <v>0</v>
      </c>
      <c r="AD18" s="8">
        <f t="shared" si="3"/>
        <v>0</v>
      </c>
      <c r="AE18" s="8" t="str">
        <f t="shared" si="9"/>
        <v>--</v>
      </c>
      <c r="AF18" s="10">
        <f t="shared" si="10"/>
        <v>0</v>
      </c>
      <c r="AG18" s="8">
        <v>14</v>
      </c>
      <c r="AH18" s="9">
        <f t="shared" si="11"/>
        <v>0</v>
      </c>
      <c r="AI18" s="11">
        <f t="shared" si="12"/>
        <v>0</v>
      </c>
      <c r="AJ18" s="6"/>
      <c r="AK18" s="6"/>
      <c r="AL18" s="6"/>
      <c r="AN18" t="str">
        <f t="shared" si="13"/>
        <v>"14":{</v>
      </c>
      <c r="AO18" t="str">
        <f t="shared" si="14"/>
        <v>"group":"A",</v>
      </c>
      <c r="AP18" t="str">
        <f t="shared" si="15"/>
        <v>"lot":0,</v>
      </c>
      <c r="AQ18" t="str">
        <f t="shared" si="16"/>
        <v>"name":"0",</v>
      </c>
      <c r="AR18" t="str">
        <f t="shared" si="17"/>
        <v>"team":"0",</v>
      </c>
      <c r="AS18" t="str">
        <f t="shared" si="18"/>
        <v>"year":"0",</v>
      </c>
      <c r="AT18" t="str">
        <f t="shared" si="19"/>
        <v>"division":"--",</v>
      </c>
      <c r="AU18" t="str">
        <f t="shared" si="20"/>
        <v>"bw":"0",</v>
      </c>
      <c r="AV18" t="str">
        <f t="shared" si="21"/>
        <v>"idx":"14",</v>
      </c>
      <c r="AW18" t="str">
        <f t="shared" si="22"/>
        <v>"sr":"0",</v>
      </c>
      <c r="AX18" t="str">
        <f t="shared" si="23"/>
        <v>"br":"0",</v>
      </c>
      <c r="AY18" t="str">
        <f t="shared" si="24"/>
        <v>"row":0,</v>
      </c>
      <c r="AZ18" t="s">
        <v>67</v>
      </c>
      <c r="BA18" t="str">
        <f t="shared" si="25"/>
        <v>"sq":{"a1":0,"a2":"","a3":"","s1":0,"s2":0,"s3":0},"bp":{"a1":0,"a2":"","a3":"","s1":0,"s2":0,"s3":0},"dl":{"a1":0,"a2":"","a3":"","s1":0,"s2":0,"s3":0},"sortOrder":0,"act":{}}</v>
      </c>
      <c r="BB18" t="str">
        <f t="shared" si="26"/>
        <v>"14":{"group":"A","lot":0,"name":"0","team":"0","year":"0","division":"--","bw":"0","idx":"14","sr":"0","br":"0","row":0,"sq":{"a1":0,"a2":"","a3":"","s1":0,"s2":0,"s3":0},"bp":{"a1":0,"a2":"","a3":"","s1":0,"s2":0,"s3":0},"dl":{"a1":0,"a2":"","a3":"","s1":0,"s2":0,"s3":0},"sortOrder":0,"act":{}}</v>
      </c>
    </row>
    <row r="19" spans="1:54" x14ac:dyDescent="0.25">
      <c r="E19" s="153"/>
      <c r="F19" s="67"/>
      <c r="G19" s="66"/>
      <c r="H19" s="140"/>
      <c r="I19" s="140"/>
      <c r="J19" s="140"/>
      <c r="K19" s="140"/>
      <c r="L19" s="140"/>
      <c r="M19" s="141"/>
      <c r="N19" s="140"/>
      <c r="O19" s="140"/>
      <c r="P19" s="67"/>
      <c r="Q19" s="67"/>
      <c r="R19" s="67"/>
      <c r="S19" s="67"/>
      <c r="T19" s="86"/>
      <c r="U19" s="87"/>
      <c r="V19" s="87"/>
      <c r="W19" s="88"/>
      <c r="Z19" s="15" t="str">
        <f t="shared" si="0"/>
        <v>A</v>
      </c>
      <c r="AA19" s="8">
        <f t="shared" si="1"/>
        <v>0</v>
      </c>
      <c r="AB19" s="9">
        <f t="shared" si="8"/>
        <v>0</v>
      </c>
      <c r="AC19" s="8">
        <f t="shared" si="2"/>
        <v>0</v>
      </c>
      <c r="AD19" s="8">
        <f t="shared" si="3"/>
        <v>0</v>
      </c>
      <c r="AE19" s="8" t="str">
        <f t="shared" si="9"/>
        <v>--</v>
      </c>
      <c r="AF19" s="10">
        <f t="shared" si="10"/>
        <v>0</v>
      </c>
      <c r="AG19" s="8">
        <v>15</v>
      </c>
      <c r="AH19" s="9">
        <f t="shared" si="11"/>
        <v>0</v>
      </c>
      <c r="AI19" s="11">
        <f t="shared" si="12"/>
        <v>0</v>
      </c>
      <c r="AJ19" s="6"/>
      <c r="AK19" s="6"/>
      <c r="AL19" s="6"/>
      <c r="AN19" t="str">
        <f t="shared" si="13"/>
        <v>"15":{</v>
      </c>
      <c r="AO19" t="str">
        <f t="shared" si="14"/>
        <v>"group":"A",</v>
      </c>
      <c r="AP19" t="str">
        <f t="shared" si="15"/>
        <v>"lot":0,</v>
      </c>
      <c r="AQ19" t="str">
        <f t="shared" si="16"/>
        <v>"name":"0",</v>
      </c>
      <c r="AR19" t="str">
        <f t="shared" si="17"/>
        <v>"team":"0",</v>
      </c>
      <c r="AS19" t="str">
        <f t="shared" si="18"/>
        <v>"year":"0",</v>
      </c>
      <c r="AT19" t="str">
        <f t="shared" si="19"/>
        <v>"division":"--",</v>
      </c>
      <c r="AU19" t="str">
        <f t="shared" si="20"/>
        <v>"bw":"0",</v>
      </c>
      <c r="AV19" t="str">
        <f t="shared" si="21"/>
        <v>"idx":"15",</v>
      </c>
      <c r="AW19" t="str">
        <f t="shared" si="22"/>
        <v>"sr":"0",</v>
      </c>
      <c r="AX19" t="str">
        <f t="shared" si="23"/>
        <v>"br":"0",</v>
      </c>
      <c r="AY19" t="str">
        <f t="shared" si="24"/>
        <v>"row":0,</v>
      </c>
      <c r="AZ19" t="s">
        <v>67</v>
      </c>
      <c r="BA19" t="str">
        <f t="shared" si="25"/>
        <v>"sq":{"a1":0,"a2":"","a3":"","s1":0,"s2":0,"s3":0},"bp":{"a1":0,"a2":"","a3":"","s1":0,"s2":0,"s3":0},"dl":{"a1":0,"a2":"","a3":"","s1":0,"s2":0,"s3":0},"sortOrder":0,"act":{}}</v>
      </c>
      <c r="BB19" t="str">
        <f t="shared" si="26"/>
        <v>"15":{"group":"A","lot":0,"name":"0","team":"0","year":"0","division":"--","bw":"0","idx":"15","sr":"0","br":"0","row":0,"sq":{"a1":0,"a2":"","a3":"","s1":0,"s2":0,"s3":0},"bp":{"a1":0,"a2":"","a3":"","s1":0,"s2":0,"s3":0},"dl":{"a1":0,"a2":"","a3":"","s1":0,"s2":0,"s3":0},"sortOrder":0,"act":{}}</v>
      </c>
    </row>
    <row r="20" spans="1:54" x14ac:dyDescent="0.25">
      <c r="E20" s="153"/>
      <c r="F20" s="67"/>
      <c r="G20" s="66"/>
      <c r="H20" s="140"/>
      <c r="I20" s="140"/>
      <c r="J20" s="140"/>
      <c r="K20" s="140"/>
      <c r="L20" s="140"/>
      <c r="M20" s="141"/>
      <c r="N20" s="140"/>
      <c r="O20" s="140"/>
      <c r="P20" s="67"/>
      <c r="Q20" s="67"/>
      <c r="R20" s="67"/>
      <c r="S20" s="67"/>
      <c r="T20" s="86"/>
      <c r="U20" s="87"/>
      <c r="V20" s="87"/>
      <c r="W20" s="88"/>
      <c r="Z20" s="15" t="str">
        <f t="shared" si="0"/>
        <v>A</v>
      </c>
      <c r="AA20" s="8">
        <f t="shared" si="1"/>
        <v>0</v>
      </c>
      <c r="AB20" s="9">
        <f t="shared" si="8"/>
        <v>0</v>
      </c>
      <c r="AC20" s="8">
        <f t="shared" si="2"/>
        <v>0</v>
      </c>
      <c r="AD20" s="8">
        <f t="shared" si="3"/>
        <v>0</v>
      </c>
      <c r="AE20" s="8" t="str">
        <f t="shared" si="9"/>
        <v>--</v>
      </c>
      <c r="AF20" s="10">
        <f t="shared" si="10"/>
        <v>0</v>
      </c>
      <c r="AG20" s="8">
        <v>16</v>
      </c>
      <c r="AH20" s="9">
        <f t="shared" si="11"/>
        <v>0</v>
      </c>
      <c r="AI20" s="11">
        <f t="shared" si="12"/>
        <v>0</v>
      </c>
      <c r="AJ20" s="6"/>
      <c r="AK20" s="6"/>
      <c r="AL20" s="6"/>
      <c r="AN20" t="str">
        <f t="shared" si="13"/>
        <v>"16":{</v>
      </c>
      <c r="AO20" t="str">
        <f t="shared" si="14"/>
        <v>"group":"A",</v>
      </c>
      <c r="AP20" t="str">
        <f t="shared" si="15"/>
        <v>"lot":0,</v>
      </c>
      <c r="AQ20" t="str">
        <f t="shared" si="16"/>
        <v>"name":"0",</v>
      </c>
      <c r="AR20" t="str">
        <f t="shared" si="17"/>
        <v>"team":"0",</v>
      </c>
      <c r="AS20" t="str">
        <f t="shared" si="18"/>
        <v>"year":"0",</v>
      </c>
      <c r="AT20" t="str">
        <f t="shared" si="19"/>
        <v>"division":"--",</v>
      </c>
      <c r="AU20" t="str">
        <f t="shared" si="20"/>
        <v>"bw":"0",</v>
      </c>
      <c r="AV20" t="str">
        <f t="shared" si="21"/>
        <v>"idx":"16",</v>
      </c>
      <c r="AW20" t="str">
        <f t="shared" si="22"/>
        <v>"sr":"0",</v>
      </c>
      <c r="AX20" t="str">
        <f t="shared" si="23"/>
        <v>"br":"0",</v>
      </c>
      <c r="AY20" t="str">
        <f t="shared" si="24"/>
        <v>"row":0,</v>
      </c>
      <c r="AZ20" t="s">
        <v>67</v>
      </c>
      <c r="BA20" t="str">
        <f t="shared" si="25"/>
        <v>"sq":{"a1":0,"a2":"","a3":"","s1":0,"s2":0,"s3":0},"bp":{"a1":0,"a2":"","a3":"","s1":0,"s2":0,"s3":0},"dl":{"a1":0,"a2":"","a3":"","s1":0,"s2":0,"s3":0},"sortOrder":0,"act":{}}</v>
      </c>
      <c r="BB20" t="str">
        <f t="shared" si="26"/>
        <v>"16":{"group":"A","lot":0,"name":"0","team":"0","year":"0","division":"--","bw":"0","idx":"16","sr":"0","br":"0","row":0,"sq":{"a1":0,"a2":"","a3":"","s1":0,"s2":0,"s3":0},"bp":{"a1":0,"a2":"","a3":"","s1":0,"s2":0,"s3":0},"dl":{"a1":0,"a2":"","a3":"","s1":0,"s2":0,"s3":0},"sortOrder":0,"act":{}}</v>
      </c>
    </row>
    <row r="21" spans="1:54" x14ac:dyDescent="0.25">
      <c r="E21" s="153"/>
      <c r="F21" s="67"/>
      <c r="G21" s="66"/>
      <c r="H21" s="140"/>
      <c r="I21" s="140"/>
      <c r="J21" s="140"/>
      <c r="K21" s="140"/>
      <c r="L21" s="140"/>
      <c r="M21" s="141"/>
      <c r="N21" s="140"/>
      <c r="O21" s="140"/>
      <c r="P21" s="67"/>
      <c r="Q21" s="67"/>
      <c r="R21" s="67"/>
      <c r="S21" s="67"/>
      <c r="T21" s="86"/>
      <c r="U21" s="87"/>
      <c r="V21" s="87"/>
      <c r="W21" s="88"/>
      <c r="Z21" s="15" t="str">
        <f t="shared" si="0"/>
        <v>A</v>
      </c>
      <c r="AA21" s="8">
        <f t="shared" si="1"/>
        <v>0</v>
      </c>
      <c r="AB21" s="9">
        <f t="shared" si="8"/>
        <v>0</v>
      </c>
      <c r="AC21" s="8">
        <f t="shared" si="2"/>
        <v>0</v>
      </c>
      <c r="AD21" s="8">
        <f t="shared" si="3"/>
        <v>0</v>
      </c>
      <c r="AE21" s="8" t="str">
        <f t="shared" si="9"/>
        <v>--</v>
      </c>
      <c r="AF21" s="10">
        <f t="shared" si="10"/>
        <v>0</v>
      </c>
      <c r="AG21" s="8">
        <v>17</v>
      </c>
      <c r="AH21" s="9">
        <f t="shared" si="11"/>
        <v>0</v>
      </c>
      <c r="AI21" s="11">
        <f t="shared" si="12"/>
        <v>0</v>
      </c>
      <c r="AJ21" s="6"/>
      <c r="AK21" s="6"/>
      <c r="AL21" s="6"/>
      <c r="AN21" t="str">
        <f t="shared" si="13"/>
        <v>"17":{</v>
      </c>
      <c r="AO21" t="str">
        <f t="shared" si="14"/>
        <v>"group":"A",</v>
      </c>
      <c r="AP21" t="str">
        <f t="shared" si="15"/>
        <v>"lot":0,</v>
      </c>
      <c r="AQ21" t="str">
        <f t="shared" si="16"/>
        <v>"name":"0",</v>
      </c>
      <c r="AR21" t="str">
        <f t="shared" si="17"/>
        <v>"team":"0",</v>
      </c>
      <c r="AS21" t="str">
        <f t="shared" si="18"/>
        <v>"year":"0",</v>
      </c>
      <c r="AT21" t="str">
        <f t="shared" si="19"/>
        <v>"division":"--",</v>
      </c>
      <c r="AU21" t="str">
        <f t="shared" si="20"/>
        <v>"bw":"0",</v>
      </c>
      <c r="AV21" t="str">
        <f t="shared" si="21"/>
        <v>"idx":"17",</v>
      </c>
      <c r="AW21" t="str">
        <f t="shared" si="22"/>
        <v>"sr":"0",</v>
      </c>
      <c r="AX21" t="str">
        <f t="shared" si="23"/>
        <v>"br":"0",</v>
      </c>
      <c r="AY21" t="str">
        <f t="shared" si="24"/>
        <v>"row":0,</v>
      </c>
      <c r="AZ21" t="s">
        <v>67</v>
      </c>
      <c r="BA21" t="str">
        <f t="shared" si="25"/>
        <v>"sq":{"a1":0,"a2":"","a3":"","s1":0,"s2":0,"s3":0},"bp":{"a1":0,"a2":"","a3":"","s1":0,"s2":0,"s3":0},"dl":{"a1":0,"a2":"","a3":"","s1":0,"s2":0,"s3":0},"sortOrder":0,"act":{}}</v>
      </c>
      <c r="BB21" t="str">
        <f t="shared" si="26"/>
        <v>"17":{"group":"A","lot":0,"name":"0","team":"0","year":"0","division":"--","bw":"0","idx":"17","sr":"0","br":"0","row":0,"sq":{"a1":0,"a2":"","a3":"","s1":0,"s2":0,"s3":0},"bp":{"a1":0,"a2":"","a3":"","s1":0,"s2":0,"s3":0},"dl":{"a1":0,"a2":"","a3":"","s1":0,"s2":0,"s3":0},"sortOrder":0,"act":{}}</v>
      </c>
    </row>
    <row r="22" spans="1:54" x14ac:dyDescent="0.25">
      <c r="E22" s="153"/>
      <c r="F22" s="67"/>
      <c r="G22" s="67"/>
      <c r="H22" s="140"/>
      <c r="I22" s="140"/>
      <c r="J22" s="140"/>
      <c r="K22" s="140"/>
      <c r="L22" s="140"/>
      <c r="M22" s="141"/>
      <c r="N22" s="140"/>
      <c r="O22" s="140"/>
      <c r="P22" s="67"/>
      <c r="Q22" s="67"/>
      <c r="R22" s="67"/>
      <c r="S22" s="67"/>
      <c r="T22" s="86"/>
      <c r="U22" s="87"/>
      <c r="V22" s="87"/>
      <c r="W22" s="88"/>
      <c r="Z22" s="15" t="str">
        <f t="shared" si="0"/>
        <v>A</v>
      </c>
      <c r="AA22" s="8">
        <f t="shared" si="1"/>
        <v>0</v>
      </c>
      <c r="AB22" s="9">
        <f t="shared" si="8"/>
        <v>0</v>
      </c>
      <c r="AC22" s="8">
        <f t="shared" si="2"/>
        <v>0</v>
      </c>
      <c r="AD22" s="8">
        <f t="shared" si="3"/>
        <v>0</v>
      </c>
      <c r="AE22" s="8" t="str">
        <f t="shared" si="9"/>
        <v>--</v>
      </c>
      <c r="AF22" s="10">
        <f t="shared" si="10"/>
        <v>0</v>
      </c>
      <c r="AG22" s="8">
        <v>18</v>
      </c>
      <c r="AH22" s="9">
        <f t="shared" si="11"/>
        <v>0</v>
      </c>
      <c r="AI22" s="11">
        <f t="shared" si="12"/>
        <v>0</v>
      </c>
      <c r="AJ22" s="6"/>
      <c r="AK22" s="6"/>
      <c r="AL22" s="6"/>
      <c r="AN22" t="str">
        <f t="shared" si="13"/>
        <v>"18":{</v>
      </c>
      <c r="AO22" t="str">
        <f t="shared" si="14"/>
        <v>"group":"A",</v>
      </c>
      <c r="AP22" t="str">
        <f t="shared" si="15"/>
        <v>"lot":0,</v>
      </c>
      <c r="AQ22" t="str">
        <f t="shared" si="16"/>
        <v>"name":"0",</v>
      </c>
      <c r="AR22" t="str">
        <f t="shared" si="17"/>
        <v>"team":"0",</v>
      </c>
      <c r="AS22" t="str">
        <f t="shared" si="18"/>
        <v>"year":"0",</v>
      </c>
      <c r="AT22" t="str">
        <f t="shared" si="19"/>
        <v>"division":"--",</v>
      </c>
      <c r="AU22" t="str">
        <f t="shared" si="20"/>
        <v>"bw":"0",</v>
      </c>
      <c r="AV22" t="str">
        <f t="shared" si="21"/>
        <v>"idx":"18",</v>
      </c>
      <c r="AW22" t="str">
        <f t="shared" si="22"/>
        <v>"sr":"0",</v>
      </c>
      <c r="AX22" t="str">
        <f t="shared" si="23"/>
        <v>"br":"0",</v>
      </c>
      <c r="AY22" t="str">
        <f t="shared" si="24"/>
        <v>"row":0,</v>
      </c>
      <c r="AZ22" t="s">
        <v>67</v>
      </c>
      <c r="BA22" t="str">
        <f t="shared" si="25"/>
        <v>"sq":{"a1":0,"a2":"","a3":"","s1":0,"s2":0,"s3":0},"bp":{"a1":0,"a2":"","a3":"","s1":0,"s2":0,"s3":0},"dl":{"a1":0,"a2":"","a3":"","s1":0,"s2":0,"s3":0},"sortOrder":0,"act":{}}</v>
      </c>
      <c r="BB22" t="str">
        <f t="shared" si="26"/>
        <v>"18":{"group":"A","lot":0,"name":"0","team":"0","year":"0","division":"--","bw":"0","idx":"18","sr":"0","br":"0","row":0,"sq":{"a1":0,"a2":"","a3":"","s1":0,"s2":0,"s3":0},"bp":{"a1":0,"a2":"","a3":"","s1":0,"s2":0,"s3":0},"dl":{"a1":0,"a2":"","a3":"","s1":0,"s2":0,"s3":0},"sortOrder":0,"act":{}}</v>
      </c>
    </row>
    <row r="23" spans="1:54" x14ac:dyDescent="0.25">
      <c r="E23" s="153"/>
      <c r="F23" s="67"/>
      <c r="G23" s="67"/>
      <c r="H23" s="140"/>
      <c r="I23" s="140"/>
      <c r="J23" s="140"/>
      <c r="K23" s="140"/>
      <c r="L23" s="140"/>
      <c r="M23" s="141"/>
      <c r="N23" s="140"/>
      <c r="O23" s="140"/>
      <c r="P23" s="67"/>
      <c r="Q23" s="67"/>
      <c r="R23" s="67"/>
      <c r="S23" s="67"/>
      <c r="T23" s="86"/>
      <c r="U23" s="87"/>
      <c r="V23" s="87"/>
      <c r="W23" s="88"/>
      <c r="Z23" s="15" t="str">
        <f t="shared" si="0"/>
        <v>A</v>
      </c>
      <c r="AA23" s="8">
        <f t="shared" si="1"/>
        <v>0</v>
      </c>
      <c r="AB23" s="9">
        <f t="shared" si="8"/>
        <v>0</v>
      </c>
      <c r="AC23" s="8">
        <f t="shared" si="2"/>
        <v>0</v>
      </c>
      <c r="AD23" s="8">
        <f t="shared" si="3"/>
        <v>0</v>
      </c>
      <c r="AE23" s="8" t="str">
        <f t="shared" si="9"/>
        <v>--</v>
      </c>
      <c r="AF23" s="10">
        <f t="shared" si="10"/>
        <v>0</v>
      </c>
      <c r="AG23" s="8">
        <v>19</v>
      </c>
      <c r="AH23" s="9">
        <f t="shared" si="11"/>
        <v>0</v>
      </c>
      <c r="AI23" s="11">
        <f t="shared" si="12"/>
        <v>0</v>
      </c>
      <c r="AJ23" s="6"/>
      <c r="AK23" s="6"/>
      <c r="AL23" s="6"/>
      <c r="AN23" t="str">
        <f t="shared" si="13"/>
        <v>"19":{</v>
      </c>
      <c r="AO23" t="str">
        <f t="shared" si="14"/>
        <v>"group":"A",</v>
      </c>
      <c r="AP23" t="str">
        <f t="shared" si="15"/>
        <v>"lot":0,</v>
      </c>
      <c r="AQ23" t="str">
        <f t="shared" si="16"/>
        <v>"name":"0",</v>
      </c>
      <c r="AR23" t="str">
        <f t="shared" si="17"/>
        <v>"team":"0",</v>
      </c>
      <c r="AS23" t="str">
        <f t="shared" si="18"/>
        <v>"year":"0",</v>
      </c>
      <c r="AT23" t="str">
        <f t="shared" si="19"/>
        <v>"division":"--",</v>
      </c>
      <c r="AU23" t="str">
        <f t="shared" si="20"/>
        <v>"bw":"0",</v>
      </c>
      <c r="AV23" t="str">
        <f t="shared" si="21"/>
        <v>"idx":"19",</v>
      </c>
      <c r="AW23" t="str">
        <f t="shared" si="22"/>
        <v>"sr":"0",</v>
      </c>
      <c r="AX23" t="str">
        <f t="shared" si="23"/>
        <v>"br":"0",</v>
      </c>
      <c r="AY23" t="str">
        <f t="shared" si="24"/>
        <v>"row":0,</v>
      </c>
      <c r="AZ23" t="s">
        <v>67</v>
      </c>
      <c r="BA23" t="str">
        <f t="shared" si="25"/>
        <v>"sq":{"a1":0,"a2":"","a3":"","s1":0,"s2":0,"s3":0},"bp":{"a1":0,"a2":"","a3":"","s1":0,"s2":0,"s3":0},"dl":{"a1":0,"a2":"","a3":"","s1":0,"s2":0,"s3":0},"sortOrder":0,"act":{}}</v>
      </c>
      <c r="BB23" t="str">
        <f t="shared" si="26"/>
        <v>"19":{"group":"A","lot":0,"name":"0","team":"0","year":"0","division":"--","bw":"0","idx":"19","sr":"0","br":"0","row":0,"sq":{"a1":0,"a2":"","a3":"","s1":0,"s2":0,"s3":0},"bp":{"a1":0,"a2":"","a3":"","s1":0,"s2":0,"s3":0},"dl":{"a1":0,"a2":"","a3":"","s1":0,"s2":0,"s3":0},"sortOrder":0,"act":{}}</v>
      </c>
    </row>
    <row r="24" spans="1:54" x14ac:dyDescent="0.25">
      <c r="E24" s="153"/>
      <c r="F24" s="67"/>
      <c r="G24" s="67"/>
      <c r="H24" s="140"/>
      <c r="I24" s="140"/>
      <c r="J24" s="140"/>
      <c r="K24" s="140"/>
      <c r="L24" s="140"/>
      <c r="M24" s="141"/>
      <c r="N24" s="140"/>
      <c r="O24" s="140"/>
      <c r="P24" s="67"/>
      <c r="Q24" s="67"/>
      <c r="R24" s="67"/>
      <c r="S24" s="67"/>
      <c r="T24" s="86"/>
      <c r="U24" s="87"/>
      <c r="V24" s="87"/>
      <c r="W24" s="88"/>
      <c r="Z24" s="15" t="str">
        <f t="shared" si="0"/>
        <v>A</v>
      </c>
      <c r="AA24" s="8">
        <f t="shared" si="1"/>
        <v>0</v>
      </c>
      <c r="AB24" s="9">
        <f t="shared" si="8"/>
        <v>0</v>
      </c>
      <c r="AC24" s="8">
        <f t="shared" si="2"/>
        <v>0</v>
      </c>
      <c r="AD24" s="8">
        <f t="shared" si="3"/>
        <v>0</v>
      </c>
      <c r="AE24" s="8" t="str">
        <f t="shared" si="9"/>
        <v>--</v>
      </c>
      <c r="AF24" s="10">
        <f t="shared" si="10"/>
        <v>0</v>
      </c>
      <c r="AG24" s="8">
        <v>20</v>
      </c>
      <c r="AH24" s="9">
        <f t="shared" si="11"/>
        <v>0</v>
      </c>
      <c r="AI24" s="11">
        <f t="shared" si="12"/>
        <v>0</v>
      </c>
      <c r="AJ24" s="6"/>
      <c r="AK24" s="6"/>
      <c r="AL24" s="6"/>
      <c r="AN24" t="str">
        <f t="shared" si="13"/>
        <v>"20":{</v>
      </c>
      <c r="AO24" t="str">
        <f t="shared" si="14"/>
        <v>"group":"A",</v>
      </c>
      <c r="AP24" t="str">
        <f t="shared" si="15"/>
        <v>"lot":0,</v>
      </c>
      <c r="AQ24" t="str">
        <f t="shared" si="16"/>
        <v>"name":"0",</v>
      </c>
      <c r="AR24" t="str">
        <f t="shared" si="17"/>
        <v>"team":"0",</v>
      </c>
      <c r="AS24" t="str">
        <f t="shared" si="18"/>
        <v>"year":"0",</v>
      </c>
      <c r="AT24" t="str">
        <f t="shared" si="19"/>
        <v>"division":"--",</v>
      </c>
      <c r="AU24" t="str">
        <f t="shared" si="20"/>
        <v>"bw":"0",</v>
      </c>
      <c r="AV24" t="str">
        <f t="shared" si="21"/>
        <v>"idx":"20",</v>
      </c>
      <c r="AW24" t="str">
        <f t="shared" si="22"/>
        <v>"sr":"0",</v>
      </c>
      <c r="AX24" t="str">
        <f t="shared" si="23"/>
        <v>"br":"0",</v>
      </c>
      <c r="AY24" t="str">
        <f t="shared" si="24"/>
        <v>"row":0,</v>
      </c>
      <c r="AZ24" t="s">
        <v>67</v>
      </c>
      <c r="BA24" t="str">
        <f t="shared" si="25"/>
        <v>"sq":{"a1":0,"a2":"","a3":"","s1":0,"s2":0,"s3":0},"bp":{"a1":0,"a2":"","a3":"","s1":0,"s2":0,"s3":0},"dl":{"a1":0,"a2":"","a3":"","s1":0,"s2":0,"s3":0},"sortOrder":0,"act":{}}</v>
      </c>
      <c r="BB24" t="str">
        <f t="shared" si="26"/>
        <v>"20":{"group":"A","lot":0,"name":"0","team":"0","year":"0","division":"--","bw":"0","idx":"20","sr":"0","br":"0","row":0,"sq":{"a1":0,"a2":"","a3":"","s1":0,"s2":0,"s3":0},"bp":{"a1":0,"a2":"","a3":"","s1":0,"s2":0,"s3":0},"dl":{"a1":0,"a2":"","a3":"","s1":0,"s2":0,"s3":0},"sortOrder":0,"act":{}}</v>
      </c>
    </row>
    <row r="25" spans="1:54" x14ac:dyDescent="0.25">
      <c r="A25" s="5"/>
      <c r="E25" s="153"/>
      <c r="F25" s="67"/>
      <c r="G25" s="66"/>
      <c r="H25" s="140"/>
      <c r="I25" s="140"/>
      <c r="J25" s="140"/>
      <c r="K25" s="140"/>
      <c r="L25" s="140"/>
      <c r="M25" s="141"/>
      <c r="N25" s="140"/>
      <c r="O25" s="140"/>
      <c r="P25" s="67"/>
      <c r="Q25" s="67"/>
      <c r="R25" s="67"/>
      <c r="S25" s="67"/>
      <c r="T25" s="86"/>
      <c r="U25" s="87"/>
      <c r="V25" s="87"/>
      <c r="W25" s="88"/>
      <c r="Z25" s="15" t="str">
        <f t="shared" si="0"/>
        <v>A</v>
      </c>
      <c r="AA25" s="8">
        <f t="shared" si="1"/>
        <v>0</v>
      </c>
      <c r="AB25" s="9">
        <f t="shared" si="8"/>
        <v>0</v>
      </c>
      <c r="AC25" s="8">
        <f t="shared" si="2"/>
        <v>0</v>
      </c>
      <c r="AD25" s="8">
        <f t="shared" si="3"/>
        <v>0</v>
      </c>
      <c r="AE25" s="8" t="str">
        <f t="shared" si="9"/>
        <v>--</v>
      </c>
      <c r="AF25" s="10">
        <f t="shared" si="10"/>
        <v>0</v>
      </c>
      <c r="AG25" s="8">
        <v>0</v>
      </c>
      <c r="AH25" s="9">
        <f t="shared" si="11"/>
        <v>0</v>
      </c>
      <c r="AI25" s="11">
        <f t="shared" si="12"/>
        <v>0</v>
      </c>
      <c r="AJ25" s="6"/>
      <c r="AK25" s="6"/>
      <c r="AL25" s="6"/>
      <c r="AN25" t="str">
        <f t="shared" si="13"/>
        <v>"0":{</v>
      </c>
      <c r="AO25" t="str">
        <f t="shared" si="14"/>
        <v>"group":"A",</v>
      </c>
      <c r="AP25" t="str">
        <f t="shared" si="15"/>
        <v>"lot":0,</v>
      </c>
      <c r="AQ25" t="str">
        <f t="shared" si="16"/>
        <v>"name":"0",</v>
      </c>
      <c r="AR25" t="str">
        <f t="shared" si="17"/>
        <v>"team":"0",</v>
      </c>
      <c r="AS25" t="str">
        <f t="shared" si="18"/>
        <v>"year":"0",</v>
      </c>
      <c r="AT25" t="str">
        <f t="shared" si="19"/>
        <v>"division":"--",</v>
      </c>
      <c r="AU25" t="str">
        <f t="shared" si="20"/>
        <v>"bw":"0",</v>
      </c>
      <c r="AV25" t="str">
        <f t="shared" si="21"/>
        <v>"idx":"0",</v>
      </c>
      <c r="AW25" t="str">
        <f t="shared" si="22"/>
        <v>"sr":"0",</v>
      </c>
      <c r="AX25" t="str">
        <f t="shared" si="23"/>
        <v>"br":"0",</v>
      </c>
      <c r="AY25" t="str">
        <f t="shared" si="24"/>
        <v>"row":0,</v>
      </c>
      <c r="AZ25" t="s">
        <v>67</v>
      </c>
      <c r="BA25" t="str">
        <f t="shared" si="25"/>
        <v>"sq":{"a1":0,"a2":"","a3":"","s1":0,"s2":0,"s3":0},"bp":{"a1":0,"a2":"","a3":"","s1":0,"s2":0,"s3":0},"dl":{"a1":0,"a2":"","a3":"","s1":0,"s2":0,"s3":0},"sortOrder":0,"act":{}}</v>
      </c>
      <c r="BB25" t="str">
        <f t="shared" si="26"/>
        <v>"0":{"group":"A","lot":0,"name":"0","team":"0","year":"0","division":"--","bw":"0","idx":"0","sr":"0","br":"0","row":0,"sq":{"a1":0,"a2":"","a3":"","s1":0,"s2":0,"s3":0},"bp":{"a1":0,"a2":"","a3":"","s1":0,"s2":0,"s3":0},"dl":{"a1":0,"a2":"","a3":"","s1":0,"s2":0,"s3":0},"sortOrder":0,"act":{}}</v>
      </c>
    </row>
    <row r="26" spans="1:54" x14ac:dyDescent="0.25">
      <c r="E26" s="153"/>
      <c r="F26" s="67"/>
      <c r="G26" s="66"/>
      <c r="H26" s="140"/>
      <c r="I26" s="140"/>
      <c r="J26" s="140"/>
      <c r="K26" s="140"/>
      <c r="L26" s="140"/>
      <c r="M26" s="141"/>
      <c r="N26" s="140"/>
      <c r="O26" s="140"/>
      <c r="P26" s="67"/>
      <c r="Q26" s="67"/>
      <c r="R26" s="67"/>
      <c r="S26" s="67"/>
      <c r="T26" s="86"/>
      <c r="U26" s="87"/>
      <c r="V26" s="87"/>
      <c r="W26" s="88"/>
      <c r="Z26" s="15" t="str">
        <f t="shared" si="0"/>
        <v>A</v>
      </c>
      <c r="AA26" s="8">
        <f t="shared" si="1"/>
        <v>0</v>
      </c>
      <c r="AB26" s="9">
        <f t="shared" si="8"/>
        <v>0</v>
      </c>
      <c r="AC26" s="8">
        <f t="shared" si="2"/>
        <v>0</v>
      </c>
      <c r="AD26" s="8">
        <f t="shared" si="3"/>
        <v>0</v>
      </c>
      <c r="AE26" s="8" t="str">
        <f t="shared" si="9"/>
        <v>--</v>
      </c>
      <c r="AF26" s="10">
        <f t="shared" si="10"/>
        <v>0</v>
      </c>
      <c r="AG26" s="8">
        <v>1</v>
      </c>
      <c r="AH26" s="9">
        <f t="shared" si="11"/>
        <v>0</v>
      </c>
      <c r="AI26" s="11">
        <f t="shared" si="12"/>
        <v>0</v>
      </c>
      <c r="AJ26" s="6"/>
      <c r="AK26" s="6"/>
      <c r="AL26" s="6"/>
      <c r="AN26" t="str">
        <f t="shared" si="13"/>
        <v>"1":{</v>
      </c>
      <c r="AO26" t="str">
        <f t="shared" si="14"/>
        <v>"group":"A",</v>
      </c>
      <c r="AP26" t="str">
        <f t="shared" si="15"/>
        <v>"lot":0,</v>
      </c>
      <c r="AQ26" t="str">
        <f t="shared" si="16"/>
        <v>"name":"0",</v>
      </c>
      <c r="AR26" t="str">
        <f t="shared" si="17"/>
        <v>"team":"0",</v>
      </c>
      <c r="AS26" t="str">
        <f t="shared" si="18"/>
        <v>"year":"0",</v>
      </c>
      <c r="AT26" t="str">
        <f t="shared" si="19"/>
        <v>"division":"--",</v>
      </c>
      <c r="AU26" t="str">
        <f t="shared" si="20"/>
        <v>"bw":"0",</v>
      </c>
      <c r="AV26" t="str">
        <f t="shared" si="21"/>
        <v>"idx":"1",</v>
      </c>
      <c r="AW26" t="str">
        <f t="shared" si="22"/>
        <v>"sr":"0",</v>
      </c>
      <c r="AX26" t="str">
        <f t="shared" si="23"/>
        <v>"br":"0",</v>
      </c>
      <c r="AY26" t="str">
        <f t="shared" si="24"/>
        <v>"row":0,</v>
      </c>
      <c r="AZ26" t="s">
        <v>67</v>
      </c>
      <c r="BA26" t="str">
        <f t="shared" si="25"/>
        <v>"sq":{"a1":0,"a2":"","a3":"","s1":0,"s2":0,"s3":0},"bp":{"a1":0,"a2":"","a3":"","s1":0,"s2":0,"s3":0},"dl":{"a1":0,"a2":"","a3":"","s1":0,"s2":0,"s3":0},"sortOrder":0,"act":{}}</v>
      </c>
      <c r="BB26" t="str">
        <f t="shared" si="26"/>
        <v>"1":{"group":"A","lot":0,"name":"0","team":"0","year":"0","division":"--","bw":"0","idx":"1","sr":"0","br":"0","row":0,"sq":{"a1":0,"a2":"","a3":"","s1":0,"s2":0,"s3":0},"bp":{"a1":0,"a2":"","a3":"","s1":0,"s2":0,"s3":0},"dl":{"a1":0,"a2":"","a3":"","s1":0,"s2":0,"s3":0},"sortOrder":0,"act":{}}</v>
      </c>
    </row>
    <row r="27" spans="1:54" x14ac:dyDescent="0.25">
      <c r="E27" s="153"/>
      <c r="F27" s="67"/>
      <c r="G27" s="66"/>
      <c r="H27" s="140"/>
      <c r="I27" s="140"/>
      <c r="J27" s="140"/>
      <c r="K27" s="140"/>
      <c r="L27" s="140"/>
      <c r="M27" s="141"/>
      <c r="N27" s="140"/>
      <c r="O27" s="140"/>
      <c r="P27" s="67"/>
      <c r="Q27" s="67"/>
      <c r="R27" s="67"/>
      <c r="S27" s="67"/>
      <c r="T27" s="86"/>
      <c r="U27" s="87"/>
      <c r="V27" s="87"/>
      <c r="W27" s="88"/>
      <c r="Z27" s="15" t="str">
        <f t="shared" si="0"/>
        <v>A</v>
      </c>
      <c r="AA27" s="8">
        <f t="shared" si="1"/>
        <v>0</v>
      </c>
      <c r="AB27" s="9">
        <f t="shared" si="8"/>
        <v>0</v>
      </c>
      <c r="AC27" s="8">
        <f t="shared" si="2"/>
        <v>0</v>
      </c>
      <c r="AD27" s="8">
        <f t="shared" si="3"/>
        <v>0</v>
      </c>
      <c r="AE27" s="8" t="str">
        <f t="shared" si="9"/>
        <v>--</v>
      </c>
      <c r="AF27" s="10">
        <f t="shared" si="10"/>
        <v>0</v>
      </c>
      <c r="AG27" s="8">
        <v>2</v>
      </c>
      <c r="AH27" s="9">
        <f t="shared" si="11"/>
        <v>0</v>
      </c>
      <c r="AI27" s="11">
        <f t="shared" si="12"/>
        <v>0</v>
      </c>
      <c r="AJ27" s="6"/>
      <c r="AK27" s="6"/>
      <c r="AL27" s="6"/>
      <c r="AN27" t="str">
        <f t="shared" si="13"/>
        <v>"2":{</v>
      </c>
      <c r="AO27" t="str">
        <f t="shared" si="14"/>
        <v>"group":"A",</v>
      </c>
      <c r="AP27" t="str">
        <f t="shared" si="15"/>
        <v>"lot":0,</v>
      </c>
      <c r="AQ27" t="str">
        <f t="shared" si="16"/>
        <v>"name":"0",</v>
      </c>
      <c r="AR27" t="str">
        <f t="shared" si="17"/>
        <v>"team":"0",</v>
      </c>
      <c r="AS27" t="str">
        <f t="shared" si="18"/>
        <v>"year":"0",</v>
      </c>
      <c r="AT27" t="str">
        <f t="shared" si="19"/>
        <v>"division":"--",</v>
      </c>
      <c r="AU27" t="str">
        <f t="shared" si="20"/>
        <v>"bw":"0",</v>
      </c>
      <c r="AV27" t="str">
        <f t="shared" si="21"/>
        <v>"idx":"2",</v>
      </c>
      <c r="AW27" t="str">
        <f t="shared" si="22"/>
        <v>"sr":"0",</v>
      </c>
      <c r="AX27" t="str">
        <f t="shared" si="23"/>
        <v>"br":"0",</v>
      </c>
      <c r="AY27" t="str">
        <f t="shared" si="24"/>
        <v>"row":0,</v>
      </c>
      <c r="AZ27" t="s">
        <v>67</v>
      </c>
      <c r="BA27" t="str">
        <f t="shared" si="25"/>
        <v>"sq":{"a1":0,"a2":"","a3":"","s1":0,"s2":0,"s3":0},"bp":{"a1":0,"a2":"","a3":"","s1":0,"s2":0,"s3":0},"dl":{"a1":0,"a2":"","a3":"","s1":0,"s2":0,"s3":0},"sortOrder":0,"act":{}}</v>
      </c>
      <c r="BB27" t="str">
        <f t="shared" si="26"/>
        <v>"2":{"group":"A","lot":0,"name":"0","team":"0","year":"0","division":"--","bw":"0","idx":"2","sr":"0","br":"0","row":0,"sq":{"a1":0,"a2":"","a3":"","s1":0,"s2":0,"s3":0},"bp":{"a1":0,"a2":"","a3":"","s1":0,"s2":0,"s3":0},"dl":{"a1":0,"a2":"","a3":"","s1":0,"s2":0,"s3":0},"sortOrder":0,"act":{}}</v>
      </c>
    </row>
    <row r="28" spans="1:54" x14ac:dyDescent="0.25">
      <c r="E28" s="153"/>
      <c r="F28" s="67"/>
      <c r="G28" s="66"/>
      <c r="H28" s="140"/>
      <c r="I28" s="140"/>
      <c r="J28" s="140"/>
      <c r="K28" s="140"/>
      <c r="L28" s="140"/>
      <c r="M28" s="141"/>
      <c r="N28" s="140"/>
      <c r="O28" s="140"/>
      <c r="P28" s="67"/>
      <c r="Q28" s="67"/>
      <c r="R28" s="67"/>
      <c r="S28" s="67"/>
      <c r="T28" s="86"/>
      <c r="U28" s="87"/>
      <c r="V28" s="87"/>
      <c r="W28" s="88"/>
      <c r="Z28" s="15" t="str">
        <f t="shared" si="0"/>
        <v>A</v>
      </c>
      <c r="AA28" s="8">
        <f t="shared" si="1"/>
        <v>0</v>
      </c>
      <c r="AB28" s="9">
        <f t="shared" si="8"/>
        <v>0</v>
      </c>
      <c r="AC28" s="8">
        <f t="shared" si="2"/>
        <v>0</v>
      </c>
      <c r="AD28" s="8">
        <f t="shared" si="3"/>
        <v>0</v>
      </c>
      <c r="AE28" s="8" t="str">
        <f t="shared" si="9"/>
        <v>--</v>
      </c>
      <c r="AF28" s="10">
        <f t="shared" si="10"/>
        <v>0</v>
      </c>
      <c r="AG28" s="8">
        <v>3</v>
      </c>
      <c r="AH28" s="9">
        <f t="shared" si="11"/>
        <v>0</v>
      </c>
      <c r="AI28" s="11">
        <f t="shared" si="12"/>
        <v>0</v>
      </c>
      <c r="AJ28" s="6"/>
      <c r="AK28" s="6"/>
      <c r="AL28" s="6"/>
      <c r="AN28" t="str">
        <f t="shared" si="13"/>
        <v>"3":{</v>
      </c>
      <c r="AO28" t="str">
        <f t="shared" si="14"/>
        <v>"group":"A",</v>
      </c>
      <c r="AP28" t="str">
        <f t="shared" si="15"/>
        <v>"lot":0,</v>
      </c>
      <c r="AQ28" t="str">
        <f t="shared" si="16"/>
        <v>"name":"0",</v>
      </c>
      <c r="AR28" t="str">
        <f t="shared" si="17"/>
        <v>"team":"0",</v>
      </c>
      <c r="AS28" t="str">
        <f t="shared" si="18"/>
        <v>"year":"0",</v>
      </c>
      <c r="AT28" t="str">
        <f t="shared" si="19"/>
        <v>"division":"--",</v>
      </c>
      <c r="AU28" t="str">
        <f t="shared" si="20"/>
        <v>"bw":"0",</v>
      </c>
      <c r="AV28" t="str">
        <f t="shared" si="21"/>
        <v>"idx":"3",</v>
      </c>
      <c r="AW28" t="str">
        <f t="shared" si="22"/>
        <v>"sr":"0",</v>
      </c>
      <c r="AX28" t="str">
        <f t="shared" si="23"/>
        <v>"br":"0",</v>
      </c>
      <c r="AY28" t="str">
        <f t="shared" si="24"/>
        <v>"row":0,</v>
      </c>
      <c r="AZ28" t="s">
        <v>67</v>
      </c>
      <c r="BA28" t="str">
        <f t="shared" si="25"/>
        <v>"sq":{"a1":0,"a2":"","a3":"","s1":0,"s2":0,"s3":0},"bp":{"a1":0,"a2":"","a3":"","s1":0,"s2":0,"s3":0},"dl":{"a1":0,"a2":"","a3":"","s1":0,"s2":0,"s3":0},"sortOrder":0,"act":{}}</v>
      </c>
      <c r="BB28" t="str">
        <f t="shared" si="26"/>
        <v>"3":{"group":"A","lot":0,"name":"0","team":"0","year":"0","division":"--","bw":"0","idx":"3","sr":"0","br":"0","row":0,"sq":{"a1":0,"a2":"","a3":"","s1":0,"s2":0,"s3":0},"bp":{"a1":0,"a2":"","a3":"","s1":0,"s2":0,"s3":0},"dl":{"a1":0,"a2":"","a3":"","s1":0,"s2":0,"s3":0},"sortOrder":0,"act":{}}</v>
      </c>
    </row>
    <row r="29" spans="1:54" x14ac:dyDescent="0.25">
      <c r="E29" s="153"/>
      <c r="F29" s="67"/>
      <c r="G29" s="66"/>
      <c r="H29" s="140"/>
      <c r="I29" s="140"/>
      <c r="J29" s="140"/>
      <c r="K29" s="140"/>
      <c r="L29" s="140"/>
      <c r="M29" s="141"/>
      <c r="N29" s="140"/>
      <c r="O29" s="140"/>
      <c r="P29" s="67"/>
      <c r="Q29" s="67"/>
      <c r="R29" s="67"/>
      <c r="S29" s="67"/>
      <c r="T29" s="86"/>
      <c r="U29" s="87"/>
      <c r="V29" s="87"/>
      <c r="W29" s="88"/>
      <c r="Z29" s="15" t="str">
        <f t="shared" si="0"/>
        <v>A</v>
      </c>
      <c r="AA29" s="8">
        <f t="shared" si="1"/>
        <v>0</v>
      </c>
      <c r="AB29" s="9">
        <f t="shared" si="8"/>
        <v>0</v>
      </c>
      <c r="AC29" s="8">
        <f t="shared" si="2"/>
        <v>0</v>
      </c>
      <c r="AD29" s="8">
        <f t="shared" si="3"/>
        <v>0</v>
      </c>
      <c r="AE29" s="8" t="str">
        <f t="shared" si="9"/>
        <v>--</v>
      </c>
      <c r="AF29" s="10">
        <f t="shared" si="10"/>
        <v>0</v>
      </c>
      <c r="AG29" s="8">
        <v>4</v>
      </c>
      <c r="AH29" s="9">
        <f t="shared" si="11"/>
        <v>0</v>
      </c>
      <c r="AI29" s="11">
        <f t="shared" si="12"/>
        <v>0</v>
      </c>
      <c r="AJ29" s="6"/>
      <c r="AK29" s="6"/>
      <c r="AL29" s="6"/>
      <c r="AN29" t="str">
        <f t="shared" si="13"/>
        <v>"4":{</v>
      </c>
      <c r="AO29" t="str">
        <f t="shared" si="14"/>
        <v>"group":"A",</v>
      </c>
      <c r="AP29" t="str">
        <f t="shared" si="15"/>
        <v>"lot":0,</v>
      </c>
      <c r="AQ29" t="str">
        <f t="shared" si="16"/>
        <v>"name":"0",</v>
      </c>
      <c r="AR29" t="str">
        <f t="shared" si="17"/>
        <v>"team":"0",</v>
      </c>
      <c r="AS29" t="str">
        <f t="shared" si="18"/>
        <v>"year":"0",</v>
      </c>
      <c r="AT29" t="str">
        <f t="shared" si="19"/>
        <v>"division":"--",</v>
      </c>
      <c r="AU29" t="str">
        <f t="shared" si="20"/>
        <v>"bw":"0",</v>
      </c>
      <c r="AV29" t="str">
        <f t="shared" si="21"/>
        <v>"idx":"4",</v>
      </c>
      <c r="AW29" t="str">
        <f t="shared" si="22"/>
        <v>"sr":"0",</v>
      </c>
      <c r="AX29" t="str">
        <f t="shared" si="23"/>
        <v>"br":"0",</v>
      </c>
      <c r="AY29" t="str">
        <f t="shared" si="24"/>
        <v>"row":0,</v>
      </c>
      <c r="AZ29" t="s">
        <v>67</v>
      </c>
      <c r="BA29" t="str">
        <f t="shared" si="25"/>
        <v>"sq":{"a1":0,"a2":"","a3":"","s1":0,"s2":0,"s3":0},"bp":{"a1":0,"a2":"","a3":"","s1":0,"s2":0,"s3":0},"dl":{"a1":0,"a2":"","a3":"","s1":0,"s2":0,"s3":0},"sortOrder":0,"act":{}}</v>
      </c>
      <c r="BB29" t="str">
        <f t="shared" si="26"/>
        <v>"4":{"group":"A","lot":0,"name":"0","team":"0","year":"0","division":"--","bw":"0","idx":"4","sr":"0","br":"0","row":0,"sq":{"a1":0,"a2":"","a3":"","s1":0,"s2":0,"s3":0},"bp":{"a1":0,"a2":"","a3":"","s1":0,"s2":0,"s3":0},"dl":{"a1":0,"a2":"","a3":"","s1":0,"s2":0,"s3":0},"sortOrder":0,"act":{}}</v>
      </c>
    </row>
    <row r="30" spans="1:54" x14ac:dyDescent="0.25">
      <c r="E30" s="153"/>
      <c r="F30" s="67"/>
      <c r="G30" s="67"/>
      <c r="H30" s="140"/>
      <c r="I30" s="140"/>
      <c r="J30" s="140"/>
      <c r="K30" s="140"/>
      <c r="L30" s="140"/>
      <c r="M30" s="141"/>
      <c r="N30" s="140"/>
      <c r="O30" s="140"/>
      <c r="P30" s="67"/>
      <c r="Q30" s="67"/>
      <c r="R30" s="67"/>
      <c r="S30" s="67"/>
      <c r="T30" s="86"/>
      <c r="U30" s="87"/>
      <c r="V30" s="87"/>
      <c r="W30" s="88"/>
      <c r="Z30" s="15" t="str">
        <f t="shared" si="0"/>
        <v>A</v>
      </c>
      <c r="AA30" s="8">
        <f t="shared" si="1"/>
        <v>0</v>
      </c>
      <c r="AB30" s="9">
        <f t="shared" si="8"/>
        <v>0</v>
      </c>
      <c r="AC30" s="8">
        <f t="shared" si="2"/>
        <v>0</v>
      </c>
      <c r="AD30" s="8">
        <f t="shared" si="3"/>
        <v>0</v>
      </c>
      <c r="AE30" s="8" t="str">
        <f t="shared" si="9"/>
        <v>--</v>
      </c>
      <c r="AF30" s="10">
        <f t="shared" si="10"/>
        <v>0</v>
      </c>
      <c r="AG30" s="8">
        <v>5</v>
      </c>
      <c r="AH30" s="9">
        <f t="shared" si="11"/>
        <v>0</v>
      </c>
      <c r="AI30" s="11">
        <f t="shared" si="12"/>
        <v>0</v>
      </c>
      <c r="AJ30" s="6"/>
      <c r="AK30" s="6"/>
      <c r="AL30" s="6"/>
      <c r="AN30" t="str">
        <f t="shared" si="13"/>
        <v>"5":{</v>
      </c>
      <c r="AO30" t="str">
        <f t="shared" si="14"/>
        <v>"group":"A",</v>
      </c>
      <c r="AP30" t="str">
        <f t="shared" si="15"/>
        <v>"lot":0,</v>
      </c>
      <c r="AQ30" t="str">
        <f t="shared" si="16"/>
        <v>"name":"0",</v>
      </c>
      <c r="AR30" t="str">
        <f t="shared" si="17"/>
        <v>"team":"0",</v>
      </c>
      <c r="AS30" t="str">
        <f t="shared" si="18"/>
        <v>"year":"0",</v>
      </c>
      <c r="AT30" t="str">
        <f t="shared" si="19"/>
        <v>"division":"--",</v>
      </c>
      <c r="AU30" t="str">
        <f t="shared" si="20"/>
        <v>"bw":"0",</v>
      </c>
      <c r="AV30" t="str">
        <f t="shared" si="21"/>
        <v>"idx":"5",</v>
      </c>
      <c r="AW30" t="str">
        <f t="shared" si="22"/>
        <v>"sr":"0",</v>
      </c>
      <c r="AX30" t="str">
        <f t="shared" si="23"/>
        <v>"br":"0",</v>
      </c>
      <c r="AY30" t="str">
        <f t="shared" si="24"/>
        <v>"row":0,</v>
      </c>
      <c r="AZ30" t="s">
        <v>67</v>
      </c>
      <c r="BA30" t="str">
        <f t="shared" si="25"/>
        <v>"sq":{"a1":0,"a2":"","a3":"","s1":0,"s2":0,"s3":0},"bp":{"a1":0,"a2":"","a3":"","s1":0,"s2":0,"s3":0},"dl":{"a1":0,"a2":"","a3":"","s1":0,"s2":0,"s3":0},"sortOrder":0,"act":{}}</v>
      </c>
      <c r="BB30" t="str">
        <f t="shared" si="26"/>
        <v>"5":{"group":"A","lot":0,"name":"0","team":"0","year":"0","division":"--","bw":"0","idx":"5","sr":"0","br":"0","row":0,"sq":{"a1":0,"a2":"","a3":"","s1":0,"s2":0,"s3":0},"bp":{"a1":0,"a2":"","a3":"","s1":0,"s2":0,"s3":0},"dl":{"a1":0,"a2":"","a3":"","s1":0,"s2":0,"s3":0},"sortOrder":0,"act":{}}</v>
      </c>
    </row>
    <row r="31" spans="1:54" x14ac:dyDescent="0.25">
      <c r="E31" s="153"/>
      <c r="F31" s="67"/>
      <c r="G31" s="67"/>
      <c r="H31" s="140"/>
      <c r="I31" s="140"/>
      <c r="J31" s="140"/>
      <c r="K31" s="140"/>
      <c r="L31" s="140"/>
      <c r="M31" s="141"/>
      <c r="N31" s="140"/>
      <c r="O31" s="140"/>
      <c r="P31" s="67"/>
      <c r="Q31" s="67"/>
      <c r="R31" s="67"/>
      <c r="S31" s="67"/>
      <c r="T31" s="86"/>
      <c r="U31" s="87"/>
      <c r="V31" s="87"/>
      <c r="W31" s="88"/>
      <c r="Z31" s="15" t="str">
        <f t="shared" si="0"/>
        <v>A</v>
      </c>
      <c r="AA31" s="8">
        <f t="shared" si="1"/>
        <v>0</v>
      </c>
      <c r="AB31" s="9">
        <f t="shared" si="8"/>
        <v>0</v>
      </c>
      <c r="AC31" s="8">
        <f t="shared" si="2"/>
        <v>0</v>
      </c>
      <c r="AD31" s="8">
        <f t="shared" si="3"/>
        <v>0</v>
      </c>
      <c r="AE31" s="8" t="str">
        <f t="shared" si="9"/>
        <v>--</v>
      </c>
      <c r="AF31" s="10">
        <f t="shared" si="10"/>
        <v>0</v>
      </c>
      <c r="AG31" s="8">
        <v>6</v>
      </c>
      <c r="AH31" s="9">
        <f t="shared" si="11"/>
        <v>0</v>
      </c>
      <c r="AI31" s="11">
        <f t="shared" si="12"/>
        <v>0</v>
      </c>
      <c r="AJ31" s="6"/>
      <c r="AK31" s="6"/>
      <c r="AL31" s="6"/>
      <c r="AN31" t="str">
        <f t="shared" si="13"/>
        <v>"6":{</v>
      </c>
      <c r="AO31" t="str">
        <f t="shared" si="14"/>
        <v>"group":"A",</v>
      </c>
      <c r="AP31" t="str">
        <f t="shared" si="15"/>
        <v>"lot":0,</v>
      </c>
      <c r="AQ31" t="str">
        <f t="shared" si="16"/>
        <v>"name":"0",</v>
      </c>
      <c r="AR31" t="str">
        <f t="shared" si="17"/>
        <v>"team":"0",</v>
      </c>
      <c r="AS31" t="str">
        <f t="shared" si="18"/>
        <v>"year":"0",</v>
      </c>
      <c r="AT31" t="str">
        <f t="shared" si="19"/>
        <v>"division":"--",</v>
      </c>
      <c r="AU31" t="str">
        <f t="shared" si="20"/>
        <v>"bw":"0",</v>
      </c>
      <c r="AV31" t="str">
        <f t="shared" si="21"/>
        <v>"idx":"6",</v>
      </c>
      <c r="AW31" t="str">
        <f t="shared" si="22"/>
        <v>"sr":"0",</v>
      </c>
      <c r="AX31" t="str">
        <f t="shared" si="23"/>
        <v>"br":"0",</v>
      </c>
      <c r="AY31" t="str">
        <f t="shared" si="24"/>
        <v>"row":0,</v>
      </c>
      <c r="AZ31" t="s">
        <v>67</v>
      </c>
      <c r="BA31" t="str">
        <f t="shared" si="25"/>
        <v>"sq":{"a1":0,"a2":"","a3":"","s1":0,"s2":0,"s3":0},"bp":{"a1":0,"a2":"","a3":"","s1":0,"s2":0,"s3":0},"dl":{"a1":0,"a2":"","a3":"","s1":0,"s2":0,"s3":0},"sortOrder":0,"act":{}}</v>
      </c>
      <c r="BB31" t="str">
        <f t="shared" si="26"/>
        <v>"6":{"group":"A","lot":0,"name":"0","team":"0","year":"0","division":"--","bw":"0","idx":"6","sr":"0","br":"0","row":0,"sq":{"a1":0,"a2":"","a3":"","s1":0,"s2":0,"s3":0},"bp":{"a1":0,"a2":"","a3":"","s1":0,"s2":0,"s3":0},"dl":{"a1":0,"a2":"","a3":"","s1":0,"s2":0,"s3":0},"sortOrder":0,"act":{}}</v>
      </c>
    </row>
    <row r="32" spans="1:54" x14ac:dyDescent="0.25">
      <c r="E32" s="153"/>
      <c r="F32" s="67"/>
      <c r="G32" s="67"/>
      <c r="H32" s="140"/>
      <c r="I32" s="140"/>
      <c r="J32" s="140"/>
      <c r="K32" s="140"/>
      <c r="L32" s="140"/>
      <c r="M32" s="141"/>
      <c r="N32" s="140"/>
      <c r="O32" s="140"/>
      <c r="P32" s="67"/>
      <c r="Q32" s="67"/>
      <c r="R32" s="67"/>
      <c r="S32" s="67"/>
      <c r="T32" s="86"/>
      <c r="U32" s="87"/>
      <c r="V32" s="87"/>
      <c r="W32" s="88"/>
      <c r="Z32" s="15" t="str">
        <f t="shared" si="0"/>
        <v>A</v>
      </c>
      <c r="AA32" s="8">
        <f t="shared" si="1"/>
        <v>0</v>
      </c>
      <c r="AB32" s="9">
        <f t="shared" si="8"/>
        <v>0</v>
      </c>
      <c r="AC32" s="8">
        <f t="shared" si="2"/>
        <v>0</v>
      </c>
      <c r="AD32" s="8">
        <f t="shared" si="3"/>
        <v>0</v>
      </c>
      <c r="AE32" s="8" t="str">
        <f t="shared" si="9"/>
        <v>--</v>
      </c>
      <c r="AF32" s="10">
        <f t="shared" si="10"/>
        <v>0</v>
      </c>
      <c r="AG32" s="8">
        <v>7</v>
      </c>
      <c r="AH32" s="9">
        <f t="shared" si="11"/>
        <v>0</v>
      </c>
      <c r="AI32" s="11">
        <f t="shared" si="12"/>
        <v>0</v>
      </c>
      <c r="AJ32" s="6"/>
      <c r="AK32" s="6"/>
      <c r="AL32" s="6"/>
      <c r="AN32" t="str">
        <f t="shared" si="13"/>
        <v>"7":{</v>
      </c>
      <c r="AO32" t="str">
        <f t="shared" si="14"/>
        <v>"group":"A",</v>
      </c>
      <c r="AP32" t="str">
        <f t="shared" si="15"/>
        <v>"lot":0,</v>
      </c>
      <c r="AQ32" t="str">
        <f t="shared" si="16"/>
        <v>"name":"0",</v>
      </c>
      <c r="AR32" t="str">
        <f t="shared" si="17"/>
        <v>"team":"0",</v>
      </c>
      <c r="AS32" t="str">
        <f t="shared" si="18"/>
        <v>"year":"0",</v>
      </c>
      <c r="AT32" t="str">
        <f t="shared" si="19"/>
        <v>"division":"--",</v>
      </c>
      <c r="AU32" t="str">
        <f t="shared" si="20"/>
        <v>"bw":"0",</v>
      </c>
      <c r="AV32" t="str">
        <f t="shared" si="21"/>
        <v>"idx":"7",</v>
      </c>
      <c r="AW32" t="str">
        <f t="shared" si="22"/>
        <v>"sr":"0",</v>
      </c>
      <c r="AX32" t="str">
        <f t="shared" si="23"/>
        <v>"br":"0",</v>
      </c>
      <c r="AY32" t="str">
        <f t="shared" si="24"/>
        <v>"row":0,</v>
      </c>
      <c r="AZ32" t="s">
        <v>67</v>
      </c>
      <c r="BA32" t="str">
        <f t="shared" si="25"/>
        <v>"sq":{"a1":0,"a2":"","a3":"","s1":0,"s2":0,"s3":0},"bp":{"a1":0,"a2":"","a3":"","s1":0,"s2":0,"s3":0},"dl":{"a1":0,"a2":"","a3":"","s1":0,"s2":0,"s3":0},"sortOrder":0,"act":{}}</v>
      </c>
      <c r="BB32" t="str">
        <f t="shared" si="26"/>
        <v>"7":{"group":"A","lot":0,"name":"0","team":"0","year":"0","division":"--","bw":"0","idx":"7","sr":"0","br":"0","row":0,"sq":{"a1":0,"a2":"","a3":"","s1":0,"s2":0,"s3":0},"bp":{"a1":0,"a2":"","a3":"","s1":0,"s2":0,"s3":0},"dl":{"a1":0,"a2":"","a3":"","s1":0,"s2":0,"s3":0},"sortOrder":0,"act":{}}</v>
      </c>
    </row>
    <row r="33" spans="5:54" x14ac:dyDescent="0.25">
      <c r="E33" s="154"/>
      <c r="F33" s="68"/>
      <c r="G33" s="68"/>
      <c r="H33" s="142"/>
      <c r="I33" s="142"/>
      <c r="J33" s="142"/>
      <c r="K33" s="142"/>
      <c r="L33" s="142"/>
      <c r="M33" s="143"/>
      <c r="N33" s="142"/>
      <c r="O33" s="142"/>
      <c r="P33" s="68"/>
      <c r="Q33" s="68"/>
      <c r="R33" s="68"/>
      <c r="S33" s="68"/>
      <c r="T33" s="89"/>
      <c r="U33" s="90"/>
      <c r="V33" s="90"/>
      <c r="W33" s="91"/>
      <c r="Z33" s="15" t="str">
        <f t="shared" si="0"/>
        <v>A</v>
      </c>
      <c r="AA33" s="8">
        <f t="shared" si="1"/>
        <v>0</v>
      </c>
      <c r="AB33" s="9">
        <f t="shared" si="8"/>
        <v>0</v>
      </c>
      <c r="AC33" s="8">
        <f t="shared" si="2"/>
        <v>0</v>
      </c>
      <c r="AD33" s="8">
        <f t="shared" si="3"/>
        <v>0</v>
      </c>
      <c r="AE33" s="8" t="str">
        <f t="shared" si="9"/>
        <v>--</v>
      </c>
      <c r="AF33" s="10">
        <f t="shared" si="10"/>
        <v>0</v>
      </c>
      <c r="AG33" s="8">
        <v>8</v>
      </c>
      <c r="AH33" s="9">
        <f t="shared" si="11"/>
        <v>0</v>
      </c>
      <c r="AI33" s="11">
        <f t="shared" si="12"/>
        <v>0</v>
      </c>
      <c r="AJ33" s="6"/>
      <c r="AK33" s="6"/>
      <c r="AL33" s="6"/>
      <c r="AN33" t="str">
        <f t="shared" si="13"/>
        <v>"8":{</v>
      </c>
      <c r="AO33" t="str">
        <f t="shared" si="14"/>
        <v>"group":"A",</v>
      </c>
      <c r="AP33" t="str">
        <f t="shared" si="15"/>
        <v>"lot":0,</v>
      </c>
      <c r="AQ33" t="str">
        <f t="shared" si="16"/>
        <v>"name":"0",</v>
      </c>
      <c r="AR33" t="str">
        <f t="shared" si="17"/>
        <v>"team":"0",</v>
      </c>
      <c r="AS33" t="str">
        <f t="shared" si="18"/>
        <v>"year":"0",</v>
      </c>
      <c r="AT33" t="str">
        <f t="shared" si="19"/>
        <v>"division":"--",</v>
      </c>
      <c r="AU33" t="str">
        <f t="shared" si="20"/>
        <v>"bw":"0",</v>
      </c>
      <c r="AV33" t="str">
        <f t="shared" si="21"/>
        <v>"idx":"8",</v>
      </c>
      <c r="AW33" t="str">
        <f t="shared" si="22"/>
        <v>"sr":"0",</v>
      </c>
      <c r="AX33" t="str">
        <f t="shared" si="23"/>
        <v>"br":"0",</v>
      </c>
      <c r="AY33" t="str">
        <f t="shared" si="24"/>
        <v>"row":0,</v>
      </c>
      <c r="AZ33" t="s">
        <v>67</v>
      </c>
      <c r="BA33" t="str">
        <f t="shared" si="25"/>
        <v>"sq":{"a1":0,"a2":"","a3":"","s1":0,"s2":0,"s3":0},"bp":{"a1":0,"a2":"","a3":"","s1":0,"s2":0,"s3":0},"dl":{"a1":0,"a2":"","a3":"","s1":0,"s2":0,"s3":0},"sortOrder":0,"act":{}}</v>
      </c>
      <c r="BB33" t="str">
        <f t="shared" si="26"/>
        <v>"8":{"group":"A","lot":0,"name":"0","team":"0","year":"0","division":"--","bw":"0","idx":"8","sr":"0","br":"0","row":0,"sq":{"a1":0,"a2":"","a3":"","s1":0,"s2":0,"s3":0},"bp":{"a1":0,"a2":"","a3":"","s1":0,"s2":0,"s3":0},"dl":{"a1":0,"a2":"","a3":"","s1":0,"s2":0,"s3":0},"sortOrder":0,"act":{}}</v>
      </c>
    </row>
    <row r="34" spans="5:54" x14ac:dyDescent="0.25">
      <c r="E34" s="154"/>
      <c r="F34" s="68"/>
      <c r="G34" s="68"/>
      <c r="H34" s="142"/>
      <c r="I34" s="142"/>
      <c r="J34" s="142"/>
      <c r="K34" s="142"/>
      <c r="L34" s="142"/>
      <c r="M34" s="143"/>
      <c r="N34" s="142"/>
      <c r="O34" s="142"/>
      <c r="P34" s="68"/>
      <c r="Q34" s="68"/>
      <c r="R34" s="68"/>
      <c r="S34" s="68"/>
      <c r="T34" s="89"/>
      <c r="U34" s="90"/>
      <c r="V34" s="90"/>
      <c r="W34" s="91"/>
      <c r="Z34" s="15" t="str">
        <f t="shared" si="0"/>
        <v>A</v>
      </c>
      <c r="AA34" s="8">
        <f t="shared" si="1"/>
        <v>0</v>
      </c>
      <c r="AB34" s="9">
        <f t="shared" si="8"/>
        <v>0</v>
      </c>
      <c r="AC34" s="8">
        <f t="shared" si="2"/>
        <v>0</v>
      </c>
      <c r="AD34" s="8">
        <f t="shared" si="3"/>
        <v>0</v>
      </c>
      <c r="AE34" s="8" t="str">
        <f t="shared" si="9"/>
        <v>--</v>
      </c>
      <c r="AF34" s="10">
        <f t="shared" si="10"/>
        <v>0</v>
      </c>
      <c r="AG34" s="8">
        <v>9</v>
      </c>
      <c r="AH34" s="9">
        <f t="shared" si="11"/>
        <v>0</v>
      </c>
      <c r="AI34" s="11">
        <f t="shared" si="12"/>
        <v>0</v>
      </c>
      <c r="AJ34" s="6"/>
      <c r="AK34" s="6"/>
      <c r="AL34" s="6"/>
      <c r="AN34" t="str">
        <f t="shared" si="13"/>
        <v>"9":{</v>
      </c>
      <c r="AO34" t="str">
        <f t="shared" si="14"/>
        <v>"group":"A",</v>
      </c>
      <c r="AP34" t="str">
        <f t="shared" si="15"/>
        <v>"lot":0,</v>
      </c>
      <c r="AQ34" t="str">
        <f t="shared" si="16"/>
        <v>"name":"0",</v>
      </c>
      <c r="AR34" t="str">
        <f t="shared" si="17"/>
        <v>"team":"0",</v>
      </c>
      <c r="AS34" t="str">
        <f t="shared" si="18"/>
        <v>"year":"0",</v>
      </c>
      <c r="AT34" t="str">
        <f t="shared" si="19"/>
        <v>"division":"--",</v>
      </c>
      <c r="AU34" t="str">
        <f t="shared" si="20"/>
        <v>"bw":"0",</v>
      </c>
      <c r="AV34" t="str">
        <f t="shared" si="21"/>
        <v>"idx":"9",</v>
      </c>
      <c r="AW34" t="str">
        <f t="shared" si="22"/>
        <v>"sr":"0",</v>
      </c>
      <c r="AX34" t="str">
        <f t="shared" si="23"/>
        <v>"br":"0",</v>
      </c>
      <c r="AY34" t="str">
        <f t="shared" si="24"/>
        <v>"row":0,</v>
      </c>
      <c r="AZ34" t="s">
        <v>67</v>
      </c>
      <c r="BA34" t="str">
        <f t="shared" si="25"/>
        <v>"sq":{"a1":0,"a2":"","a3":"","s1":0,"s2":0,"s3":0},"bp":{"a1":0,"a2":"","a3":"","s1":0,"s2":0,"s3":0},"dl":{"a1":0,"a2":"","a3":"","s1":0,"s2":0,"s3":0},"sortOrder":0,"act":{}}</v>
      </c>
      <c r="BB34" t="str">
        <f t="shared" si="26"/>
        <v>"9":{"group":"A","lot":0,"name":"0","team":"0","year":"0","division":"--","bw":"0","idx":"9","sr":"0","br":"0","row":0,"sq":{"a1":0,"a2":"","a3":"","s1":0,"s2":0,"s3":0},"bp":{"a1":0,"a2":"","a3":"","s1":0,"s2":0,"s3":0},"dl":{"a1":0,"a2":"","a3":"","s1":0,"s2":0,"s3":0},"sortOrder":0,"act":{}}</v>
      </c>
    </row>
    <row r="35" spans="5:54" x14ac:dyDescent="0.25">
      <c r="E35" s="154"/>
      <c r="F35" s="68"/>
      <c r="G35" s="68"/>
      <c r="H35" s="142"/>
      <c r="I35" s="142"/>
      <c r="J35" s="142"/>
      <c r="K35" s="142"/>
      <c r="L35" s="142"/>
      <c r="M35" s="143"/>
      <c r="N35" s="142"/>
      <c r="O35" s="142"/>
      <c r="P35" s="68"/>
      <c r="Q35" s="68"/>
      <c r="R35" s="68"/>
      <c r="S35" s="68"/>
      <c r="T35" s="89"/>
      <c r="U35" s="90"/>
      <c r="V35" s="90"/>
      <c r="W35" s="91"/>
      <c r="Z35" s="15" t="str">
        <f t="shared" si="0"/>
        <v>A</v>
      </c>
      <c r="AA35" s="8">
        <f t="shared" si="1"/>
        <v>0</v>
      </c>
      <c r="AB35" s="9">
        <f t="shared" si="8"/>
        <v>0</v>
      </c>
      <c r="AC35" s="8">
        <f t="shared" si="2"/>
        <v>0</v>
      </c>
      <c r="AD35" s="8">
        <f t="shared" si="3"/>
        <v>0</v>
      </c>
      <c r="AE35" s="8" t="str">
        <f t="shared" si="9"/>
        <v>--</v>
      </c>
      <c r="AF35" s="10">
        <f t="shared" si="10"/>
        <v>0</v>
      </c>
      <c r="AG35" s="8">
        <v>10</v>
      </c>
      <c r="AH35" s="9">
        <f t="shared" si="11"/>
        <v>0</v>
      </c>
      <c r="AI35" s="11">
        <f t="shared" si="12"/>
        <v>0</v>
      </c>
      <c r="AJ35" s="6"/>
      <c r="AK35" s="6"/>
      <c r="AL35" s="6"/>
      <c r="AN35" t="str">
        <f t="shared" si="13"/>
        <v>"10":{</v>
      </c>
      <c r="AO35" t="str">
        <f t="shared" si="14"/>
        <v>"group":"A",</v>
      </c>
      <c r="AP35" t="str">
        <f t="shared" si="15"/>
        <v>"lot":0,</v>
      </c>
      <c r="AQ35" t="str">
        <f t="shared" si="16"/>
        <v>"name":"0",</v>
      </c>
      <c r="AR35" t="str">
        <f t="shared" si="17"/>
        <v>"team":"0",</v>
      </c>
      <c r="AS35" t="str">
        <f t="shared" si="18"/>
        <v>"year":"0",</v>
      </c>
      <c r="AT35" t="str">
        <f t="shared" si="19"/>
        <v>"division":"--",</v>
      </c>
      <c r="AU35" t="str">
        <f t="shared" si="20"/>
        <v>"bw":"0",</v>
      </c>
      <c r="AV35" t="str">
        <f t="shared" si="21"/>
        <v>"idx":"10",</v>
      </c>
      <c r="AW35" t="str">
        <f t="shared" si="22"/>
        <v>"sr":"0",</v>
      </c>
      <c r="AX35" t="str">
        <f t="shared" si="23"/>
        <v>"br":"0",</v>
      </c>
      <c r="AY35" t="str">
        <f t="shared" si="24"/>
        <v>"row":0,</v>
      </c>
      <c r="AZ35" t="s">
        <v>67</v>
      </c>
      <c r="BA35" t="str">
        <f t="shared" si="25"/>
        <v>"sq":{"a1":0,"a2":"","a3":"","s1":0,"s2":0,"s3":0},"bp":{"a1":0,"a2":"","a3":"","s1":0,"s2":0,"s3":0},"dl":{"a1":0,"a2":"","a3":"","s1":0,"s2":0,"s3":0},"sortOrder":0,"act":{}}</v>
      </c>
      <c r="BB35" t="str">
        <f t="shared" si="26"/>
        <v>"10":{"group":"A","lot":0,"name":"0","team":"0","year":"0","division":"--","bw":"0","idx":"10","sr":"0","br":"0","row":0,"sq":{"a1":0,"a2":"","a3":"","s1":0,"s2":0,"s3":0},"bp":{"a1":0,"a2":"","a3":"","s1":0,"s2":0,"s3":0},"dl":{"a1":0,"a2":"","a3":"","s1":0,"s2":0,"s3":0},"sortOrder":0,"act":{}}</v>
      </c>
    </row>
    <row r="36" spans="5:54" x14ac:dyDescent="0.25">
      <c r="E36" s="154"/>
      <c r="F36" s="68"/>
      <c r="G36" s="68"/>
      <c r="H36" s="142"/>
      <c r="I36" s="142"/>
      <c r="J36" s="142"/>
      <c r="K36" s="142"/>
      <c r="L36" s="142"/>
      <c r="M36" s="143"/>
      <c r="N36" s="142"/>
      <c r="O36" s="142"/>
      <c r="P36" s="68"/>
      <c r="Q36" s="68"/>
      <c r="R36" s="68"/>
      <c r="S36" s="68"/>
      <c r="T36" s="89"/>
      <c r="U36" s="90"/>
      <c r="V36" s="90"/>
      <c r="W36" s="91"/>
      <c r="Z36" s="15" t="str">
        <f t="shared" si="0"/>
        <v>A</v>
      </c>
      <c r="AA36" s="8">
        <f t="shared" si="1"/>
        <v>0</v>
      </c>
      <c r="AB36" s="9">
        <f t="shared" si="8"/>
        <v>0</v>
      </c>
      <c r="AC36" s="8">
        <f t="shared" si="2"/>
        <v>0</v>
      </c>
      <c r="AD36" s="8">
        <f t="shared" si="3"/>
        <v>0</v>
      </c>
      <c r="AE36" s="8" t="str">
        <f t="shared" si="9"/>
        <v>--</v>
      </c>
      <c r="AF36" s="10">
        <f t="shared" si="10"/>
        <v>0</v>
      </c>
      <c r="AG36" s="8">
        <v>11</v>
      </c>
      <c r="AH36" s="9">
        <f t="shared" si="11"/>
        <v>0</v>
      </c>
      <c r="AI36" s="11">
        <f t="shared" si="12"/>
        <v>0</v>
      </c>
      <c r="AJ36" s="6"/>
      <c r="AK36" s="6"/>
      <c r="AL36" s="6"/>
      <c r="AN36" t="str">
        <f t="shared" si="13"/>
        <v>"11":{</v>
      </c>
      <c r="AO36" t="str">
        <f t="shared" si="14"/>
        <v>"group":"A",</v>
      </c>
      <c r="AP36" t="str">
        <f t="shared" si="15"/>
        <v>"lot":0,</v>
      </c>
      <c r="AQ36" t="str">
        <f t="shared" si="16"/>
        <v>"name":"0",</v>
      </c>
      <c r="AR36" t="str">
        <f t="shared" si="17"/>
        <v>"team":"0",</v>
      </c>
      <c r="AS36" t="str">
        <f t="shared" si="18"/>
        <v>"year":"0",</v>
      </c>
      <c r="AT36" t="str">
        <f t="shared" si="19"/>
        <v>"division":"--",</v>
      </c>
      <c r="AU36" t="str">
        <f t="shared" si="20"/>
        <v>"bw":"0",</v>
      </c>
      <c r="AV36" t="str">
        <f t="shared" si="21"/>
        <v>"idx":"11",</v>
      </c>
      <c r="AW36" t="str">
        <f t="shared" si="22"/>
        <v>"sr":"0",</v>
      </c>
      <c r="AX36" t="str">
        <f t="shared" si="23"/>
        <v>"br":"0",</v>
      </c>
      <c r="AY36" t="str">
        <f t="shared" si="24"/>
        <v>"row":0,</v>
      </c>
      <c r="AZ36" t="s">
        <v>67</v>
      </c>
      <c r="BA36" t="str">
        <f t="shared" si="25"/>
        <v>"sq":{"a1":0,"a2":"","a3":"","s1":0,"s2":0,"s3":0},"bp":{"a1":0,"a2":"","a3":"","s1":0,"s2":0,"s3":0},"dl":{"a1":0,"a2":"","a3":"","s1":0,"s2":0,"s3":0},"sortOrder":0,"act":{}}</v>
      </c>
      <c r="BB36" t="str">
        <f t="shared" si="26"/>
        <v>"11":{"group":"A","lot":0,"name":"0","team":"0","year":"0","division":"--","bw":"0","idx":"11","sr":"0","br":"0","row":0,"sq":{"a1":0,"a2":"","a3":"","s1":0,"s2":0,"s3":0},"bp":{"a1":0,"a2":"","a3":"","s1":0,"s2":0,"s3":0},"dl":{"a1":0,"a2":"","a3":"","s1":0,"s2":0,"s3":0},"sortOrder":0,"act":{}}</v>
      </c>
    </row>
    <row r="37" spans="5:54" x14ac:dyDescent="0.25">
      <c r="E37" s="154"/>
      <c r="F37" s="68"/>
      <c r="G37" s="68"/>
      <c r="H37" s="142"/>
      <c r="I37" s="142"/>
      <c r="J37" s="142"/>
      <c r="K37" s="142"/>
      <c r="L37" s="142"/>
      <c r="M37" s="143"/>
      <c r="N37" s="142"/>
      <c r="O37" s="142"/>
      <c r="P37" s="68"/>
      <c r="Q37" s="68"/>
      <c r="R37" s="68"/>
      <c r="S37" s="68"/>
      <c r="T37" s="89"/>
      <c r="U37" s="90"/>
      <c r="V37" s="90"/>
      <c r="W37" s="91"/>
      <c r="Z37" s="15" t="str">
        <f t="shared" si="0"/>
        <v>A</v>
      </c>
      <c r="AA37" s="8">
        <f t="shared" si="1"/>
        <v>0</v>
      </c>
      <c r="AB37" s="9">
        <f t="shared" si="8"/>
        <v>0</v>
      </c>
      <c r="AC37" s="8">
        <f t="shared" si="2"/>
        <v>0</v>
      </c>
      <c r="AD37" s="8">
        <f t="shared" si="3"/>
        <v>0</v>
      </c>
      <c r="AE37" s="8" t="str">
        <f t="shared" si="9"/>
        <v>--</v>
      </c>
      <c r="AF37" s="10">
        <f t="shared" si="10"/>
        <v>0</v>
      </c>
      <c r="AG37" s="8">
        <v>12</v>
      </c>
      <c r="AH37" s="9">
        <f t="shared" si="11"/>
        <v>0</v>
      </c>
      <c r="AI37" s="11">
        <f t="shared" si="12"/>
        <v>0</v>
      </c>
      <c r="AJ37" s="6"/>
      <c r="AK37" s="6"/>
      <c r="AL37" s="6"/>
      <c r="AN37" t="str">
        <f t="shared" si="13"/>
        <v>"12":{</v>
      </c>
      <c r="AO37" t="str">
        <f t="shared" si="14"/>
        <v>"group":"A",</v>
      </c>
      <c r="AP37" t="str">
        <f t="shared" si="15"/>
        <v>"lot":0,</v>
      </c>
      <c r="AQ37" t="str">
        <f t="shared" si="16"/>
        <v>"name":"0",</v>
      </c>
      <c r="AR37" t="str">
        <f t="shared" si="17"/>
        <v>"team":"0",</v>
      </c>
      <c r="AS37" t="str">
        <f t="shared" si="18"/>
        <v>"year":"0",</v>
      </c>
      <c r="AT37" t="str">
        <f t="shared" si="19"/>
        <v>"division":"--",</v>
      </c>
      <c r="AU37" t="str">
        <f t="shared" si="20"/>
        <v>"bw":"0",</v>
      </c>
      <c r="AV37" t="str">
        <f t="shared" si="21"/>
        <v>"idx":"12",</v>
      </c>
      <c r="AW37" t="str">
        <f t="shared" si="22"/>
        <v>"sr":"0",</v>
      </c>
      <c r="AX37" t="str">
        <f t="shared" si="23"/>
        <v>"br":"0",</v>
      </c>
      <c r="AY37" t="str">
        <f t="shared" si="24"/>
        <v>"row":0,</v>
      </c>
      <c r="AZ37" t="s">
        <v>67</v>
      </c>
      <c r="BA37" t="str">
        <f t="shared" si="25"/>
        <v>"sq":{"a1":0,"a2":"","a3":"","s1":0,"s2":0,"s3":0},"bp":{"a1":0,"a2":"","a3":"","s1":0,"s2":0,"s3":0},"dl":{"a1":0,"a2":"","a3":"","s1":0,"s2":0,"s3":0},"sortOrder":0,"act":{}}</v>
      </c>
      <c r="BB37" t="str">
        <f t="shared" si="26"/>
        <v>"12":{"group":"A","lot":0,"name":"0","team":"0","year":"0","division":"--","bw":"0","idx":"12","sr":"0","br":"0","row":0,"sq":{"a1":0,"a2":"","a3":"","s1":0,"s2":0,"s3":0},"bp":{"a1":0,"a2":"","a3":"","s1":0,"s2":0,"s3":0},"dl":{"a1":0,"a2":"","a3":"","s1":0,"s2":0,"s3":0},"sortOrder":0,"act":{}}</v>
      </c>
    </row>
    <row r="38" spans="5:54" x14ac:dyDescent="0.25">
      <c r="E38" s="154"/>
      <c r="F38" s="68"/>
      <c r="G38" s="69"/>
      <c r="H38" s="142"/>
      <c r="I38" s="142"/>
      <c r="J38" s="142"/>
      <c r="K38" s="142"/>
      <c r="L38" s="142"/>
      <c r="M38" s="143"/>
      <c r="N38" s="142"/>
      <c r="O38" s="142"/>
      <c r="P38" s="68"/>
      <c r="Q38" s="68"/>
      <c r="R38" s="68"/>
      <c r="S38" s="68"/>
      <c r="T38" s="89"/>
      <c r="U38" s="90"/>
      <c r="V38" s="90"/>
      <c r="W38" s="91"/>
      <c r="Z38" s="15" t="str">
        <f t="shared" si="0"/>
        <v>A</v>
      </c>
      <c r="AA38" s="8">
        <f t="shared" si="1"/>
        <v>0</v>
      </c>
      <c r="AB38" s="9">
        <f t="shared" si="8"/>
        <v>0</v>
      </c>
      <c r="AC38" s="8">
        <f t="shared" si="2"/>
        <v>0</v>
      </c>
      <c r="AD38" s="8">
        <f t="shared" si="3"/>
        <v>0</v>
      </c>
      <c r="AE38" s="8" t="str">
        <f t="shared" si="9"/>
        <v>--</v>
      </c>
      <c r="AF38" s="10">
        <f t="shared" si="10"/>
        <v>0</v>
      </c>
      <c r="AG38" s="8">
        <v>13</v>
      </c>
      <c r="AH38" s="9">
        <f t="shared" si="11"/>
        <v>0</v>
      </c>
      <c r="AI38" s="11">
        <f t="shared" si="12"/>
        <v>0</v>
      </c>
      <c r="AJ38" s="6"/>
      <c r="AK38" s="6"/>
      <c r="AL38" s="6"/>
      <c r="AN38" t="str">
        <f t="shared" si="13"/>
        <v>"13":{</v>
      </c>
      <c r="AO38" t="str">
        <f t="shared" si="14"/>
        <v>"group":"A",</v>
      </c>
      <c r="AP38" t="str">
        <f t="shared" si="15"/>
        <v>"lot":0,</v>
      </c>
      <c r="AQ38" t="str">
        <f t="shared" si="16"/>
        <v>"name":"0",</v>
      </c>
      <c r="AR38" t="str">
        <f t="shared" si="17"/>
        <v>"team":"0",</v>
      </c>
      <c r="AS38" t="str">
        <f t="shared" si="18"/>
        <v>"year":"0",</v>
      </c>
      <c r="AT38" t="str">
        <f t="shared" si="19"/>
        <v>"division":"--",</v>
      </c>
      <c r="AU38" t="str">
        <f t="shared" si="20"/>
        <v>"bw":"0",</v>
      </c>
      <c r="AV38" t="str">
        <f t="shared" si="21"/>
        <v>"idx":"13",</v>
      </c>
      <c r="AW38" t="str">
        <f t="shared" si="22"/>
        <v>"sr":"0",</v>
      </c>
      <c r="AX38" t="str">
        <f t="shared" si="23"/>
        <v>"br":"0",</v>
      </c>
      <c r="AY38" t="str">
        <f t="shared" si="24"/>
        <v>"row":0,</v>
      </c>
      <c r="AZ38" t="s">
        <v>67</v>
      </c>
      <c r="BA38" t="str">
        <f t="shared" si="25"/>
        <v>"sq":{"a1":0,"a2":"","a3":"","s1":0,"s2":0,"s3":0},"bp":{"a1":0,"a2":"","a3":"","s1":0,"s2":0,"s3":0},"dl":{"a1":0,"a2":"","a3":"","s1":0,"s2":0,"s3":0},"sortOrder":0,"act":{}}</v>
      </c>
      <c r="BB38" t="str">
        <f t="shared" si="26"/>
        <v>"13":{"group":"A","lot":0,"name":"0","team":"0","year":"0","division":"--","bw":"0","idx":"13","sr":"0","br":"0","row":0,"sq":{"a1":0,"a2":"","a3":"","s1":0,"s2":0,"s3":0},"bp":{"a1":0,"a2":"","a3":"","s1":0,"s2":0,"s3":0},"dl":{"a1":0,"a2":"","a3":"","s1":0,"s2":0,"s3":0},"sortOrder":0,"act":{}}</v>
      </c>
    </row>
    <row r="39" spans="5:54" x14ac:dyDescent="0.25">
      <c r="E39" s="154"/>
      <c r="F39" s="68"/>
      <c r="G39" s="68"/>
      <c r="H39" s="142"/>
      <c r="I39" s="142"/>
      <c r="J39" s="142"/>
      <c r="K39" s="142"/>
      <c r="L39" s="142"/>
      <c r="M39" s="143"/>
      <c r="N39" s="142"/>
      <c r="O39" s="142"/>
      <c r="P39" s="68"/>
      <c r="Q39" s="68"/>
      <c r="R39" s="68"/>
      <c r="S39" s="68"/>
      <c r="T39" s="89"/>
      <c r="U39" s="90"/>
      <c r="V39" s="90"/>
      <c r="W39" s="91"/>
      <c r="Z39" s="15" t="str">
        <f t="shared" si="0"/>
        <v>A</v>
      </c>
      <c r="AA39" s="8">
        <f t="shared" si="1"/>
        <v>0</v>
      </c>
      <c r="AB39" s="9">
        <f t="shared" si="8"/>
        <v>0</v>
      </c>
      <c r="AC39" s="8">
        <f t="shared" si="2"/>
        <v>0</v>
      </c>
      <c r="AD39" s="8">
        <f t="shared" si="3"/>
        <v>0</v>
      </c>
      <c r="AE39" s="8" t="str">
        <f t="shared" si="9"/>
        <v>--</v>
      </c>
      <c r="AF39" s="10">
        <f t="shared" si="10"/>
        <v>0</v>
      </c>
      <c r="AG39" s="8">
        <v>14</v>
      </c>
      <c r="AH39" s="9">
        <f t="shared" si="11"/>
        <v>0</v>
      </c>
      <c r="AI39" s="11">
        <f t="shared" si="12"/>
        <v>0</v>
      </c>
      <c r="AJ39" s="6"/>
      <c r="AK39" s="6"/>
      <c r="AL39" s="6"/>
      <c r="AN39" t="str">
        <f t="shared" si="13"/>
        <v>"14":{</v>
      </c>
      <c r="AO39" t="str">
        <f t="shared" si="14"/>
        <v>"group":"A",</v>
      </c>
      <c r="AP39" t="str">
        <f t="shared" si="15"/>
        <v>"lot":0,</v>
      </c>
      <c r="AQ39" t="str">
        <f t="shared" si="16"/>
        <v>"name":"0",</v>
      </c>
      <c r="AR39" t="str">
        <f t="shared" si="17"/>
        <v>"team":"0",</v>
      </c>
      <c r="AS39" t="str">
        <f t="shared" si="18"/>
        <v>"year":"0",</v>
      </c>
      <c r="AT39" t="str">
        <f t="shared" si="19"/>
        <v>"division":"--",</v>
      </c>
      <c r="AU39" t="str">
        <f t="shared" si="20"/>
        <v>"bw":"0",</v>
      </c>
      <c r="AV39" t="str">
        <f t="shared" si="21"/>
        <v>"idx":"14",</v>
      </c>
      <c r="AW39" t="str">
        <f t="shared" si="22"/>
        <v>"sr":"0",</v>
      </c>
      <c r="AX39" t="str">
        <f t="shared" si="23"/>
        <v>"br":"0",</v>
      </c>
      <c r="AY39" t="str">
        <f t="shared" si="24"/>
        <v>"row":0,</v>
      </c>
      <c r="AZ39" t="s">
        <v>67</v>
      </c>
      <c r="BA39" t="str">
        <f t="shared" si="25"/>
        <v>"sq":{"a1":0,"a2":"","a3":"","s1":0,"s2":0,"s3":0},"bp":{"a1":0,"a2":"","a3":"","s1":0,"s2":0,"s3":0},"dl":{"a1":0,"a2":"","a3":"","s1":0,"s2":0,"s3":0},"sortOrder":0,"act":{}}</v>
      </c>
      <c r="BB39" t="str">
        <f t="shared" si="26"/>
        <v>"14":{"group":"A","lot":0,"name":"0","team":"0","year":"0","division":"--","bw":"0","idx":"14","sr":"0","br":"0","row":0,"sq":{"a1":0,"a2":"","a3":"","s1":0,"s2":0,"s3":0},"bp":{"a1":0,"a2":"","a3":"","s1":0,"s2":0,"s3":0},"dl":{"a1":0,"a2":"","a3":"","s1":0,"s2":0,"s3":0},"sortOrder":0,"act":{}}</v>
      </c>
    </row>
    <row r="40" spans="5:54" x14ac:dyDescent="0.25">
      <c r="E40" s="154"/>
      <c r="F40" s="68"/>
      <c r="G40" s="68"/>
      <c r="H40" s="142"/>
      <c r="I40" s="142"/>
      <c r="J40" s="142"/>
      <c r="K40" s="142"/>
      <c r="L40" s="142"/>
      <c r="M40" s="143"/>
      <c r="N40" s="142"/>
      <c r="O40" s="142"/>
      <c r="P40" s="68"/>
      <c r="Q40" s="68"/>
      <c r="R40" s="68"/>
      <c r="S40" s="68"/>
      <c r="T40" s="89"/>
      <c r="U40" s="90"/>
      <c r="V40" s="90"/>
      <c r="W40" s="91"/>
      <c r="Z40" s="15" t="str">
        <f t="shared" si="0"/>
        <v>A</v>
      </c>
      <c r="AA40" s="8">
        <f t="shared" si="1"/>
        <v>0</v>
      </c>
      <c r="AB40" s="9">
        <f t="shared" si="8"/>
        <v>0</v>
      </c>
      <c r="AC40" s="8">
        <f t="shared" si="2"/>
        <v>0</v>
      </c>
      <c r="AD40" s="8">
        <f t="shared" si="3"/>
        <v>0</v>
      </c>
      <c r="AE40" s="8" t="str">
        <f t="shared" si="9"/>
        <v>--</v>
      </c>
      <c r="AF40" s="10">
        <f t="shared" si="10"/>
        <v>0</v>
      </c>
      <c r="AG40" s="8">
        <v>15</v>
      </c>
      <c r="AH40" s="9">
        <f t="shared" si="11"/>
        <v>0</v>
      </c>
      <c r="AI40" s="11">
        <f t="shared" si="12"/>
        <v>0</v>
      </c>
      <c r="AJ40" s="6"/>
      <c r="AK40" s="6"/>
      <c r="AL40" s="6"/>
      <c r="AN40" t="str">
        <f t="shared" si="13"/>
        <v>"15":{</v>
      </c>
      <c r="AO40" t="str">
        <f t="shared" si="14"/>
        <v>"group":"A",</v>
      </c>
      <c r="AP40" t="str">
        <f t="shared" si="15"/>
        <v>"lot":0,</v>
      </c>
      <c r="AQ40" t="str">
        <f t="shared" si="16"/>
        <v>"name":"0",</v>
      </c>
      <c r="AR40" t="str">
        <f t="shared" si="17"/>
        <v>"team":"0",</v>
      </c>
      <c r="AS40" t="str">
        <f t="shared" si="18"/>
        <v>"year":"0",</v>
      </c>
      <c r="AT40" t="str">
        <f t="shared" si="19"/>
        <v>"division":"--",</v>
      </c>
      <c r="AU40" t="str">
        <f t="shared" si="20"/>
        <v>"bw":"0",</v>
      </c>
      <c r="AV40" t="str">
        <f t="shared" si="21"/>
        <v>"idx":"15",</v>
      </c>
      <c r="AW40" t="str">
        <f t="shared" si="22"/>
        <v>"sr":"0",</v>
      </c>
      <c r="AX40" t="str">
        <f t="shared" si="23"/>
        <v>"br":"0",</v>
      </c>
      <c r="AY40" t="str">
        <f t="shared" si="24"/>
        <v>"row":0,</v>
      </c>
      <c r="AZ40" t="s">
        <v>67</v>
      </c>
      <c r="BA40" t="str">
        <f t="shared" si="25"/>
        <v>"sq":{"a1":0,"a2":"","a3":"","s1":0,"s2":0,"s3":0},"bp":{"a1":0,"a2":"","a3":"","s1":0,"s2":0,"s3":0},"dl":{"a1":0,"a2":"","a3":"","s1":0,"s2":0,"s3":0},"sortOrder":0,"act":{}}</v>
      </c>
      <c r="BB40" t="str">
        <f t="shared" si="26"/>
        <v>"15":{"group":"A","lot":0,"name":"0","team":"0","year":"0","division":"--","bw":"0","idx":"15","sr":"0","br":"0","row":0,"sq":{"a1":0,"a2":"","a3":"","s1":0,"s2":0,"s3":0},"bp":{"a1":0,"a2":"","a3":"","s1":0,"s2":0,"s3":0},"dl":{"a1":0,"a2":"","a3":"","s1":0,"s2":0,"s3":0},"sortOrder":0,"act":{}}</v>
      </c>
    </row>
    <row r="41" spans="5:54" x14ac:dyDescent="0.25">
      <c r="E41" s="154"/>
      <c r="F41" s="68"/>
      <c r="G41" s="68"/>
      <c r="H41" s="142"/>
      <c r="I41" s="142"/>
      <c r="J41" s="142"/>
      <c r="K41" s="142"/>
      <c r="L41" s="142"/>
      <c r="M41" s="143"/>
      <c r="N41" s="142"/>
      <c r="O41" s="142"/>
      <c r="P41" s="68"/>
      <c r="Q41" s="68"/>
      <c r="R41" s="68"/>
      <c r="S41" s="68"/>
      <c r="T41" s="89"/>
      <c r="U41" s="90"/>
      <c r="V41" s="90"/>
      <c r="W41" s="91"/>
      <c r="Z41" s="15" t="str">
        <f t="shared" si="0"/>
        <v>A</v>
      </c>
      <c r="AA41" s="8">
        <f t="shared" si="1"/>
        <v>0</v>
      </c>
      <c r="AB41" s="9">
        <f t="shared" si="8"/>
        <v>0</v>
      </c>
      <c r="AC41" s="8">
        <f t="shared" si="2"/>
        <v>0</v>
      </c>
      <c r="AD41" s="8">
        <f t="shared" si="3"/>
        <v>0</v>
      </c>
      <c r="AE41" s="8" t="str">
        <f t="shared" si="9"/>
        <v>--</v>
      </c>
      <c r="AF41" s="10">
        <f t="shared" si="10"/>
        <v>0</v>
      </c>
      <c r="AG41" s="8">
        <v>16</v>
      </c>
      <c r="AH41" s="9">
        <f t="shared" si="11"/>
        <v>0</v>
      </c>
      <c r="AI41" s="11">
        <f t="shared" si="12"/>
        <v>0</v>
      </c>
      <c r="AJ41" s="6"/>
      <c r="AK41" s="6"/>
      <c r="AL41" s="6"/>
      <c r="AN41" t="str">
        <f t="shared" si="13"/>
        <v>"16":{</v>
      </c>
      <c r="AO41" t="str">
        <f t="shared" si="14"/>
        <v>"group":"A",</v>
      </c>
      <c r="AP41" t="str">
        <f t="shared" si="15"/>
        <v>"lot":0,</v>
      </c>
      <c r="AQ41" t="str">
        <f t="shared" si="16"/>
        <v>"name":"0",</v>
      </c>
      <c r="AR41" t="str">
        <f t="shared" si="17"/>
        <v>"team":"0",</v>
      </c>
      <c r="AS41" t="str">
        <f t="shared" si="18"/>
        <v>"year":"0",</v>
      </c>
      <c r="AT41" t="str">
        <f t="shared" si="19"/>
        <v>"division":"--",</v>
      </c>
      <c r="AU41" t="str">
        <f t="shared" si="20"/>
        <v>"bw":"0",</v>
      </c>
      <c r="AV41" t="str">
        <f t="shared" si="21"/>
        <v>"idx":"16",</v>
      </c>
      <c r="AW41" t="str">
        <f t="shared" si="22"/>
        <v>"sr":"0",</v>
      </c>
      <c r="AX41" t="str">
        <f t="shared" si="23"/>
        <v>"br":"0",</v>
      </c>
      <c r="AY41" t="str">
        <f t="shared" si="24"/>
        <v>"row":0,</v>
      </c>
      <c r="AZ41" t="s">
        <v>67</v>
      </c>
      <c r="BA41" t="str">
        <f t="shared" si="25"/>
        <v>"sq":{"a1":0,"a2":"","a3":"","s1":0,"s2":0,"s3":0},"bp":{"a1":0,"a2":"","a3":"","s1":0,"s2":0,"s3":0},"dl":{"a1":0,"a2":"","a3":"","s1":0,"s2":0,"s3":0},"sortOrder":0,"act":{}}</v>
      </c>
      <c r="BB41" t="str">
        <f t="shared" si="26"/>
        <v>"16":{"group":"A","lot":0,"name":"0","team":"0","year":"0","division":"--","bw":"0","idx":"16","sr":"0","br":"0","row":0,"sq":{"a1":0,"a2":"","a3":"","s1":0,"s2":0,"s3":0},"bp":{"a1":0,"a2":"","a3":"","s1":0,"s2":0,"s3":0},"dl":{"a1":0,"a2":"","a3":"","s1":0,"s2":0,"s3":0},"sortOrder":0,"act":{}}</v>
      </c>
    </row>
    <row r="42" spans="5:54" x14ac:dyDescent="0.25">
      <c r="E42" s="154"/>
      <c r="F42" s="68"/>
      <c r="G42" s="68"/>
      <c r="H42" s="142"/>
      <c r="I42" s="142"/>
      <c r="J42" s="142"/>
      <c r="K42" s="142"/>
      <c r="L42" s="142"/>
      <c r="M42" s="143"/>
      <c r="N42" s="142"/>
      <c r="O42" s="142"/>
      <c r="P42" s="68"/>
      <c r="Q42" s="68"/>
      <c r="R42" s="68"/>
      <c r="S42" s="68"/>
      <c r="T42" s="89"/>
      <c r="U42" s="90"/>
      <c r="V42" s="90"/>
      <c r="W42" s="91"/>
      <c r="Z42" s="15" t="str">
        <f t="shared" si="0"/>
        <v>A</v>
      </c>
      <c r="AA42" s="8">
        <f t="shared" si="1"/>
        <v>0</v>
      </c>
      <c r="AB42" s="9">
        <f t="shared" si="8"/>
        <v>0</v>
      </c>
      <c r="AC42" s="8">
        <f t="shared" si="2"/>
        <v>0</v>
      </c>
      <c r="AD42" s="8">
        <f t="shared" si="3"/>
        <v>0</v>
      </c>
      <c r="AE42" s="8" t="str">
        <f t="shared" si="9"/>
        <v>--</v>
      </c>
      <c r="AF42" s="10">
        <f t="shared" si="10"/>
        <v>0</v>
      </c>
      <c r="AG42" s="8">
        <v>17</v>
      </c>
      <c r="AH42" s="9">
        <f t="shared" si="11"/>
        <v>0</v>
      </c>
      <c r="AI42" s="11">
        <f t="shared" si="12"/>
        <v>0</v>
      </c>
      <c r="AJ42" s="6"/>
      <c r="AK42" s="6"/>
      <c r="AL42" s="6"/>
      <c r="AN42" t="str">
        <f t="shared" si="13"/>
        <v>"17":{</v>
      </c>
      <c r="AO42" t="str">
        <f t="shared" si="14"/>
        <v>"group":"A",</v>
      </c>
      <c r="AP42" t="str">
        <f t="shared" si="15"/>
        <v>"lot":0,</v>
      </c>
      <c r="AQ42" t="str">
        <f t="shared" si="16"/>
        <v>"name":"0",</v>
      </c>
      <c r="AR42" t="str">
        <f t="shared" si="17"/>
        <v>"team":"0",</v>
      </c>
      <c r="AS42" t="str">
        <f t="shared" si="18"/>
        <v>"year":"0",</v>
      </c>
      <c r="AT42" t="str">
        <f t="shared" si="19"/>
        <v>"division":"--",</v>
      </c>
      <c r="AU42" t="str">
        <f t="shared" si="20"/>
        <v>"bw":"0",</v>
      </c>
      <c r="AV42" t="str">
        <f t="shared" si="21"/>
        <v>"idx":"17",</v>
      </c>
      <c r="AW42" t="str">
        <f t="shared" si="22"/>
        <v>"sr":"0",</v>
      </c>
      <c r="AX42" t="str">
        <f t="shared" si="23"/>
        <v>"br":"0",</v>
      </c>
      <c r="AY42" t="str">
        <f t="shared" si="24"/>
        <v>"row":0,</v>
      </c>
      <c r="AZ42" t="s">
        <v>67</v>
      </c>
      <c r="BA42" t="str">
        <f t="shared" si="25"/>
        <v>"sq":{"a1":0,"a2":"","a3":"","s1":0,"s2":0,"s3":0},"bp":{"a1":0,"a2":"","a3":"","s1":0,"s2":0,"s3":0},"dl":{"a1":0,"a2":"","a3":"","s1":0,"s2":0,"s3":0},"sortOrder":0,"act":{}}</v>
      </c>
      <c r="BB42" t="str">
        <f t="shared" si="26"/>
        <v>"17":{"group":"A","lot":0,"name":"0","team":"0","year":"0","division":"--","bw":"0","idx":"17","sr":"0","br":"0","row":0,"sq":{"a1":0,"a2":"","a3":"","s1":0,"s2":0,"s3":0},"bp":{"a1":0,"a2":"","a3":"","s1":0,"s2":0,"s3":0},"dl":{"a1":0,"a2":"","a3":"","s1":0,"s2":0,"s3":0},"sortOrder":0,"act":{}}</v>
      </c>
    </row>
    <row r="43" spans="5:54" x14ac:dyDescent="0.25">
      <c r="E43" s="154"/>
      <c r="F43" s="68"/>
      <c r="G43" s="68"/>
      <c r="H43" s="142"/>
      <c r="I43" s="142"/>
      <c r="J43" s="142"/>
      <c r="K43" s="142"/>
      <c r="L43" s="142"/>
      <c r="M43" s="143"/>
      <c r="N43" s="142"/>
      <c r="O43" s="142"/>
      <c r="P43" s="68"/>
      <c r="Q43" s="68"/>
      <c r="R43" s="68"/>
      <c r="S43" s="68"/>
      <c r="T43" s="89"/>
      <c r="U43" s="90"/>
      <c r="V43" s="90"/>
      <c r="W43" s="91"/>
      <c r="Z43" s="15" t="str">
        <f t="shared" si="0"/>
        <v>A</v>
      </c>
      <c r="AA43" s="8">
        <f t="shared" si="1"/>
        <v>0</v>
      </c>
      <c r="AB43" s="9">
        <f t="shared" si="8"/>
        <v>0</v>
      </c>
      <c r="AC43" s="8">
        <f t="shared" si="2"/>
        <v>0</v>
      </c>
      <c r="AD43" s="8">
        <f t="shared" si="3"/>
        <v>0</v>
      </c>
      <c r="AE43" s="8" t="str">
        <f t="shared" si="9"/>
        <v>--</v>
      </c>
      <c r="AF43" s="10">
        <f t="shared" si="10"/>
        <v>0</v>
      </c>
      <c r="AG43" s="8">
        <v>18</v>
      </c>
      <c r="AH43" s="9">
        <f t="shared" si="11"/>
        <v>0</v>
      </c>
      <c r="AI43" s="11">
        <f t="shared" si="12"/>
        <v>0</v>
      </c>
      <c r="AJ43" s="6"/>
      <c r="AK43" s="6"/>
      <c r="AL43" s="6"/>
      <c r="AN43" t="str">
        <f t="shared" si="13"/>
        <v>"18":{</v>
      </c>
      <c r="AO43" t="str">
        <f t="shared" si="14"/>
        <v>"group":"A",</v>
      </c>
      <c r="AP43" t="str">
        <f t="shared" si="15"/>
        <v>"lot":0,</v>
      </c>
      <c r="AQ43" t="str">
        <f t="shared" si="16"/>
        <v>"name":"0",</v>
      </c>
      <c r="AR43" t="str">
        <f t="shared" si="17"/>
        <v>"team":"0",</v>
      </c>
      <c r="AS43" t="str">
        <f t="shared" si="18"/>
        <v>"year":"0",</v>
      </c>
      <c r="AT43" t="str">
        <f t="shared" si="19"/>
        <v>"division":"--",</v>
      </c>
      <c r="AU43" t="str">
        <f t="shared" si="20"/>
        <v>"bw":"0",</v>
      </c>
      <c r="AV43" t="str">
        <f t="shared" si="21"/>
        <v>"idx":"18",</v>
      </c>
      <c r="AW43" t="str">
        <f t="shared" si="22"/>
        <v>"sr":"0",</v>
      </c>
      <c r="AX43" t="str">
        <f t="shared" si="23"/>
        <v>"br":"0",</v>
      </c>
      <c r="AY43" t="str">
        <f t="shared" si="24"/>
        <v>"row":0,</v>
      </c>
      <c r="AZ43" t="s">
        <v>67</v>
      </c>
      <c r="BA43" t="str">
        <f t="shared" si="25"/>
        <v>"sq":{"a1":0,"a2":"","a3":"","s1":0,"s2":0,"s3":0},"bp":{"a1":0,"a2":"","a3":"","s1":0,"s2":0,"s3":0},"dl":{"a1":0,"a2":"","a3":"","s1":0,"s2":0,"s3":0},"sortOrder":0,"act":{}}</v>
      </c>
      <c r="BB43" t="str">
        <f t="shared" si="26"/>
        <v>"18":{"group":"A","lot":0,"name":"0","team":"0","year":"0","division":"--","bw":"0","idx":"18","sr":"0","br":"0","row":0,"sq":{"a1":0,"a2":"","a3":"","s1":0,"s2":0,"s3":0},"bp":{"a1":0,"a2":"","a3":"","s1":0,"s2":0,"s3":0},"dl":{"a1":0,"a2":"","a3":"","s1":0,"s2":0,"s3":0},"sortOrder":0,"act":{}}</v>
      </c>
    </row>
    <row r="44" spans="5:54" x14ac:dyDescent="0.25">
      <c r="E44" s="154"/>
      <c r="F44" s="68"/>
      <c r="G44" s="68"/>
      <c r="H44" s="142"/>
      <c r="I44" s="142"/>
      <c r="J44" s="142"/>
      <c r="K44" s="142"/>
      <c r="L44" s="142"/>
      <c r="M44" s="143"/>
      <c r="N44" s="142"/>
      <c r="O44" s="142"/>
      <c r="P44" s="68"/>
      <c r="Q44" s="68"/>
      <c r="R44" s="68"/>
      <c r="S44" s="68"/>
      <c r="T44" s="89"/>
      <c r="U44" s="90"/>
      <c r="V44" s="90"/>
      <c r="W44" s="91"/>
      <c r="Z44" s="15" t="str">
        <f t="shared" si="0"/>
        <v>A</v>
      </c>
      <c r="AA44" s="8">
        <f t="shared" si="1"/>
        <v>0</v>
      </c>
      <c r="AB44" s="9">
        <f t="shared" si="8"/>
        <v>0</v>
      </c>
      <c r="AC44" s="8">
        <f t="shared" si="2"/>
        <v>0</v>
      </c>
      <c r="AD44" s="8">
        <f t="shared" si="3"/>
        <v>0</v>
      </c>
      <c r="AE44" s="8" t="str">
        <f t="shared" si="9"/>
        <v>--</v>
      </c>
      <c r="AF44" s="10">
        <f t="shared" si="10"/>
        <v>0</v>
      </c>
      <c r="AG44" s="8">
        <v>19</v>
      </c>
      <c r="AH44" s="9">
        <f t="shared" si="11"/>
        <v>0</v>
      </c>
      <c r="AI44" s="11">
        <f t="shared" si="12"/>
        <v>0</v>
      </c>
      <c r="AJ44" s="6"/>
      <c r="AK44" s="6"/>
      <c r="AL44" s="6"/>
      <c r="AN44" t="str">
        <f t="shared" si="13"/>
        <v>"19":{</v>
      </c>
      <c r="AO44" t="str">
        <f t="shared" si="14"/>
        <v>"group":"A",</v>
      </c>
      <c r="AP44" t="str">
        <f t="shared" si="15"/>
        <v>"lot":0,</v>
      </c>
      <c r="AQ44" t="str">
        <f t="shared" si="16"/>
        <v>"name":"0",</v>
      </c>
      <c r="AR44" t="str">
        <f t="shared" si="17"/>
        <v>"team":"0",</v>
      </c>
      <c r="AS44" t="str">
        <f t="shared" si="18"/>
        <v>"year":"0",</v>
      </c>
      <c r="AT44" t="str">
        <f t="shared" si="19"/>
        <v>"division":"--",</v>
      </c>
      <c r="AU44" t="str">
        <f t="shared" si="20"/>
        <v>"bw":"0",</v>
      </c>
      <c r="AV44" t="str">
        <f t="shared" si="21"/>
        <v>"idx":"19",</v>
      </c>
      <c r="AW44" t="str">
        <f t="shared" si="22"/>
        <v>"sr":"0",</v>
      </c>
      <c r="AX44" t="str">
        <f t="shared" si="23"/>
        <v>"br":"0",</v>
      </c>
      <c r="AY44" t="str">
        <f t="shared" si="24"/>
        <v>"row":0,</v>
      </c>
      <c r="AZ44" t="s">
        <v>67</v>
      </c>
      <c r="BA44" t="str">
        <f t="shared" si="25"/>
        <v>"sq":{"a1":0,"a2":"","a3":"","s1":0,"s2":0,"s3":0},"bp":{"a1":0,"a2":"","a3":"","s1":0,"s2":0,"s3":0},"dl":{"a1":0,"a2":"","a3":"","s1":0,"s2":0,"s3":0},"sortOrder":0,"act":{}}</v>
      </c>
      <c r="BB44" t="str">
        <f t="shared" si="26"/>
        <v>"19":{"group":"A","lot":0,"name":"0","team":"0","year":"0","division":"--","bw":"0","idx":"19","sr":"0","br":"0","row":0,"sq":{"a1":0,"a2":"","a3":"","s1":0,"s2":0,"s3":0},"bp":{"a1":0,"a2":"","a3":"","s1":0,"s2":0,"s3":0},"dl":{"a1":0,"a2":"","a3":"","s1":0,"s2":0,"s3":0},"sortOrder":0,"act":{}}</v>
      </c>
    </row>
    <row r="45" spans="5:54" x14ac:dyDescent="0.25">
      <c r="E45" s="154"/>
      <c r="F45" s="68"/>
      <c r="G45" s="68"/>
      <c r="H45" s="142"/>
      <c r="I45" s="142"/>
      <c r="J45" s="142"/>
      <c r="K45" s="142"/>
      <c r="L45" s="142"/>
      <c r="M45" s="143"/>
      <c r="N45" s="142"/>
      <c r="O45" s="142"/>
      <c r="P45" s="68"/>
      <c r="Q45" s="68"/>
      <c r="R45" s="68"/>
      <c r="S45" s="68"/>
      <c r="T45" s="89"/>
      <c r="U45" s="90"/>
      <c r="V45" s="90"/>
      <c r="W45" s="91"/>
      <c r="Z45" s="15" t="str">
        <f t="shared" si="0"/>
        <v>A</v>
      </c>
      <c r="AA45" s="8">
        <f t="shared" si="1"/>
        <v>0</v>
      </c>
      <c r="AB45" s="9">
        <f t="shared" si="8"/>
        <v>0</v>
      </c>
      <c r="AC45" s="8">
        <f t="shared" si="2"/>
        <v>0</v>
      </c>
      <c r="AD45" s="8">
        <f t="shared" si="3"/>
        <v>0</v>
      </c>
      <c r="AE45" s="8" t="str">
        <f t="shared" si="9"/>
        <v>--</v>
      </c>
      <c r="AF45" s="10">
        <f t="shared" si="10"/>
        <v>0</v>
      </c>
      <c r="AG45" s="8">
        <v>20</v>
      </c>
      <c r="AH45" s="9">
        <f t="shared" si="11"/>
        <v>0</v>
      </c>
      <c r="AI45" s="11">
        <f t="shared" si="12"/>
        <v>0</v>
      </c>
      <c r="AJ45" s="6"/>
      <c r="AK45" s="6"/>
      <c r="AL45" s="6"/>
      <c r="AN45" t="str">
        <f t="shared" si="13"/>
        <v>"20":{</v>
      </c>
      <c r="AO45" t="str">
        <f t="shared" si="14"/>
        <v>"group":"A",</v>
      </c>
      <c r="AP45" t="str">
        <f t="shared" si="15"/>
        <v>"lot":0,</v>
      </c>
      <c r="AQ45" t="str">
        <f t="shared" si="16"/>
        <v>"name":"0",</v>
      </c>
      <c r="AR45" t="str">
        <f t="shared" si="17"/>
        <v>"team":"0",</v>
      </c>
      <c r="AS45" t="str">
        <f t="shared" si="18"/>
        <v>"year":"0",</v>
      </c>
      <c r="AT45" t="str">
        <f t="shared" si="19"/>
        <v>"division":"--",</v>
      </c>
      <c r="AU45" t="str">
        <f t="shared" si="20"/>
        <v>"bw":"0",</v>
      </c>
      <c r="AV45" t="str">
        <f t="shared" si="21"/>
        <v>"idx":"20",</v>
      </c>
      <c r="AW45" t="str">
        <f t="shared" si="22"/>
        <v>"sr":"0",</v>
      </c>
      <c r="AX45" t="str">
        <f t="shared" si="23"/>
        <v>"br":"0",</v>
      </c>
      <c r="AY45" t="str">
        <f t="shared" si="24"/>
        <v>"row":0,</v>
      </c>
      <c r="AZ45" t="s">
        <v>67</v>
      </c>
      <c r="BA45" t="str">
        <f t="shared" si="25"/>
        <v>"sq":{"a1":0,"a2":"","a3":"","s1":0,"s2":0,"s3":0},"bp":{"a1":0,"a2":"","a3":"","s1":0,"s2":0,"s3":0},"dl":{"a1":0,"a2":"","a3":"","s1":0,"s2":0,"s3":0},"sortOrder":0,"act":{}}</v>
      </c>
      <c r="BB45" t="str">
        <f t="shared" si="26"/>
        <v>"20":{"group":"A","lot":0,"name":"0","team":"0","year":"0","division":"--","bw":"0","idx":"20","sr":"0","br":"0","row":0,"sq":{"a1":0,"a2":"","a3":"","s1":0,"s2":0,"s3":0},"bp":{"a1":0,"a2":"","a3":"","s1":0,"s2":0,"s3":0},"dl":{"a1":0,"a2":"","a3":"","s1":0,"s2":0,"s3":0},"sortOrder":0,"act":{}}</v>
      </c>
    </row>
    <row r="46" spans="5:54" x14ac:dyDescent="0.25">
      <c r="E46" s="154"/>
      <c r="F46" s="68"/>
      <c r="G46" s="68"/>
      <c r="H46" s="142"/>
      <c r="I46" s="142"/>
      <c r="J46" s="142"/>
      <c r="K46" s="142"/>
      <c r="L46" s="142"/>
      <c r="M46" s="143"/>
      <c r="N46" s="142"/>
      <c r="O46" s="142"/>
      <c r="P46" s="68"/>
      <c r="Q46" s="68"/>
      <c r="R46" s="68"/>
      <c r="S46" s="68"/>
      <c r="T46" s="89"/>
      <c r="U46" s="90"/>
      <c r="V46" s="90"/>
      <c r="W46" s="91"/>
      <c r="Z46" s="15" t="str">
        <f t="shared" si="0"/>
        <v>A</v>
      </c>
      <c r="AA46" s="8">
        <f t="shared" si="1"/>
        <v>0</v>
      </c>
      <c r="AB46" s="9">
        <f t="shared" si="8"/>
        <v>0</v>
      </c>
      <c r="AC46" s="8">
        <f t="shared" si="2"/>
        <v>0</v>
      </c>
      <c r="AD46" s="8">
        <f t="shared" si="3"/>
        <v>0</v>
      </c>
      <c r="AE46" s="8" t="str">
        <f t="shared" si="9"/>
        <v>--</v>
      </c>
      <c r="AF46" s="10">
        <f t="shared" si="10"/>
        <v>0</v>
      </c>
      <c r="AG46" s="8">
        <v>21</v>
      </c>
      <c r="AH46" s="9">
        <f t="shared" si="11"/>
        <v>0</v>
      </c>
      <c r="AI46" s="11">
        <f t="shared" si="12"/>
        <v>0</v>
      </c>
      <c r="AJ46" s="6"/>
      <c r="AK46" s="6"/>
      <c r="AL46" s="6"/>
      <c r="AN46" t="str">
        <f t="shared" si="13"/>
        <v>"21":{</v>
      </c>
      <c r="AO46" t="str">
        <f t="shared" si="14"/>
        <v>"group":"A",</v>
      </c>
      <c r="AP46" t="str">
        <f t="shared" si="15"/>
        <v>"lot":0,</v>
      </c>
      <c r="AQ46" t="str">
        <f t="shared" si="16"/>
        <v>"name":"0",</v>
      </c>
      <c r="AR46" t="str">
        <f t="shared" si="17"/>
        <v>"team":"0",</v>
      </c>
      <c r="AS46" t="str">
        <f t="shared" si="18"/>
        <v>"year":"0",</v>
      </c>
      <c r="AT46" t="str">
        <f t="shared" si="19"/>
        <v>"division":"--",</v>
      </c>
      <c r="AU46" t="str">
        <f t="shared" si="20"/>
        <v>"bw":"0",</v>
      </c>
      <c r="AV46" t="str">
        <f t="shared" si="21"/>
        <v>"idx":"21",</v>
      </c>
      <c r="AW46" t="str">
        <f t="shared" si="22"/>
        <v>"sr":"0",</v>
      </c>
      <c r="AX46" t="str">
        <f t="shared" si="23"/>
        <v>"br":"0",</v>
      </c>
      <c r="AY46" t="str">
        <f t="shared" si="24"/>
        <v>"row":0,</v>
      </c>
      <c r="AZ46" t="s">
        <v>67</v>
      </c>
      <c r="BA46" t="str">
        <f t="shared" si="25"/>
        <v>"sq":{"a1":0,"a2":"","a3":"","s1":0,"s2":0,"s3":0},"bp":{"a1":0,"a2":"","a3":"","s1":0,"s2":0,"s3":0},"dl":{"a1":0,"a2":"","a3":"","s1":0,"s2":0,"s3":0},"sortOrder":0,"act":{}}</v>
      </c>
      <c r="BB46" t="str">
        <f t="shared" si="26"/>
        <v>"21":{"group":"A","lot":0,"name":"0","team":"0","year":"0","division":"--","bw":"0","idx":"21","sr":"0","br":"0","row":0,"sq":{"a1":0,"a2":"","a3":"","s1":0,"s2":0,"s3":0},"bp":{"a1":0,"a2":"","a3":"","s1":0,"s2":0,"s3":0},"dl":{"a1":0,"a2":"","a3":"","s1":0,"s2":0,"s3":0},"sortOrder":0,"act":{}}</v>
      </c>
    </row>
    <row r="47" spans="5:54" x14ac:dyDescent="0.25">
      <c r="E47" s="155"/>
      <c r="F47" s="70"/>
      <c r="G47" s="70"/>
      <c r="H47" s="144"/>
      <c r="I47" s="144"/>
      <c r="J47" s="144"/>
      <c r="K47" s="144"/>
      <c r="L47" s="144"/>
      <c r="M47" s="145"/>
      <c r="N47" s="144"/>
      <c r="O47" s="144"/>
      <c r="P47" s="70"/>
      <c r="Q47" s="70"/>
      <c r="R47" s="70"/>
      <c r="S47" s="70"/>
      <c r="T47" s="92"/>
      <c r="U47" s="93"/>
      <c r="V47" s="93"/>
      <c r="W47" s="94"/>
      <c r="Z47" s="15" t="str">
        <f t="shared" si="0"/>
        <v>A</v>
      </c>
      <c r="AA47" s="8">
        <f t="shared" si="1"/>
        <v>0</v>
      </c>
      <c r="AB47" s="9">
        <f t="shared" si="8"/>
        <v>0</v>
      </c>
      <c r="AC47" s="8">
        <f t="shared" si="2"/>
        <v>0</v>
      </c>
      <c r="AD47" s="8">
        <f t="shared" si="3"/>
        <v>0</v>
      </c>
      <c r="AE47" s="8" t="str">
        <f t="shared" si="9"/>
        <v>--</v>
      </c>
      <c r="AF47" s="10">
        <f t="shared" si="10"/>
        <v>0</v>
      </c>
      <c r="AG47" s="8">
        <v>22</v>
      </c>
      <c r="AH47" s="9">
        <f t="shared" si="11"/>
        <v>0</v>
      </c>
      <c r="AI47" s="11">
        <f t="shared" si="12"/>
        <v>0</v>
      </c>
      <c r="AJ47" s="6"/>
      <c r="AK47" s="6"/>
      <c r="AL47" s="6"/>
      <c r="AN47" t="str">
        <f t="shared" si="13"/>
        <v>"22":{</v>
      </c>
      <c r="AO47" t="str">
        <f t="shared" si="14"/>
        <v>"group":"A",</v>
      </c>
      <c r="AP47" t="str">
        <f t="shared" si="15"/>
        <v>"lot":0,</v>
      </c>
      <c r="AQ47" t="str">
        <f t="shared" si="16"/>
        <v>"name":"0",</v>
      </c>
      <c r="AR47" t="str">
        <f t="shared" si="17"/>
        <v>"team":"0",</v>
      </c>
      <c r="AS47" t="str">
        <f t="shared" si="18"/>
        <v>"year":"0",</v>
      </c>
      <c r="AT47" t="str">
        <f t="shared" si="19"/>
        <v>"division":"--",</v>
      </c>
      <c r="AU47" t="str">
        <f t="shared" si="20"/>
        <v>"bw":"0",</v>
      </c>
      <c r="AV47" t="str">
        <f t="shared" si="21"/>
        <v>"idx":"22",</v>
      </c>
      <c r="AW47" t="str">
        <f t="shared" si="22"/>
        <v>"sr":"0",</v>
      </c>
      <c r="AX47" t="str">
        <f t="shared" si="23"/>
        <v>"br":"0",</v>
      </c>
      <c r="AY47" t="str">
        <f t="shared" si="24"/>
        <v>"row":0,</v>
      </c>
      <c r="AZ47" t="s">
        <v>67</v>
      </c>
      <c r="BA47" t="str">
        <f t="shared" si="25"/>
        <v>"sq":{"a1":0,"a2":"","a3":"","s1":0,"s2":0,"s3":0},"bp":{"a1":0,"a2":"","a3":"","s1":0,"s2":0,"s3":0},"dl":{"a1":0,"a2":"","a3":"","s1":0,"s2":0,"s3":0},"sortOrder":0,"act":{}}</v>
      </c>
      <c r="BB47" t="str">
        <f t="shared" si="26"/>
        <v>"22":{"group":"A","lot":0,"name":"0","team":"0","year":"0","division":"--","bw":"0","idx":"22","sr":"0","br":"0","row":0,"sq":{"a1":0,"a2":"","a3":"","s1":0,"s2":0,"s3":0},"bp":{"a1":0,"a2":"","a3":"","s1":0,"s2":0,"s3":0},"dl":{"a1":0,"a2":"","a3":"","s1":0,"s2":0,"s3":0},"sortOrder":0,"act":{}}</v>
      </c>
    </row>
    <row r="48" spans="5:54" x14ac:dyDescent="0.25">
      <c r="E48" s="155"/>
      <c r="F48" s="70"/>
      <c r="G48" s="70"/>
      <c r="H48" s="144"/>
      <c r="I48" s="144"/>
      <c r="J48" s="144"/>
      <c r="K48" s="144"/>
      <c r="L48" s="144"/>
      <c r="M48" s="145"/>
      <c r="N48" s="144"/>
      <c r="O48" s="144"/>
      <c r="P48" s="70"/>
      <c r="Q48" s="70"/>
      <c r="R48" s="70"/>
      <c r="S48" s="70"/>
      <c r="T48" s="92"/>
      <c r="U48" s="93"/>
      <c r="V48" s="93"/>
      <c r="W48" s="94"/>
      <c r="Z48" s="15" t="str">
        <f t="shared" si="0"/>
        <v>A</v>
      </c>
      <c r="AA48" s="8">
        <f t="shared" si="1"/>
        <v>0</v>
      </c>
      <c r="AB48" s="9">
        <f t="shared" si="8"/>
        <v>0</v>
      </c>
      <c r="AC48" s="8">
        <f t="shared" si="2"/>
        <v>0</v>
      </c>
      <c r="AD48" s="8">
        <f t="shared" si="3"/>
        <v>0</v>
      </c>
      <c r="AE48" s="8" t="str">
        <f t="shared" si="9"/>
        <v>--</v>
      </c>
      <c r="AF48" s="10">
        <f t="shared" si="10"/>
        <v>0</v>
      </c>
      <c r="AG48" s="8">
        <v>23</v>
      </c>
      <c r="AH48" s="9">
        <f t="shared" si="11"/>
        <v>0</v>
      </c>
      <c r="AI48" s="11">
        <f t="shared" si="12"/>
        <v>0</v>
      </c>
      <c r="AJ48" s="6"/>
      <c r="AK48" s="6"/>
      <c r="AL48" s="6"/>
      <c r="AN48" t="str">
        <f t="shared" si="13"/>
        <v>"23":{</v>
      </c>
      <c r="AO48" t="str">
        <f t="shared" si="14"/>
        <v>"group":"A",</v>
      </c>
      <c r="AP48" t="str">
        <f t="shared" si="15"/>
        <v>"lot":0,</v>
      </c>
      <c r="AQ48" t="str">
        <f t="shared" si="16"/>
        <v>"name":"0",</v>
      </c>
      <c r="AR48" t="str">
        <f t="shared" si="17"/>
        <v>"team":"0",</v>
      </c>
      <c r="AS48" t="str">
        <f t="shared" si="18"/>
        <v>"year":"0",</v>
      </c>
      <c r="AT48" t="str">
        <f t="shared" si="19"/>
        <v>"division":"--",</v>
      </c>
      <c r="AU48" t="str">
        <f t="shared" si="20"/>
        <v>"bw":"0",</v>
      </c>
      <c r="AV48" t="str">
        <f t="shared" si="21"/>
        <v>"idx":"23",</v>
      </c>
      <c r="AW48" t="str">
        <f t="shared" si="22"/>
        <v>"sr":"0",</v>
      </c>
      <c r="AX48" t="str">
        <f t="shared" si="23"/>
        <v>"br":"0",</v>
      </c>
      <c r="AY48" t="str">
        <f t="shared" si="24"/>
        <v>"row":0,</v>
      </c>
      <c r="AZ48" t="s">
        <v>67</v>
      </c>
      <c r="BA48" t="str">
        <f t="shared" si="25"/>
        <v>"sq":{"a1":0,"a2":"","a3":"","s1":0,"s2":0,"s3":0},"bp":{"a1":0,"a2":"","a3":"","s1":0,"s2":0,"s3":0},"dl":{"a1":0,"a2":"","a3":"","s1":0,"s2":0,"s3":0},"sortOrder":0,"act":{}}</v>
      </c>
      <c r="BB48" t="str">
        <f t="shared" si="26"/>
        <v>"23":{"group":"A","lot":0,"name":"0","team":"0","year":"0","division":"--","bw":"0","idx":"23","sr":"0","br":"0","row":0,"sq":{"a1":0,"a2":"","a3":"","s1":0,"s2":0,"s3":0},"bp":{"a1":0,"a2":"","a3":"","s1":0,"s2":0,"s3":0},"dl":{"a1":0,"a2":"","a3":"","s1":0,"s2":0,"s3":0},"sortOrder":0,"act":{}}</v>
      </c>
    </row>
    <row r="49" spans="5:54" x14ac:dyDescent="0.25">
      <c r="E49" s="155"/>
      <c r="F49" s="70"/>
      <c r="G49" s="70"/>
      <c r="H49" s="144"/>
      <c r="I49" s="144"/>
      <c r="J49" s="144"/>
      <c r="K49" s="144"/>
      <c r="L49" s="144"/>
      <c r="M49" s="145"/>
      <c r="N49" s="144"/>
      <c r="O49" s="144"/>
      <c r="P49" s="70"/>
      <c r="Q49" s="70"/>
      <c r="R49" s="70"/>
      <c r="S49" s="70"/>
      <c r="T49" s="92"/>
      <c r="U49" s="93"/>
      <c r="V49" s="93"/>
      <c r="W49" s="94"/>
      <c r="Z49" s="15" t="str">
        <f t="shared" si="0"/>
        <v>A</v>
      </c>
      <c r="AA49" s="8">
        <f t="shared" si="1"/>
        <v>0</v>
      </c>
      <c r="AB49" s="9">
        <f t="shared" si="8"/>
        <v>0</v>
      </c>
      <c r="AC49" s="8">
        <f t="shared" si="2"/>
        <v>0</v>
      </c>
      <c r="AD49" s="8">
        <f t="shared" si="3"/>
        <v>0</v>
      </c>
      <c r="AE49" s="8" t="str">
        <f t="shared" si="9"/>
        <v>--</v>
      </c>
      <c r="AF49" s="10">
        <f t="shared" si="10"/>
        <v>0</v>
      </c>
      <c r="AG49" s="8">
        <v>24</v>
      </c>
      <c r="AH49" s="9">
        <f t="shared" si="11"/>
        <v>0</v>
      </c>
      <c r="AI49" s="11">
        <f t="shared" si="12"/>
        <v>0</v>
      </c>
      <c r="AJ49" s="6"/>
      <c r="AK49" s="6"/>
      <c r="AL49" s="6"/>
      <c r="AN49" t="str">
        <f t="shared" si="13"/>
        <v>"24":{</v>
      </c>
      <c r="AO49" t="str">
        <f t="shared" si="14"/>
        <v>"group":"A",</v>
      </c>
      <c r="AP49" t="str">
        <f t="shared" si="15"/>
        <v>"lot":0,</v>
      </c>
      <c r="AQ49" t="str">
        <f t="shared" si="16"/>
        <v>"name":"0",</v>
      </c>
      <c r="AR49" t="str">
        <f t="shared" si="17"/>
        <v>"team":"0",</v>
      </c>
      <c r="AS49" t="str">
        <f t="shared" si="18"/>
        <v>"year":"0",</v>
      </c>
      <c r="AT49" t="str">
        <f t="shared" si="19"/>
        <v>"division":"--",</v>
      </c>
      <c r="AU49" t="str">
        <f t="shared" si="20"/>
        <v>"bw":"0",</v>
      </c>
      <c r="AV49" t="str">
        <f t="shared" si="21"/>
        <v>"idx":"24",</v>
      </c>
      <c r="AW49" t="str">
        <f t="shared" si="22"/>
        <v>"sr":"0",</v>
      </c>
      <c r="AX49" t="str">
        <f t="shared" si="23"/>
        <v>"br":"0",</v>
      </c>
      <c r="AY49" t="str">
        <f t="shared" si="24"/>
        <v>"row":0,</v>
      </c>
      <c r="AZ49" t="s">
        <v>67</v>
      </c>
      <c r="BA49" t="str">
        <f t="shared" si="25"/>
        <v>"sq":{"a1":0,"a2":"","a3":"","s1":0,"s2":0,"s3":0},"bp":{"a1":0,"a2":"","a3":"","s1":0,"s2":0,"s3":0},"dl":{"a1":0,"a2":"","a3":"","s1":0,"s2":0,"s3":0},"sortOrder":0,"act":{}}</v>
      </c>
      <c r="BB49" t="str">
        <f t="shared" si="26"/>
        <v>"24":{"group":"A","lot":0,"name":"0","team":"0","year":"0","division":"--","bw":"0","idx":"24","sr":"0","br":"0","row":0,"sq":{"a1":0,"a2":"","a3":"","s1":0,"s2":0,"s3":0},"bp":{"a1":0,"a2":"","a3":"","s1":0,"s2":0,"s3":0},"dl":{"a1":0,"a2":"","a3":"","s1":0,"s2":0,"s3":0},"sortOrder":0,"act":{}}</v>
      </c>
    </row>
    <row r="50" spans="5:54" x14ac:dyDescent="0.25">
      <c r="E50" s="155"/>
      <c r="F50" s="70"/>
      <c r="G50" s="70"/>
      <c r="H50" s="144"/>
      <c r="I50" s="144"/>
      <c r="J50" s="144"/>
      <c r="K50" s="144"/>
      <c r="L50" s="144"/>
      <c r="M50" s="145"/>
      <c r="N50" s="144"/>
      <c r="O50" s="144"/>
      <c r="P50" s="70"/>
      <c r="Q50" s="70"/>
      <c r="R50" s="70"/>
      <c r="S50" s="70"/>
      <c r="T50" s="92"/>
      <c r="U50" s="93"/>
      <c r="V50" s="93"/>
      <c r="W50" s="94"/>
      <c r="Z50" s="15" t="str">
        <f t="shared" si="0"/>
        <v>A</v>
      </c>
      <c r="AA50" s="8">
        <f t="shared" si="1"/>
        <v>0</v>
      </c>
      <c r="AB50" s="9">
        <f t="shared" si="8"/>
        <v>0</v>
      </c>
      <c r="AC50" s="8">
        <f t="shared" si="2"/>
        <v>0</v>
      </c>
      <c r="AD50" s="8">
        <f t="shared" si="3"/>
        <v>0</v>
      </c>
      <c r="AE50" s="8" t="str">
        <f t="shared" si="9"/>
        <v>--</v>
      </c>
      <c r="AF50" s="10">
        <f t="shared" si="10"/>
        <v>0</v>
      </c>
      <c r="AG50" s="8">
        <v>25</v>
      </c>
      <c r="AH50" s="9">
        <f t="shared" si="11"/>
        <v>0</v>
      </c>
      <c r="AI50" s="11">
        <f t="shared" si="12"/>
        <v>0</v>
      </c>
      <c r="AJ50" s="6"/>
      <c r="AK50" s="6"/>
      <c r="AL50" s="6"/>
      <c r="AN50" t="str">
        <f t="shared" si="13"/>
        <v>"25":{</v>
      </c>
      <c r="AO50" t="str">
        <f t="shared" si="14"/>
        <v>"group":"A",</v>
      </c>
      <c r="AP50" t="str">
        <f t="shared" si="15"/>
        <v>"lot":0,</v>
      </c>
      <c r="AQ50" t="str">
        <f t="shared" si="16"/>
        <v>"name":"0",</v>
      </c>
      <c r="AR50" t="str">
        <f t="shared" si="17"/>
        <v>"team":"0",</v>
      </c>
      <c r="AS50" t="str">
        <f t="shared" si="18"/>
        <v>"year":"0",</v>
      </c>
      <c r="AT50" t="str">
        <f t="shared" si="19"/>
        <v>"division":"--",</v>
      </c>
      <c r="AU50" t="str">
        <f t="shared" si="20"/>
        <v>"bw":"0",</v>
      </c>
      <c r="AV50" t="str">
        <f t="shared" si="21"/>
        <v>"idx":"25",</v>
      </c>
      <c r="AW50" t="str">
        <f t="shared" si="22"/>
        <v>"sr":"0",</v>
      </c>
      <c r="AX50" t="str">
        <f t="shared" si="23"/>
        <v>"br":"0",</v>
      </c>
      <c r="AY50" t="str">
        <f t="shared" si="24"/>
        <v>"row":0,</v>
      </c>
      <c r="AZ50" t="s">
        <v>67</v>
      </c>
      <c r="BA50" t="str">
        <f t="shared" si="25"/>
        <v>"sq":{"a1":0,"a2":"","a3":"","s1":0,"s2":0,"s3":0},"bp":{"a1":0,"a2":"","a3":"","s1":0,"s2":0,"s3":0},"dl":{"a1":0,"a2":"","a3":"","s1":0,"s2":0,"s3":0},"sortOrder":0,"act":{}}</v>
      </c>
      <c r="BB50" t="str">
        <f t="shared" si="26"/>
        <v>"25":{"group":"A","lot":0,"name":"0","team":"0","year":"0","division":"--","bw":"0","idx":"25","sr":"0","br":"0","row":0,"sq":{"a1":0,"a2":"","a3":"","s1":0,"s2":0,"s3":0},"bp":{"a1":0,"a2":"","a3":"","s1":0,"s2":0,"s3":0},"dl":{"a1":0,"a2":"","a3":"","s1":0,"s2":0,"s3":0},"sortOrder":0,"act":{}}</v>
      </c>
    </row>
    <row r="51" spans="5:54" x14ac:dyDescent="0.25">
      <c r="E51" s="155"/>
      <c r="F51" s="70"/>
      <c r="G51" s="70"/>
      <c r="H51" s="144"/>
      <c r="I51" s="144"/>
      <c r="J51" s="144"/>
      <c r="K51" s="144"/>
      <c r="L51" s="144"/>
      <c r="M51" s="145"/>
      <c r="N51" s="144"/>
      <c r="O51" s="144"/>
      <c r="P51" s="70"/>
      <c r="Q51" s="70"/>
      <c r="R51" s="70"/>
      <c r="S51" s="70"/>
      <c r="T51" s="92"/>
      <c r="U51" s="93"/>
      <c r="V51" s="93"/>
      <c r="W51" s="94"/>
      <c r="Z51" s="15" t="str">
        <f t="shared" si="0"/>
        <v>A</v>
      </c>
      <c r="AA51" s="8">
        <f t="shared" si="1"/>
        <v>0</v>
      </c>
      <c r="AB51" s="9">
        <f t="shared" si="8"/>
        <v>0</v>
      </c>
      <c r="AC51" s="8">
        <f t="shared" si="2"/>
        <v>0</v>
      </c>
      <c r="AD51" s="8">
        <f t="shared" si="3"/>
        <v>0</v>
      </c>
      <c r="AE51" s="8" t="str">
        <f t="shared" si="9"/>
        <v>--</v>
      </c>
      <c r="AF51" s="10">
        <f t="shared" si="10"/>
        <v>0</v>
      </c>
      <c r="AG51" s="8">
        <v>26</v>
      </c>
      <c r="AH51" s="9">
        <f t="shared" si="11"/>
        <v>0</v>
      </c>
      <c r="AI51" s="11">
        <f t="shared" si="12"/>
        <v>0</v>
      </c>
      <c r="AJ51" s="6"/>
      <c r="AK51" s="6"/>
      <c r="AL51" s="6"/>
      <c r="AN51" t="str">
        <f t="shared" si="13"/>
        <v>"26":{</v>
      </c>
      <c r="AO51" t="str">
        <f t="shared" si="14"/>
        <v>"group":"A",</v>
      </c>
      <c r="AP51" t="str">
        <f t="shared" si="15"/>
        <v>"lot":0,</v>
      </c>
      <c r="AQ51" t="str">
        <f t="shared" si="16"/>
        <v>"name":"0",</v>
      </c>
      <c r="AR51" t="str">
        <f t="shared" si="17"/>
        <v>"team":"0",</v>
      </c>
      <c r="AS51" t="str">
        <f t="shared" si="18"/>
        <v>"year":"0",</v>
      </c>
      <c r="AT51" t="str">
        <f t="shared" si="19"/>
        <v>"division":"--",</v>
      </c>
      <c r="AU51" t="str">
        <f t="shared" si="20"/>
        <v>"bw":"0",</v>
      </c>
      <c r="AV51" t="str">
        <f t="shared" si="21"/>
        <v>"idx":"26",</v>
      </c>
      <c r="AW51" t="str">
        <f t="shared" si="22"/>
        <v>"sr":"0",</v>
      </c>
      <c r="AX51" t="str">
        <f t="shared" si="23"/>
        <v>"br":"0",</v>
      </c>
      <c r="AY51" t="str">
        <f t="shared" si="24"/>
        <v>"row":0,</v>
      </c>
      <c r="AZ51" t="s">
        <v>67</v>
      </c>
      <c r="BA51" t="str">
        <f t="shared" si="25"/>
        <v>"sq":{"a1":0,"a2":"","a3":"","s1":0,"s2":0,"s3":0},"bp":{"a1":0,"a2":"","a3":"","s1":0,"s2":0,"s3":0},"dl":{"a1":0,"a2":"","a3":"","s1":0,"s2":0,"s3":0},"sortOrder":0,"act":{}}</v>
      </c>
      <c r="BB51" t="str">
        <f t="shared" si="26"/>
        <v>"26":{"group":"A","lot":0,"name":"0","team":"0","year":"0","division":"--","bw":"0","idx":"26","sr":"0","br":"0","row":0,"sq":{"a1":0,"a2":"","a3":"","s1":0,"s2":0,"s3":0},"bp":{"a1":0,"a2":"","a3":"","s1":0,"s2":0,"s3":0},"dl":{"a1":0,"a2":"","a3":"","s1":0,"s2":0,"s3":0},"sortOrder":0,"act":{}}</v>
      </c>
    </row>
    <row r="52" spans="5:54" x14ac:dyDescent="0.25">
      <c r="E52" s="155"/>
      <c r="F52" s="70"/>
      <c r="G52" s="70"/>
      <c r="H52" s="144"/>
      <c r="I52" s="144"/>
      <c r="J52" s="144"/>
      <c r="K52" s="144"/>
      <c r="L52" s="144"/>
      <c r="M52" s="145"/>
      <c r="N52" s="144"/>
      <c r="O52" s="144"/>
      <c r="P52" s="70"/>
      <c r="Q52" s="70"/>
      <c r="R52" s="70"/>
      <c r="S52" s="70"/>
      <c r="T52" s="92"/>
      <c r="U52" s="93"/>
      <c r="V52" s="93"/>
      <c r="W52" s="94"/>
      <c r="Z52" s="15" t="str">
        <f>IF(Q52="","A",PROPER(Q52))</f>
        <v>A</v>
      </c>
      <c r="AA52" s="8">
        <f t="shared" si="1"/>
        <v>0</v>
      </c>
      <c r="AB52" s="9">
        <f t="shared" si="8"/>
        <v>0</v>
      </c>
      <c r="AC52" s="8">
        <f t="shared" si="2"/>
        <v>0</v>
      </c>
      <c r="AD52" s="8">
        <f t="shared" si="3"/>
        <v>0</v>
      </c>
      <c r="AE52" s="8" t="str">
        <f t="shared" si="9"/>
        <v>--</v>
      </c>
      <c r="AF52" s="10">
        <f t="shared" si="10"/>
        <v>0</v>
      </c>
      <c r="AG52" s="8">
        <v>26</v>
      </c>
      <c r="AH52" s="9">
        <f t="shared" si="11"/>
        <v>0</v>
      </c>
      <c r="AI52" s="11">
        <f t="shared" si="12"/>
        <v>0</v>
      </c>
      <c r="AJ52" s="6"/>
      <c r="AK52" s="6"/>
      <c r="AL52" s="6"/>
      <c r="AN52" t="str">
        <f t="shared" si="13"/>
        <v>"26":{</v>
      </c>
      <c r="AO52" t="str">
        <f t="shared" si="14"/>
        <v>"group":"A",</v>
      </c>
      <c r="AP52" t="str">
        <f t="shared" si="15"/>
        <v>"lot":0,</v>
      </c>
      <c r="AQ52" t="str">
        <f t="shared" si="16"/>
        <v>"name":"0",</v>
      </c>
      <c r="AR52" t="str">
        <f t="shared" si="17"/>
        <v>"team":"0",</v>
      </c>
      <c r="AS52" t="str">
        <f t="shared" si="18"/>
        <v>"year":"0",</v>
      </c>
      <c r="AT52" t="str">
        <f t="shared" si="19"/>
        <v>"division":"--",</v>
      </c>
      <c r="AU52" t="str">
        <f t="shared" si="20"/>
        <v>"bw":"0",</v>
      </c>
      <c r="AV52" t="str">
        <f t="shared" si="21"/>
        <v>"idx":"26",</v>
      </c>
      <c r="AW52" t="str">
        <f t="shared" si="22"/>
        <v>"sr":"0",</v>
      </c>
      <c r="AX52" t="str">
        <f t="shared" si="23"/>
        <v>"br":"0",</v>
      </c>
      <c r="AY52" t="str">
        <f t="shared" si="24"/>
        <v>"row":0,</v>
      </c>
      <c r="AZ52" t="s">
        <v>67</v>
      </c>
      <c r="BA52" t="str">
        <f t="shared" si="25"/>
        <v>"sq":{"a1":0,"a2":"","a3":"","s1":0,"s2":0,"s3":0},"bp":{"a1":0,"a2":"","a3":"","s1":0,"s2":0,"s3":0},"dl":{"a1":0,"a2":"","a3":"","s1":0,"s2":0,"s3":0},"sortOrder":0,"act":{}}</v>
      </c>
      <c r="BB52" t="str">
        <f t="shared" si="26"/>
        <v>"26":{"group":"A","lot":0,"name":"0","team":"0","year":"0","division":"--","bw":"0","idx":"26","sr":"0","br":"0","row":0,"sq":{"a1":0,"a2":"","a3":"","s1":0,"s2":0,"s3":0},"bp":{"a1":0,"a2":"","a3":"","s1":0,"s2":0,"s3":0},"dl":{"a1":0,"a2":"","a3":"","s1":0,"s2":0,"s3":0},"sortOrder":0,"act":{}}</v>
      </c>
    </row>
    <row r="53" spans="5:54" x14ac:dyDescent="0.25">
      <c r="E53" s="156"/>
      <c r="F53" s="71"/>
      <c r="G53" s="71"/>
      <c r="H53" s="146"/>
      <c r="I53" s="146"/>
      <c r="J53" s="146"/>
      <c r="K53" s="146"/>
      <c r="L53" s="146"/>
      <c r="M53" s="147"/>
      <c r="N53" s="146"/>
      <c r="O53" s="146"/>
      <c r="P53" s="71"/>
      <c r="Q53" s="71"/>
      <c r="R53" s="71"/>
      <c r="S53" s="71"/>
      <c r="T53" s="95"/>
      <c r="U53" s="96"/>
      <c r="V53" s="96"/>
      <c r="W53" s="97"/>
      <c r="Z53" s="15" t="str">
        <f t="shared" si="0"/>
        <v>A</v>
      </c>
      <c r="AA53" s="8">
        <f t="shared" si="1"/>
        <v>0</v>
      </c>
      <c r="AB53" s="9">
        <f t="shared" si="8"/>
        <v>0</v>
      </c>
      <c r="AC53" s="8">
        <f t="shared" si="2"/>
        <v>0</v>
      </c>
      <c r="AD53" s="8">
        <f t="shared" si="3"/>
        <v>0</v>
      </c>
      <c r="AE53" s="8" t="str">
        <f t="shared" si="9"/>
        <v>--</v>
      </c>
      <c r="AF53" s="10">
        <f t="shared" si="10"/>
        <v>0</v>
      </c>
      <c r="AG53" s="8">
        <v>0</v>
      </c>
      <c r="AH53" s="9">
        <f t="shared" si="11"/>
        <v>0</v>
      </c>
      <c r="AI53" s="11">
        <f t="shared" si="12"/>
        <v>0</v>
      </c>
      <c r="AJ53" s="6"/>
      <c r="AK53" s="6"/>
      <c r="AL53" s="6"/>
      <c r="AN53" t="str">
        <f t="shared" si="13"/>
        <v>"0":{</v>
      </c>
      <c r="AO53" t="str">
        <f t="shared" si="14"/>
        <v>"group":"A",</v>
      </c>
      <c r="AP53" t="str">
        <f t="shared" si="15"/>
        <v>"lot":0,</v>
      </c>
      <c r="AQ53" t="str">
        <f t="shared" si="16"/>
        <v>"name":"0",</v>
      </c>
      <c r="AR53" t="str">
        <f t="shared" si="17"/>
        <v>"team":"0",</v>
      </c>
      <c r="AS53" t="str">
        <f t="shared" si="18"/>
        <v>"year":"0",</v>
      </c>
      <c r="AT53" t="str">
        <f t="shared" si="19"/>
        <v>"division":"--",</v>
      </c>
      <c r="AU53" t="str">
        <f t="shared" si="20"/>
        <v>"bw":"0",</v>
      </c>
      <c r="AV53" t="str">
        <f t="shared" si="21"/>
        <v>"idx":"0",</v>
      </c>
      <c r="AW53" t="str">
        <f t="shared" si="22"/>
        <v>"sr":"0",</v>
      </c>
      <c r="AX53" t="str">
        <f t="shared" si="23"/>
        <v>"br":"0",</v>
      </c>
      <c r="AY53" t="str">
        <f t="shared" si="24"/>
        <v>"row":0,</v>
      </c>
      <c r="AZ53" t="s">
        <v>67</v>
      </c>
      <c r="BA53" t="str">
        <f t="shared" si="25"/>
        <v>"sq":{"a1":0,"a2":"","a3":"","s1":0,"s2":0,"s3":0},"bp":{"a1":0,"a2":"","a3":"","s1":0,"s2":0,"s3":0},"dl":{"a1":0,"a2":"","a3":"","s1":0,"s2":0,"s3":0},"sortOrder":0,"act":{}}</v>
      </c>
      <c r="BB53" t="str">
        <f t="shared" si="26"/>
        <v>"0":{"group":"A","lot":0,"name":"0","team":"0","year":"0","division":"--","bw":"0","idx":"0","sr":"0","br":"0","row":0,"sq":{"a1":0,"a2":"","a3":"","s1":0,"s2":0,"s3":0},"bp":{"a1":0,"a2":"","a3":"","s1":0,"s2":0,"s3":0},"dl":{"a1":0,"a2":"","a3":"","s1":0,"s2":0,"s3":0},"sortOrder":0,"act":{}}</v>
      </c>
    </row>
    <row r="54" spans="5:54" x14ac:dyDescent="0.25">
      <c r="E54" s="156"/>
      <c r="F54" s="98"/>
      <c r="G54" s="98"/>
      <c r="H54" s="98"/>
      <c r="I54" s="98"/>
      <c r="J54" s="98"/>
      <c r="K54" s="98"/>
      <c r="L54" s="98"/>
      <c r="M54" s="147"/>
      <c r="N54" s="98"/>
      <c r="O54" s="98"/>
      <c r="P54" s="98"/>
      <c r="Q54" s="98"/>
      <c r="R54" s="98"/>
      <c r="S54" s="98"/>
      <c r="T54" s="99"/>
      <c r="U54" s="100"/>
      <c r="V54" s="100"/>
      <c r="W54" s="101"/>
      <c r="Z54" s="15" t="str">
        <f t="shared" ref="Z54:Z117" si="27">IF(Q54="","A",PROPER(Q54))</f>
        <v>A</v>
      </c>
      <c r="AA54" s="8">
        <f t="shared" si="1"/>
        <v>0</v>
      </c>
      <c r="AB54" s="9">
        <f t="shared" si="8"/>
        <v>0</v>
      </c>
      <c r="AC54" s="8">
        <f t="shared" si="2"/>
        <v>0</v>
      </c>
      <c r="AD54" s="8">
        <f t="shared" si="3"/>
        <v>0</v>
      </c>
      <c r="AE54" s="8" t="str">
        <f t="shared" si="9"/>
        <v>--</v>
      </c>
      <c r="AF54" s="10">
        <f t="shared" si="10"/>
        <v>0</v>
      </c>
      <c r="AG54" s="8">
        <v>1</v>
      </c>
      <c r="AH54" s="9">
        <f t="shared" si="11"/>
        <v>0</v>
      </c>
      <c r="AI54" s="11">
        <f t="shared" si="12"/>
        <v>0</v>
      </c>
      <c r="AJ54" s="6"/>
      <c r="AK54" s="6"/>
      <c r="AL54" s="6"/>
      <c r="AN54" t="str">
        <f t="shared" ref="AN54:AN117" si="28">CHAR(34)&amp;AG54&amp;CHAR(34)&amp;":{"</f>
        <v>"1":{</v>
      </c>
      <c r="AO54" t="str">
        <f t="shared" ref="AO54:AO117" si="29">Z$3&amp;":"&amp;CHAR(34)&amp;Z54&amp;CHAR(34)&amp;","</f>
        <v>"group":"A",</v>
      </c>
      <c r="AP54" t="str">
        <f t="shared" si="15"/>
        <v>"lot":0,</v>
      </c>
      <c r="AQ54" t="str">
        <f t="shared" ref="AQ54:AQ117" si="30">AB$3&amp;":"&amp;CHAR(34)&amp;AB54&amp;CHAR(34)&amp;","</f>
        <v>"name":"0",</v>
      </c>
      <c r="AR54" t="str">
        <f t="shared" ref="AR54:AR117" si="31">AC$3&amp;":"&amp;CHAR(34)&amp;AC54&amp;CHAR(34)&amp;","</f>
        <v>"team":"0",</v>
      </c>
      <c r="AS54" t="str">
        <f t="shared" ref="AS54:AS117" si="32">AD$3&amp;":"&amp;CHAR(34)&amp;AD54&amp;CHAR(34)&amp;","</f>
        <v>"year":"0",</v>
      </c>
      <c r="AT54" t="str">
        <f t="shared" ref="AT54:AT117" si="33">AE$3&amp;":"&amp;CHAR(34)&amp;AE54&amp;CHAR(34)&amp;","</f>
        <v>"division":"--",</v>
      </c>
      <c r="AU54" t="str">
        <f t="shared" ref="AU54:AU117" si="34">AF$3&amp;":"&amp;CHAR(34)&amp;AF54&amp;CHAR(34)&amp;","</f>
        <v>"bw":"0",</v>
      </c>
      <c r="AV54" t="str">
        <f t="shared" ref="AV54:AV117" si="35">AG$3&amp;":"&amp;CHAR(34)&amp;AG54&amp;CHAR(34)&amp;","</f>
        <v>"idx":"1",</v>
      </c>
      <c r="AW54" t="str">
        <f t="shared" ref="AW54:AW117" si="36">AH$3&amp;":"&amp;CHAR(34)&amp;AH54&amp;CHAR(34)&amp;","</f>
        <v>"sr":"0",</v>
      </c>
      <c r="AX54" t="str">
        <f t="shared" ref="AX54:AX117" si="37">AI$3&amp;":"&amp;CHAR(34)&amp;AI54&amp;CHAR(34)&amp;","</f>
        <v>"br":"0",</v>
      </c>
      <c r="AY54" t="str">
        <f t="shared" ref="AY54:AY117" si="38">CHAR(34)&amp;"row"&amp;CHAR(34)&amp;":"&amp;AA54&amp;","</f>
        <v>"row":0,</v>
      </c>
      <c r="AZ54" t="s">
        <v>67</v>
      </c>
      <c r="BA54" t="str">
        <f t="shared" si="25"/>
        <v>"sq":{"a1":0,"a2":"","a3":"","s1":0,"s2":0,"s3":0},"bp":{"a1":0,"a2":"","a3":"","s1":0,"s2":0,"s3":0},"dl":{"a1":0,"a2":"","a3":"","s1":0,"s2":0,"s3":0},"sortOrder":0,"act":{}}</v>
      </c>
      <c r="BB54" t="str">
        <f t="shared" si="26"/>
        <v>"1":{"group":"A","lot":0,"name":"0","team":"0","year":"0","division":"--","bw":"0","idx":"1","sr":"0","br":"0","row":0,"sq":{"a1":0,"a2":"","a3":"","s1":0,"s2":0,"s3":0},"bp":{"a1":0,"a2":"","a3":"","s1":0,"s2":0,"s3":0},"dl":{"a1":0,"a2":"","a3":"","s1":0,"s2":0,"s3":0},"sortOrder":0,"act":{}}</v>
      </c>
    </row>
    <row r="55" spans="5:54" x14ac:dyDescent="0.25">
      <c r="E55" s="156"/>
      <c r="F55" s="98"/>
      <c r="G55" s="98"/>
      <c r="H55" s="98"/>
      <c r="I55" s="98"/>
      <c r="J55" s="98"/>
      <c r="K55" s="98"/>
      <c r="L55" s="98"/>
      <c r="M55" s="147"/>
      <c r="N55" s="98"/>
      <c r="O55" s="98"/>
      <c r="P55" s="98"/>
      <c r="Q55" s="98"/>
      <c r="R55" s="98"/>
      <c r="S55" s="98"/>
      <c r="T55" s="99"/>
      <c r="U55" s="100"/>
      <c r="V55" s="100"/>
      <c r="W55" s="101"/>
      <c r="Z55" s="15" t="str">
        <f t="shared" si="27"/>
        <v>A</v>
      </c>
      <c r="AA55" s="8">
        <f t="shared" si="1"/>
        <v>0</v>
      </c>
      <c r="AB55" s="9">
        <f t="shared" si="8"/>
        <v>0</v>
      </c>
      <c r="AC55" s="8">
        <f t="shared" si="2"/>
        <v>0</v>
      </c>
      <c r="AD55" s="8">
        <f t="shared" si="3"/>
        <v>0</v>
      </c>
      <c r="AE55" s="8" t="str">
        <f t="shared" si="9"/>
        <v>--</v>
      </c>
      <c r="AF55" s="10">
        <f t="shared" si="10"/>
        <v>0</v>
      </c>
      <c r="AG55" s="8">
        <v>2</v>
      </c>
      <c r="AH55" s="9">
        <f t="shared" si="11"/>
        <v>0</v>
      </c>
      <c r="AI55" s="11">
        <f t="shared" si="12"/>
        <v>0</v>
      </c>
      <c r="AJ55" s="6"/>
      <c r="AK55" s="6"/>
      <c r="AL55" s="6"/>
      <c r="AN55" t="str">
        <f t="shared" si="28"/>
        <v>"2":{</v>
      </c>
      <c r="AO55" t="str">
        <f t="shared" si="29"/>
        <v>"group":"A",</v>
      </c>
      <c r="AP55" t="str">
        <f t="shared" si="15"/>
        <v>"lot":0,</v>
      </c>
      <c r="AQ55" t="str">
        <f t="shared" si="30"/>
        <v>"name":"0",</v>
      </c>
      <c r="AR55" t="str">
        <f t="shared" si="31"/>
        <v>"team":"0",</v>
      </c>
      <c r="AS55" t="str">
        <f t="shared" si="32"/>
        <v>"year":"0",</v>
      </c>
      <c r="AT55" t="str">
        <f t="shared" si="33"/>
        <v>"division":"--",</v>
      </c>
      <c r="AU55" t="str">
        <f t="shared" si="34"/>
        <v>"bw":"0",</v>
      </c>
      <c r="AV55" t="str">
        <f t="shared" si="35"/>
        <v>"idx":"2",</v>
      </c>
      <c r="AW55" t="str">
        <f t="shared" si="36"/>
        <v>"sr":"0",</v>
      </c>
      <c r="AX55" t="str">
        <f t="shared" si="37"/>
        <v>"br":"0",</v>
      </c>
      <c r="AY55" t="str">
        <f t="shared" si="38"/>
        <v>"row":0,</v>
      </c>
      <c r="AZ55" t="s">
        <v>67</v>
      </c>
      <c r="BA55" t="str">
        <f t="shared" si="25"/>
        <v>"sq":{"a1":0,"a2":"","a3":"","s1":0,"s2":0,"s3":0},"bp":{"a1":0,"a2":"","a3":"","s1":0,"s2":0,"s3":0},"dl":{"a1":0,"a2":"","a3":"","s1":0,"s2":0,"s3":0},"sortOrder":0,"act":{}}</v>
      </c>
      <c r="BB55" t="str">
        <f t="shared" si="26"/>
        <v>"2":{"group":"A","lot":0,"name":"0","team":"0","year":"0","division":"--","bw":"0","idx":"2","sr":"0","br":"0","row":0,"sq":{"a1":0,"a2":"","a3":"","s1":0,"s2":0,"s3":0},"bp":{"a1":0,"a2":"","a3":"","s1":0,"s2":0,"s3":0},"dl":{"a1":0,"a2":"","a3":"","s1":0,"s2":0,"s3":0},"sortOrder":0,"act":{}}</v>
      </c>
    </row>
    <row r="56" spans="5:54" x14ac:dyDescent="0.25">
      <c r="E56" s="156"/>
      <c r="F56" s="98"/>
      <c r="G56" s="98"/>
      <c r="H56" s="98"/>
      <c r="I56" s="98"/>
      <c r="J56" s="98"/>
      <c r="K56" s="98"/>
      <c r="L56" s="98"/>
      <c r="M56" s="147"/>
      <c r="N56" s="98"/>
      <c r="O56" s="98"/>
      <c r="P56" s="98"/>
      <c r="Q56" s="98"/>
      <c r="R56" s="98"/>
      <c r="S56" s="98"/>
      <c r="T56" s="99"/>
      <c r="U56" s="100"/>
      <c r="V56" s="100"/>
      <c r="W56" s="101"/>
      <c r="Z56" s="15" t="str">
        <f t="shared" si="27"/>
        <v>A</v>
      </c>
      <c r="AA56" s="8">
        <f t="shared" si="1"/>
        <v>0</v>
      </c>
      <c r="AB56" s="9">
        <f t="shared" si="8"/>
        <v>0</v>
      </c>
      <c r="AC56" s="8">
        <f t="shared" si="2"/>
        <v>0</v>
      </c>
      <c r="AD56" s="8">
        <f t="shared" si="3"/>
        <v>0</v>
      </c>
      <c r="AE56" s="8" t="str">
        <f t="shared" si="9"/>
        <v>--</v>
      </c>
      <c r="AF56" s="10">
        <f t="shared" si="10"/>
        <v>0</v>
      </c>
      <c r="AG56" s="8">
        <v>3</v>
      </c>
      <c r="AH56" s="9">
        <f t="shared" si="11"/>
        <v>0</v>
      </c>
      <c r="AI56" s="11">
        <f t="shared" si="12"/>
        <v>0</v>
      </c>
      <c r="AJ56" s="6"/>
      <c r="AK56" s="6"/>
      <c r="AL56" s="6"/>
      <c r="AN56" t="str">
        <f t="shared" si="28"/>
        <v>"3":{</v>
      </c>
      <c r="AO56" t="str">
        <f t="shared" si="29"/>
        <v>"group":"A",</v>
      </c>
      <c r="AP56" t="str">
        <f t="shared" si="15"/>
        <v>"lot":0,</v>
      </c>
      <c r="AQ56" t="str">
        <f t="shared" si="30"/>
        <v>"name":"0",</v>
      </c>
      <c r="AR56" t="str">
        <f t="shared" si="31"/>
        <v>"team":"0",</v>
      </c>
      <c r="AS56" t="str">
        <f t="shared" si="32"/>
        <v>"year":"0",</v>
      </c>
      <c r="AT56" t="str">
        <f t="shared" si="33"/>
        <v>"division":"--",</v>
      </c>
      <c r="AU56" t="str">
        <f t="shared" si="34"/>
        <v>"bw":"0",</v>
      </c>
      <c r="AV56" t="str">
        <f t="shared" si="35"/>
        <v>"idx":"3",</v>
      </c>
      <c r="AW56" t="str">
        <f t="shared" si="36"/>
        <v>"sr":"0",</v>
      </c>
      <c r="AX56" t="str">
        <f t="shared" si="37"/>
        <v>"br":"0",</v>
      </c>
      <c r="AY56" t="str">
        <f t="shared" si="38"/>
        <v>"row":0,</v>
      </c>
      <c r="AZ56" t="s">
        <v>67</v>
      </c>
      <c r="BA56" t="str">
        <f t="shared" si="25"/>
        <v>"sq":{"a1":0,"a2":"","a3":"","s1":0,"s2":0,"s3":0},"bp":{"a1":0,"a2":"","a3":"","s1":0,"s2":0,"s3":0},"dl":{"a1":0,"a2":"","a3":"","s1":0,"s2":0,"s3":0},"sortOrder":0,"act":{}}</v>
      </c>
      <c r="BB56" t="str">
        <f t="shared" si="26"/>
        <v>"3":{"group":"A","lot":0,"name":"0","team":"0","year":"0","division":"--","bw":"0","idx":"3","sr":"0","br":"0","row":0,"sq":{"a1":0,"a2":"","a3":"","s1":0,"s2":0,"s3":0},"bp":{"a1":0,"a2":"","a3":"","s1":0,"s2":0,"s3":0},"dl":{"a1":0,"a2":"","a3":"","s1":0,"s2":0,"s3":0},"sortOrder":0,"act":{}}</v>
      </c>
    </row>
    <row r="57" spans="5:54" x14ac:dyDescent="0.25">
      <c r="E57" s="156"/>
      <c r="F57" s="98"/>
      <c r="G57" s="98"/>
      <c r="H57" s="98"/>
      <c r="I57" s="98"/>
      <c r="J57" s="98"/>
      <c r="K57" s="98"/>
      <c r="L57" s="98"/>
      <c r="M57" s="147"/>
      <c r="N57" s="98"/>
      <c r="O57" s="98"/>
      <c r="P57" s="98"/>
      <c r="Q57" s="98"/>
      <c r="R57" s="98"/>
      <c r="S57" s="98"/>
      <c r="T57" s="99"/>
      <c r="U57" s="100"/>
      <c r="V57" s="100"/>
      <c r="W57" s="101"/>
      <c r="Z57" s="15" t="str">
        <f t="shared" si="27"/>
        <v>A</v>
      </c>
      <c r="AA57" s="8">
        <f t="shared" si="1"/>
        <v>0</v>
      </c>
      <c r="AB57" s="9">
        <f t="shared" si="8"/>
        <v>0</v>
      </c>
      <c r="AC57" s="8">
        <f t="shared" si="2"/>
        <v>0</v>
      </c>
      <c r="AD57" s="8">
        <f t="shared" si="3"/>
        <v>0</v>
      </c>
      <c r="AE57" s="8" t="str">
        <f t="shared" si="9"/>
        <v>--</v>
      </c>
      <c r="AF57" s="10">
        <f t="shared" si="10"/>
        <v>0</v>
      </c>
      <c r="AG57" s="8">
        <v>4</v>
      </c>
      <c r="AH57" s="9">
        <f t="shared" si="11"/>
        <v>0</v>
      </c>
      <c r="AI57" s="11">
        <f t="shared" si="12"/>
        <v>0</v>
      </c>
      <c r="AJ57" s="6"/>
      <c r="AK57" s="6"/>
      <c r="AL57" s="6"/>
      <c r="AN57" t="str">
        <f t="shared" si="28"/>
        <v>"4":{</v>
      </c>
      <c r="AO57" t="str">
        <f t="shared" si="29"/>
        <v>"group":"A",</v>
      </c>
      <c r="AP57" t="str">
        <f t="shared" si="15"/>
        <v>"lot":0,</v>
      </c>
      <c r="AQ57" t="str">
        <f t="shared" si="30"/>
        <v>"name":"0",</v>
      </c>
      <c r="AR57" t="str">
        <f t="shared" si="31"/>
        <v>"team":"0",</v>
      </c>
      <c r="AS57" t="str">
        <f t="shared" si="32"/>
        <v>"year":"0",</v>
      </c>
      <c r="AT57" t="str">
        <f t="shared" si="33"/>
        <v>"division":"--",</v>
      </c>
      <c r="AU57" t="str">
        <f t="shared" si="34"/>
        <v>"bw":"0",</v>
      </c>
      <c r="AV57" t="str">
        <f t="shared" si="35"/>
        <v>"idx":"4",</v>
      </c>
      <c r="AW57" t="str">
        <f t="shared" si="36"/>
        <v>"sr":"0",</v>
      </c>
      <c r="AX57" t="str">
        <f t="shared" si="37"/>
        <v>"br":"0",</v>
      </c>
      <c r="AY57" t="str">
        <f t="shared" si="38"/>
        <v>"row":0,</v>
      </c>
      <c r="AZ57" t="s">
        <v>67</v>
      </c>
      <c r="BA57" t="str">
        <f t="shared" si="25"/>
        <v>"sq":{"a1":0,"a2":"","a3":"","s1":0,"s2":0,"s3":0},"bp":{"a1":0,"a2":"","a3":"","s1":0,"s2":0,"s3":0},"dl":{"a1":0,"a2":"","a3":"","s1":0,"s2":0,"s3":0},"sortOrder":0,"act":{}}</v>
      </c>
      <c r="BB57" t="str">
        <f t="shared" si="26"/>
        <v>"4":{"group":"A","lot":0,"name":"0","team":"0","year":"0","division":"--","bw":"0","idx":"4","sr":"0","br":"0","row":0,"sq":{"a1":0,"a2":"","a3":"","s1":0,"s2":0,"s3":0},"bp":{"a1":0,"a2":"","a3":"","s1":0,"s2":0,"s3":0},"dl":{"a1":0,"a2":"","a3":"","s1":0,"s2":0,"s3":0},"sortOrder":0,"act":{}}</v>
      </c>
    </row>
    <row r="58" spans="5:54" x14ac:dyDescent="0.25">
      <c r="E58" s="156"/>
      <c r="F58" s="98"/>
      <c r="G58" s="98"/>
      <c r="H58" s="98"/>
      <c r="I58" s="98"/>
      <c r="J58" s="98"/>
      <c r="K58" s="98"/>
      <c r="L58" s="98"/>
      <c r="M58" s="147"/>
      <c r="N58" s="98"/>
      <c r="O58" s="98"/>
      <c r="P58" s="98"/>
      <c r="Q58" s="98"/>
      <c r="R58" s="98"/>
      <c r="S58" s="98"/>
      <c r="T58" s="99"/>
      <c r="U58" s="100"/>
      <c r="V58" s="100"/>
      <c r="W58" s="101"/>
      <c r="Z58" s="15" t="str">
        <f t="shared" si="27"/>
        <v>A</v>
      </c>
      <c r="AA58" s="8">
        <f t="shared" si="1"/>
        <v>0</v>
      </c>
      <c r="AB58" s="9">
        <f t="shared" si="8"/>
        <v>0</v>
      </c>
      <c r="AC58" s="8">
        <f t="shared" si="2"/>
        <v>0</v>
      </c>
      <c r="AD58" s="8">
        <f t="shared" si="3"/>
        <v>0</v>
      </c>
      <c r="AE58" s="8" t="str">
        <f t="shared" si="9"/>
        <v>--</v>
      </c>
      <c r="AF58" s="10">
        <f t="shared" si="10"/>
        <v>0</v>
      </c>
      <c r="AG58" s="8">
        <v>5</v>
      </c>
      <c r="AH58" s="9">
        <f t="shared" si="11"/>
        <v>0</v>
      </c>
      <c r="AI58" s="11">
        <f t="shared" si="12"/>
        <v>0</v>
      </c>
      <c r="AJ58" s="6"/>
      <c r="AK58" s="6"/>
      <c r="AL58" s="6"/>
      <c r="AN58" t="str">
        <f t="shared" si="28"/>
        <v>"5":{</v>
      </c>
      <c r="AO58" t="str">
        <f t="shared" si="29"/>
        <v>"group":"A",</v>
      </c>
      <c r="AP58" t="str">
        <f t="shared" si="15"/>
        <v>"lot":0,</v>
      </c>
      <c r="AQ58" t="str">
        <f t="shared" si="30"/>
        <v>"name":"0",</v>
      </c>
      <c r="AR58" t="str">
        <f t="shared" si="31"/>
        <v>"team":"0",</v>
      </c>
      <c r="AS58" t="str">
        <f t="shared" si="32"/>
        <v>"year":"0",</v>
      </c>
      <c r="AT58" t="str">
        <f t="shared" si="33"/>
        <v>"division":"--",</v>
      </c>
      <c r="AU58" t="str">
        <f t="shared" si="34"/>
        <v>"bw":"0",</v>
      </c>
      <c r="AV58" t="str">
        <f t="shared" si="35"/>
        <v>"idx":"5",</v>
      </c>
      <c r="AW58" t="str">
        <f t="shared" si="36"/>
        <v>"sr":"0",</v>
      </c>
      <c r="AX58" t="str">
        <f t="shared" si="37"/>
        <v>"br":"0",</v>
      </c>
      <c r="AY58" t="str">
        <f t="shared" si="38"/>
        <v>"row":0,</v>
      </c>
      <c r="AZ58" t="s">
        <v>67</v>
      </c>
      <c r="BA58" t="str">
        <f t="shared" si="25"/>
        <v>"sq":{"a1":0,"a2":"","a3":"","s1":0,"s2":0,"s3":0},"bp":{"a1":0,"a2":"","a3":"","s1":0,"s2":0,"s3":0},"dl":{"a1":0,"a2":"","a3":"","s1":0,"s2":0,"s3":0},"sortOrder":0,"act":{}}</v>
      </c>
      <c r="BB58" t="str">
        <f t="shared" si="26"/>
        <v>"5":{"group":"A","lot":0,"name":"0","team":"0","year":"0","division":"--","bw":"0","idx":"5","sr":"0","br":"0","row":0,"sq":{"a1":0,"a2":"","a3":"","s1":0,"s2":0,"s3":0},"bp":{"a1":0,"a2":"","a3":"","s1":0,"s2":0,"s3":0},"dl":{"a1":0,"a2":"","a3":"","s1":0,"s2":0,"s3":0},"sortOrder":0,"act":{}}</v>
      </c>
    </row>
    <row r="59" spans="5:54" x14ac:dyDescent="0.25">
      <c r="E59" s="156"/>
      <c r="F59" s="98"/>
      <c r="G59" s="98"/>
      <c r="H59" s="98"/>
      <c r="I59" s="98"/>
      <c r="J59" s="98"/>
      <c r="K59" s="98"/>
      <c r="L59" s="98"/>
      <c r="M59" s="147"/>
      <c r="N59" s="98"/>
      <c r="O59" s="98"/>
      <c r="P59" s="98"/>
      <c r="Q59" s="98"/>
      <c r="R59" s="98"/>
      <c r="S59" s="98"/>
      <c r="T59" s="99"/>
      <c r="U59" s="100"/>
      <c r="V59" s="100"/>
      <c r="W59" s="101"/>
      <c r="Z59" s="15" t="str">
        <f t="shared" si="27"/>
        <v>A</v>
      </c>
      <c r="AA59" s="8">
        <f t="shared" si="1"/>
        <v>0</v>
      </c>
      <c r="AB59" s="9">
        <f t="shared" si="8"/>
        <v>0</v>
      </c>
      <c r="AC59" s="8">
        <f t="shared" si="2"/>
        <v>0</v>
      </c>
      <c r="AD59" s="8">
        <f t="shared" si="3"/>
        <v>0</v>
      </c>
      <c r="AE59" s="8" t="str">
        <f t="shared" si="9"/>
        <v>--</v>
      </c>
      <c r="AF59" s="10">
        <f t="shared" si="10"/>
        <v>0</v>
      </c>
      <c r="AG59" s="8">
        <v>6</v>
      </c>
      <c r="AH59" s="9">
        <f t="shared" si="11"/>
        <v>0</v>
      </c>
      <c r="AI59" s="11">
        <f t="shared" si="12"/>
        <v>0</v>
      </c>
      <c r="AJ59" s="6"/>
      <c r="AK59" s="6"/>
      <c r="AL59" s="6"/>
      <c r="AN59" t="str">
        <f t="shared" si="28"/>
        <v>"6":{</v>
      </c>
      <c r="AO59" t="str">
        <f t="shared" si="29"/>
        <v>"group":"A",</v>
      </c>
      <c r="AP59" t="str">
        <f t="shared" si="15"/>
        <v>"lot":0,</v>
      </c>
      <c r="AQ59" t="str">
        <f t="shared" si="30"/>
        <v>"name":"0",</v>
      </c>
      <c r="AR59" t="str">
        <f t="shared" si="31"/>
        <v>"team":"0",</v>
      </c>
      <c r="AS59" t="str">
        <f t="shared" si="32"/>
        <v>"year":"0",</v>
      </c>
      <c r="AT59" t="str">
        <f t="shared" si="33"/>
        <v>"division":"--",</v>
      </c>
      <c r="AU59" t="str">
        <f t="shared" si="34"/>
        <v>"bw":"0",</v>
      </c>
      <c r="AV59" t="str">
        <f t="shared" si="35"/>
        <v>"idx":"6",</v>
      </c>
      <c r="AW59" t="str">
        <f t="shared" si="36"/>
        <v>"sr":"0",</v>
      </c>
      <c r="AX59" t="str">
        <f t="shared" si="37"/>
        <v>"br":"0",</v>
      </c>
      <c r="AY59" t="str">
        <f t="shared" si="38"/>
        <v>"row":0,</v>
      </c>
      <c r="AZ59" t="s">
        <v>67</v>
      </c>
      <c r="BA59" t="str">
        <f t="shared" si="25"/>
        <v>"sq":{"a1":0,"a2":"","a3":"","s1":0,"s2":0,"s3":0},"bp":{"a1":0,"a2":"","a3":"","s1":0,"s2":0,"s3":0},"dl":{"a1":0,"a2":"","a3":"","s1":0,"s2":0,"s3":0},"sortOrder":0,"act":{}}</v>
      </c>
      <c r="BB59" t="str">
        <f t="shared" si="26"/>
        <v>"6":{"group":"A","lot":0,"name":"0","team":"0","year":"0","division":"--","bw":"0","idx":"6","sr":"0","br":"0","row":0,"sq":{"a1":0,"a2":"","a3":"","s1":0,"s2":0,"s3":0},"bp":{"a1":0,"a2":"","a3":"","s1":0,"s2":0,"s3":0},"dl":{"a1":0,"a2":"","a3":"","s1":0,"s2":0,"s3":0},"sortOrder":0,"act":{}}</v>
      </c>
    </row>
    <row r="60" spans="5:54" x14ac:dyDescent="0.25">
      <c r="E60" s="156"/>
      <c r="F60" s="98"/>
      <c r="G60" s="98"/>
      <c r="H60" s="98"/>
      <c r="I60" s="98"/>
      <c r="J60" s="98"/>
      <c r="K60" s="98"/>
      <c r="L60" s="98"/>
      <c r="M60" s="147"/>
      <c r="N60" s="98"/>
      <c r="O60" s="98"/>
      <c r="P60" s="98"/>
      <c r="Q60" s="98"/>
      <c r="R60" s="98"/>
      <c r="S60" s="98"/>
      <c r="T60" s="99"/>
      <c r="U60" s="100"/>
      <c r="V60" s="100"/>
      <c r="W60" s="101"/>
      <c r="Z60" s="15" t="str">
        <f t="shared" si="27"/>
        <v>A</v>
      </c>
      <c r="AA60" s="8">
        <f t="shared" si="1"/>
        <v>0</v>
      </c>
      <c r="AB60" s="9">
        <f t="shared" si="8"/>
        <v>0</v>
      </c>
      <c r="AC60" s="8">
        <f t="shared" si="2"/>
        <v>0</v>
      </c>
      <c r="AD60" s="8">
        <f t="shared" si="3"/>
        <v>0</v>
      </c>
      <c r="AE60" s="8" t="str">
        <f t="shared" si="9"/>
        <v>--</v>
      </c>
      <c r="AF60" s="10">
        <f t="shared" si="10"/>
        <v>0</v>
      </c>
      <c r="AG60" s="8">
        <v>7</v>
      </c>
      <c r="AH60" s="9">
        <f t="shared" si="11"/>
        <v>0</v>
      </c>
      <c r="AI60" s="11">
        <f t="shared" si="12"/>
        <v>0</v>
      </c>
      <c r="AJ60" s="6"/>
      <c r="AK60" s="6"/>
      <c r="AL60" s="6"/>
      <c r="AN60" t="str">
        <f t="shared" si="28"/>
        <v>"7":{</v>
      </c>
      <c r="AO60" t="str">
        <f t="shared" si="29"/>
        <v>"group":"A",</v>
      </c>
      <c r="AP60" t="str">
        <f t="shared" si="15"/>
        <v>"lot":0,</v>
      </c>
      <c r="AQ60" t="str">
        <f t="shared" si="30"/>
        <v>"name":"0",</v>
      </c>
      <c r="AR60" t="str">
        <f t="shared" si="31"/>
        <v>"team":"0",</v>
      </c>
      <c r="AS60" t="str">
        <f t="shared" si="32"/>
        <v>"year":"0",</v>
      </c>
      <c r="AT60" t="str">
        <f t="shared" si="33"/>
        <v>"division":"--",</v>
      </c>
      <c r="AU60" t="str">
        <f t="shared" si="34"/>
        <v>"bw":"0",</v>
      </c>
      <c r="AV60" t="str">
        <f t="shared" si="35"/>
        <v>"idx":"7",</v>
      </c>
      <c r="AW60" t="str">
        <f t="shared" si="36"/>
        <v>"sr":"0",</v>
      </c>
      <c r="AX60" t="str">
        <f t="shared" si="37"/>
        <v>"br":"0",</v>
      </c>
      <c r="AY60" t="str">
        <f t="shared" si="38"/>
        <v>"row":0,</v>
      </c>
      <c r="AZ60" t="s">
        <v>67</v>
      </c>
      <c r="BA60" t="str">
        <f t="shared" si="25"/>
        <v>"sq":{"a1":0,"a2":"","a3":"","s1":0,"s2":0,"s3":0},"bp":{"a1":0,"a2":"","a3":"","s1":0,"s2":0,"s3":0},"dl":{"a1":0,"a2":"","a3":"","s1":0,"s2":0,"s3":0},"sortOrder":0,"act":{}}</v>
      </c>
      <c r="BB60" t="str">
        <f t="shared" si="26"/>
        <v>"7":{"group":"A","lot":0,"name":"0","team":"0","year":"0","division":"--","bw":"0","idx":"7","sr":"0","br":"0","row":0,"sq":{"a1":0,"a2":"","a3":"","s1":0,"s2":0,"s3":0},"bp":{"a1":0,"a2":"","a3":"","s1":0,"s2":0,"s3":0},"dl":{"a1":0,"a2":"","a3":"","s1":0,"s2":0,"s3":0},"sortOrder":0,"act":{}}</v>
      </c>
    </row>
    <row r="61" spans="5:54" x14ac:dyDescent="0.25">
      <c r="E61" s="157"/>
      <c r="F61" s="102"/>
      <c r="G61" s="102"/>
      <c r="H61" s="102"/>
      <c r="I61" s="102"/>
      <c r="J61" s="102"/>
      <c r="K61" s="102"/>
      <c r="L61" s="102"/>
      <c r="M61" s="148"/>
      <c r="N61" s="102"/>
      <c r="O61" s="102"/>
      <c r="P61" s="102"/>
      <c r="Q61" s="102"/>
      <c r="R61" s="102"/>
      <c r="S61" s="102"/>
      <c r="T61" s="103"/>
      <c r="U61" s="104"/>
      <c r="V61" s="104"/>
      <c r="W61" s="105"/>
      <c r="Z61" s="15" t="str">
        <f t="shared" si="27"/>
        <v>A</v>
      </c>
      <c r="AA61" s="8">
        <f t="shared" si="1"/>
        <v>0</v>
      </c>
      <c r="AB61" s="9">
        <f t="shared" si="8"/>
        <v>0</v>
      </c>
      <c r="AC61" s="8">
        <f t="shared" si="2"/>
        <v>0</v>
      </c>
      <c r="AD61" s="8">
        <f t="shared" si="3"/>
        <v>0</v>
      </c>
      <c r="AE61" s="8" t="str">
        <f t="shared" si="9"/>
        <v>--</v>
      </c>
      <c r="AF61" s="10">
        <f t="shared" si="10"/>
        <v>0</v>
      </c>
      <c r="AG61" s="8">
        <v>8</v>
      </c>
      <c r="AH61" s="9">
        <f t="shared" si="11"/>
        <v>0</v>
      </c>
      <c r="AI61" s="11">
        <f t="shared" si="12"/>
        <v>0</v>
      </c>
      <c r="AJ61" s="6"/>
      <c r="AK61" s="6"/>
      <c r="AL61" s="6"/>
      <c r="AN61" t="str">
        <f t="shared" si="28"/>
        <v>"8":{</v>
      </c>
      <c r="AO61" t="str">
        <f t="shared" si="29"/>
        <v>"group":"A",</v>
      </c>
      <c r="AP61" t="str">
        <f t="shared" si="15"/>
        <v>"lot":0,</v>
      </c>
      <c r="AQ61" t="str">
        <f t="shared" si="30"/>
        <v>"name":"0",</v>
      </c>
      <c r="AR61" t="str">
        <f t="shared" si="31"/>
        <v>"team":"0",</v>
      </c>
      <c r="AS61" t="str">
        <f t="shared" si="32"/>
        <v>"year":"0",</v>
      </c>
      <c r="AT61" t="str">
        <f t="shared" si="33"/>
        <v>"division":"--",</v>
      </c>
      <c r="AU61" t="str">
        <f t="shared" si="34"/>
        <v>"bw":"0",</v>
      </c>
      <c r="AV61" t="str">
        <f t="shared" si="35"/>
        <v>"idx":"8",</v>
      </c>
      <c r="AW61" t="str">
        <f t="shared" si="36"/>
        <v>"sr":"0",</v>
      </c>
      <c r="AX61" t="str">
        <f t="shared" si="37"/>
        <v>"br":"0",</v>
      </c>
      <c r="AY61" t="str">
        <f t="shared" si="38"/>
        <v>"row":0,</v>
      </c>
      <c r="AZ61" t="s">
        <v>67</v>
      </c>
      <c r="BA61" t="str">
        <f t="shared" si="25"/>
        <v>"sq":{"a1":0,"a2":"","a3":"","s1":0,"s2":0,"s3":0},"bp":{"a1":0,"a2":"","a3":"","s1":0,"s2":0,"s3":0},"dl":{"a1":0,"a2":"","a3":"","s1":0,"s2":0,"s3":0},"sortOrder":0,"act":{}}</v>
      </c>
      <c r="BB61" t="str">
        <f t="shared" si="26"/>
        <v>"8":{"group":"A","lot":0,"name":"0","team":"0","year":"0","division":"--","bw":"0","idx":"8","sr":"0","br":"0","row":0,"sq":{"a1":0,"a2":"","a3":"","s1":0,"s2":0,"s3":0},"bp":{"a1":0,"a2":"","a3":"","s1":0,"s2":0,"s3":0},"dl":{"a1":0,"a2":"","a3":"","s1":0,"s2":0,"s3":0},"sortOrder":0,"act":{}}</v>
      </c>
    </row>
    <row r="62" spans="5:54" x14ac:dyDescent="0.25">
      <c r="E62" s="157"/>
      <c r="F62" s="102"/>
      <c r="G62" s="102"/>
      <c r="H62" s="102"/>
      <c r="I62" s="102"/>
      <c r="J62" s="102"/>
      <c r="K62" s="102"/>
      <c r="L62" s="102"/>
      <c r="M62" s="148"/>
      <c r="N62" s="102"/>
      <c r="O62" s="102"/>
      <c r="P62" s="102"/>
      <c r="Q62" s="102"/>
      <c r="R62" s="102"/>
      <c r="S62" s="102"/>
      <c r="T62" s="103"/>
      <c r="U62" s="104"/>
      <c r="V62" s="104"/>
      <c r="W62" s="105"/>
      <c r="Z62" s="15" t="str">
        <f t="shared" si="27"/>
        <v>A</v>
      </c>
      <c r="AA62" s="8">
        <f t="shared" si="1"/>
        <v>0</v>
      </c>
      <c r="AB62" s="9">
        <f t="shared" si="8"/>
        <v>0</v>
      </c>
      <c r="AC62" s="8">
        <f t="shared" si="2"/>
        <v>0</v>
      </c>
      <c r="AD62" s="8">
        <f t="shared" si="3"/>
        <v>0</v>
      </c>
      <c r="AE62" s="8" t="str">
        <f t="shared" si="9"/>
        <v>--</v>
      </c>
      <c r="AF62" s="10">
        <f t="shared" si="10"/>
        <v>0</v>
      </c>
      <c r="AG62" s="8">
        <v>9</v>
      </c>
      <c r="AH62" s="9">
        <f t="shared" si="11"/>
        <v>0</v>
      </c>
      <c r="AI62" s="11">
        <f t="shared" si="12"/>
        <v>0</v>
      </c>
      <c r="AJ62" s="6"/>
      <c r="AK62" s="6"/>
      <c r="AL62" s="6"/>
      <c r="AN62" t="str">
        <f t="shared" si="28"/>
        <v>"9":{</v>
      </c>
      <c r="AO62" t="str">
        <f t="shared" si="29"/>
        <v>"group":"A",</v>
      </c>
      <c r="AP62" t="str">
        <f t="shared" si="15"/>
        <v>"lot":0,</v>
      </c>
      <c r="AQ62" t="str">
        <f t="shared" si="30"/>
        <v>"name":"0",</v>
      </c>
      <c r="AR62" t="str">
        <f t="shared" si="31"/>
        <v>"team":"0",</v>
      </c>
      <c r="AS62" t="str">
        <f t="shared" si="32"/>
        <v>"year":"0",</v>
      </c>
      <c r="AT62" t="str">
        <f t="shared" si="33"/>
        <v>"division":"--",</v>
      </c>
      <c r="AU62" t="str">
        <f t="shared" si="34"/>
        <v>"bw":"0",</v>
      </c>
      <c r="AV62" t="str">
        <f t="shared" si="35"/>
        <v>"idx":"9",</v>
      </c>
      <c r="AW62" t="str">
        <f t="shared" si="36"/>
        <v>"sr":"0",</v>
      </c>
      <c r="AX62" t="str">
        <f t="shared" si="37"/>
        <v>"br":"0",</v>
      </c>
      <c r="AY62" t="str">
        <f t="shared" si="38"/>
        <v>"row":0,</v>
      </c>
      <c r="AZ62" t="s">
        <v>67</v>
      </c>
      <c r="BA62" t="str">
        <f t="shared" si="25"/>
        <v>"sq":{"a1":0,"a2":"","a3":"","s1":0,"s2":0,"s3":0},"bp":{"a1":0,"a2":"","a3":"","s1":0,"s2":0,"s3":0},"dl":{"a1":0,"a2":"","a3":"","s1":0,"s2":0,"s3":0},"sortOrder":0,"act":{}}</v>
      </c>
      <c r="BB62" t="str">
        <f t="shared" si="26"/>
        <v>"9":{"group":"A","lot":0,"name":"0","team":"0","year":"0","division":"--","bw":"0","idx":"9","sr":"0","br":"0","row":0,"sq":{"a1":0,"a2":"","a3":"","s1":0,"s2":0,"s3":0},"bp":{"a1":0,"a2":"","a3":"","s1":0,"s2":0,"s3":0},"dl":{"a1":0,"a2":"","a3":"","s1":0,"s2":0,"s3":0},"sortOrder":0,"act":{}}</v>
      </c>
    </row>
    <row r="63" spans="5:54" x14ac:dyDescent="0.25">
      <c r="E63" s="157"/>
      <c r="F63" s="102"/>
      <c r="G63" s="102"/>
      <c r="H63" s="102"/>
      <c r="I63" s="102"/>
      <c r="J63" s="102"/>
      <c r="K63" s="102"/>
      <c r="L63" s="102"/>
      <c r="M63" s="102"/>
      <c r="N63" s="102"/>
      <c r="O63" s="102"/>
      <c r="P63" s="102"/>
      <c r="Q63" s="102"/>
      <c r="R63" s="102"/>
      <c r="S63" s="102"/>
      <c r="T63" s="103"/>
      <c r="U63" s="104"/>
      <c r="V63" s="104"/>
      <c r="W63" s="105"/>
      <c r="Z63" s="15" t="str">
        <f t="shared" si="27"/>
        <v>A</v>
      </c>
      <c r="AA63" s="8">
        <f t="shared" si="1"/>
        <v>0</v>
      </c>
      <c r="AB63" s="9">
        <f t="shared" si="8"/>
        <v>0</v>
      </c>
      <c r="AC63" s="8">
        <f t="shared" si="2"/>
        <v>0</v>
      </c>
      <c r="AD63" s="8">
        <f t="shared" si="3"/>
        <v>0</v>
      </c>
      <c r="AE63" s="8" t="str">
        <f t="shared" si="9"/>
        <v>--</v>
      </c>
      <c r="AF63" s="10">
        <f t="shared" si="10"/>
        <v>0</v>
      </c>
      <c r="AG63" s="8">
        <v>23</v>
      </c>
      <c r="AH63" s="9">
        <f t="shared" si="11"/>
        <v>0</v>
      </c>
      <c r="AI63" s="11">
        <f t="shared" si="12"/>
        <v>0</v>
      </c>
      <c r="AJ63" s="6"/>
      <c r="AK63" s="6"/>
      <c r="AL63" s="6"/>
      <c r="AN63" t="str">
        <f t="shared" si="28"/>
        <v>"23":{</v>
      </c>
      <c r="AO63" t="str">
        <f t="shared" si="29"/>
        <v>"group":"A",</v>
      </c>
      <c r="AP63" t="str">
        <f t="shared" si="15"/>
        <v>"lot":0,</v>
      </c>
      <c r="AQ63" t="str">
        <f t="shared" si="30"/>
        <v>"name":"0",</v>
      </c>
      <c r="AR63" t="str">
        <f t="shared" si="31"/>
        <v>"team":"0",</v>
      </c>
      <c r="AS63" t="str">
        <f t="shared" si="32"/>
        <v>"year":"0",</v>
      </c>
      <c r="AT63" t="str">
        <f t="shared" si="33"/>
        <v>"division":"--",</v>
      </c>
      <c r="AU63" t="str">
        <f t="shared" si="34"/>
        <v>"bw":"0",</v>
      </c>
      <c r="AV63" t="str">
        <f t="shared" si="35"/>
        <v>"idx":"23",</v>
      </c>
      <c r="AW63" t="str">
        <f t="shared" si="36"/>
        <v>"sr":"0",</v>
      </c>
      <c r="AX63" t="str">
        <f t="shared" si="37"/>
        <v>"br":"0",</v>
      </c>
      <c r="AY63" t="str">
        <f t="shared" si="38"/>
        <v>"row":0,</v>
      </c>
      <c r="AZ63" t="s">
        <v>67</v>
      </c>
      <c r="BA63" t="str">
        <f t="shared" si="25"/>
        <v>"sq":{"a1":0,"a2":"","a3":"","s1":0,"s2":0,"s3":0},"bp":{"a1":0,"a2":"","a3":"","s1":0,"s2":0,"s3":0},"dl":{"a1":0,"a2":"","a3":"","s1":0,"s2":0,"s3":0},"sortOrder":0,"act":{}}</v>
      </c>
      <c r="BB63" t="str">
        <f t="shared" si="26"/>
        <v>"23":{"group":"A","lot":0,"name":"0","team":"0","year":"0","division":"--","bw":"0","idx":"23","sr":"0","br":"0","row":0,"sq":{"a1":0,"a2":"","a3":"","s1":0,"s2":0,"s3":0},"bp":{"a1":0,"a2":"","a3":"","s1":0,"s2":0,"s3":0},"dl":{"a1":0,"a2":"","a3":"","s1":0,"s2":0,"s3":0},"sortOrder":0,"act":{}}</v>
      </c>
    </row>
    <row r="64" spans="5:54" x14ac:dyDescent="0.25">
      <c r="E64" s="157"/>
      <c r="F64" s="102"/>
      <c r="G64" s="102"/>
      <c r="H64" s="102"/>
      <c r="I64" s="102"/>
      <c r="J64" s="102"/>
      <c r="K64" s="102"/>
      <c r="L64" s="102"/>
      <c r="M64" s="102"/>
      <c r="N64" s="102"/>
      <c r="O64" s="102"/>
      <c r="P64" s="102"/>
      <c r="Q64" s="102"/>
      <c r="R64" s="102"/>
      <c r="S64" s="102"/>
      <c r="T64" s="103"/>
      <c r="U64" s="104"/>
      <c r="V64" s="104"/>
      <c r="W64" s="105"/>
      <c r="Z64" s="15" t="str">
        <f t="shared" si="27"/>
        <v>A</v>
      </c>
      <c r="AA64" s="8">
        <f t="shared" si="1"/>
        <v>0</v>
      </c>
      <c r="AB64" s="9">
        <f t="shared" si="8"/>
        <v>0</v>
      </c>
      <c r="AC64" s="8">
        <f t="shared" si="2"/>
        <v>0</v>
      </c>
      <c r="AD64" s="8">
        <f t="shared" si="3"/>
        <v>0</v>
      </c>
      <c r="AE64" s="8" t="str">
        <f t="shared" si="9"/>
        <v>--</v>
      </c>
      <c r="AF64" s="10">
        <f t="shared" si="10"/>
        <v>0</v>
      </c>
      <c r="AG64" s="8">
        <v>23</v>
      </c>
      <c r="AH64" s="9">
        <f t="shared" si="11"/>
        <v>0</v>
      </c>
      <c r="AI64" s="11">
        <f t="shared" si="12"/>
        <v>0</v>
      </c>
      <c r="AJ64" s="6"/>
      <c r="AK64" s="6"/>
      <c r="AL64" s="6"/>
      <c r="AN64" t="str">
        <f t="shared" si="28"/>
        <v>"23":{</v>
      </c>
      <c r="AO64" t="str">
        <f t="shared" si="29"/>
        <v>"group":"A",</v>
      </c>
      <c r="AP64" t="str">
        <f t="shared" si="15"/>
        <v>"lot":0,</v>
      </c>
      <c r="AQ64" t="str">
        <f t="shared" si="30"/>
        <v>"name":"0",</v>
      </c>
      <c r="AR64" t="str">
        <f t="shared" si="31"/>
        <v>"team":"0",</v>
      </c>
      <c r="AS64" t="str">
        <f t="shared" si="32"/>
        <v>"year":"0",</v>
      </c>
      <c r="AT64" t="str">
        <f t="shared" si="33"/>
        <v>"division":"--",</v>
      </c>
      <c r="AU64" t="str">
        <f t="shared" si="34"/>
        <v>"bw":"0",</v>
      </c>
      <c r="AV64" t="str">
        <f t="shared" si="35"/>
        <v>"idx":"23",</v>
      </c>
      <c r="AW64" t="str">
        <f t="shared" si="36"/>
        <v>"sr":"0",</v>
      </c>
      <c r="AX64" t="str">
        <f t="shared" si="37"/>
        <v>"br":"0",</v>
      </c>
      <c r="AY64" t="str">
        <f t="shared" si="38"/>
        <v>"row":0,</v>
      </c>
      <c r="AZ64" t="s">
        <v>67</v>
      </c>
      <c r="BA64" t="str">
        <f t="shared" si="25"/>
        <v>"sq":{"a1":0,"a2":"","a3":"","s1":0,"s2":0,"s3":0},"bp":{"a1":0,"a2":"","a3":"","s1":0,"s2":0,"s3":0},"dl":{"a1":0,"a2":"","a3":"","s1":0,"s2":0,"s3":0},"sortOrder":0,"act":{}}</v>
      </c>
      <c r="BB64" t="str">
        <f t="shared" si="26"/>
        <v>"23":{"group":"A","lot":0,"name":"0","team":"0","year":"0","division":"--","bw":"0","idx":"23","sr":"0","br":"0","row":0,"sq":{"a1":0,"a2":"","a3":"","s1":0,"s2":0,"s3":0},"bp":{"a1":0,"a2":"","a3":"","s1":0,"s2":0,"s3":0},"dl":{"a1":0,"a2":"","a3":"","s1":0,"s2":0,"s3":0},"sortOrder":0,"act":{}}</v>
      </c>
    </row>
    <row r="65" spans="5:54" x14ac:dyDescent="0.25">
      <c r="E65" s="157"/>
      <c r="F65" s="102"/>
      <c r="G65" s="102"/>
      <c r="H65" s="102"/>
      <c r="I65" s="102"/>
      <c r="J65" s="102"/>
      <c r="K65" s="102"/>
      <c r="L65" s="102"/>
      <c r="M65" s="102"/>
      <c r="N65" s="102"/>
      <c r="O65" s="102"/>
      <c r="P65" s="102"/>
      <c r="Q65" s="102"/>
      <c r="R65" s="102"/>
      <c r="S65" s="102"/>
      <c r="T65" s="103"/>
      <c r="U65" s="104"/>
      <c r="V65" s="104"/>
      <c r="W65" s="105"/>
      <c r="Z65" s="15" t="str">
        <f t="shared" si="27"/>
        <v>A</v>
      </c>
      <c r="AA65" s="8">
        <f t="shared" si="1"/>
        <v>0</v>
      </c>
      <c r="AB65" s="9">
        <f t="shared" si="8"/>
        <v>0</v>
      </c>
      <c r="AC65" s="8">
        <f t="shared" si="2"/>
        <v>0</v>
      </c>
      <c r="AD65" s="8">
        <f t="shared" si="3"/>
        <v>0</v>
      </c>
      <c r="AE65" s="8" t="str">
        <f t="shared" si="9"/>
        <v>--</v>
      </c>
      <c r="AF65" s="10">
        <f t="shared" si="10"/>
        <v>0</v>
      </c>
      <c r="AG65" s="8">
        <v>23</v>
      </c>
      <c r="AH65" s="9">
        <f t="shared" si="11"/>
        <v>0</v>
      </c>
      <c r="AI65" s="11">
        <f t="shared" si="12"/>
        <v>0</v>
      </c>
      <c r="AJ65" s="6"/>
      <c r="AK65" s="6"/>
      <c r="AL65" s="6"/>
      <c r="AN65" t="str">
        <f t="shared" si="28"/>
        <v>"23":{</v>
      </c>
      <c r="AO65" t="str">
        <f t="shared" si="29"/>
        <v>"group":"A",</v>
      </c>
      <c r="AP65" t="str">
        <f t="shared" si="15"/>
        <v>"lot":0,</v>
      </c>
      <c r="AQ65" t="str">
        <f t="shared" si="30"/>
        <v>"name":"0",</v>
      </c>
      <c r="AR65" t="str">
        <f t="shared" si="31"/>
        <v>"team":"0",</v>
      </c>
      <c r="AS65" t="str">
        <f t="shared" si="32"/>
        <v>"year":"0",</v>
      </c>
      <c r="AT65" t="str">
        <f t="shared" si="33"/>
        <v>"division":"--",</v>
      </c>
      <c r="AU65" t="str">
        <f t="shared" si="34"/>
        <v>"bw":"0",</v>
      </c>
      <c r="AV65" t="str">
        <f t="shared" si="35"/>
        <v>"idx":"23",</v>
      </c>
      <c r="AW65" t="str">
        <f t="shared" si="36"/>
        <v>"sr":"0",</v>
      </c>
      <c r="AX65" t="str">
        <f t="shared" si="37"/>
        <v>"br":"0",</v>
      </c>
      <c r="AY65" t="str">
        <f t="shared" si="38"/>
        <v>"row":0,</v>
      </c>
      <c r="AZ65" t="s">
        <v>67</v>
      </c>
      <c r="BA65" t="str">
        <f t="shared" si="25"/>
        <v>"sq":{"a1":0,"a2":"","a3":"","s1":0,"s2":0,"s3":0},"bp":{"a1":0,"a2":"","a3":"","s1":0,"s2":0,"s3":0},"dl":{"a1":0,"a2":"","a3":"","s1":0,"s2":0,"s3":0},"sortOrder":0,"act":{}}</v>
      </c>
      <c r="BB65" t="str">
        <f t="shared" si="26"/>
        <v>"23":{"group":"A","lot":0,"name":"0","team":"0","year":"0","division":"--","bw":"0","idx":"23","sr":"0","br":"0","row":0,"sq":{"a1":0,"a2":"","a3":"","s1":0,"s2":0,"s3":0},"bp":{"a1":0,"a2":"","a3":"","s1":0,"s2":0,"s3":0},"dl":{"a1":0,"a2":"","a3":"","s1":0,"s2":0,"s3":0},"sortOrder":0,"act":{}}</v>
      </c>
    </row>
    <row r="66" spans="5:54" x14ac:dyDescent="0.25">
      <c r="E66" s="157"/>
      <c r="F66" s="102"/>
      <c r="G66" s="102"/>
      <c r="H66" s="102"/>
      <c r="I66" s="102"/>
      <c r="J66" s="102"/>
      <c r="K66" s="102"/>
      <c r="L66" s="102"/>
      <c r="M66" s="102"/>
      <c r="N66" s="102"/>
      <c r="O66" s="102"/>
      <c r="P66" s="102"/>
      <c r="Q66" s="102"/>
      <c r="R66" s="102"/>
      <c r="S66" s="102"/>
      <c r="T66" s="103"/>
      <c r="U66" s="104"/>
      <c r="V66" s="104"/>
      <c r="W66" s="105"/>
      <c r="Z66" s="15" t="str">
        <f t="shared" si="27"/>
        <v>A</v>
      </c>
      <c r="AA66" s="8">
        <f t="shared" si="1"/>
        <v>0</v>
      </c>
      <c r="AB66" s="9">
        <f t="shared" si="8"/>
        <v>0</v>
      </c>
      <c r="AC66" s="8">
        <f t="shared" si="2"/>
        <v>0</v>
      </c>
      <c r="AD66" s="8">
        <f t="shared" si="3"/>
        <v>0</v>
      </c>
      <c r="AE66" s="8" t="str">
        <f t="shared" si="9"/>
        <v>--</v>
      </c>
      <c r="AF66" s="10">
        <f t="shared" si="10"/>
        <v>0</v>
      </c>
      <c r="AG66" s="8">
        <v>23</v>
      </c>
      <c r="AH66" s="9">
        <f t="shared" si="11"/>
        <v>0</v>
      </c>
      <c r="AI66" s="11">
        <f t="shared" si="12"/>
        <v>0</v>
      </c>
      <c r="AJ66" s="6"/>
      <c r="AK66" s="6"/>
      <c r="AL66" s="6"/>
      <c r="AN66" t="str">
        <f t="shared" si="28"/>
        <v>"23":{</v>
      </c>
      <c r="AO66" t="str">
        <f t="shared" si="29"/>
        <v>"group":"A",</v>
      </c>
      <c r="AP66" t="str">
        <f t="shared" si="15"/>
        <v>"lot":0,</v>
      </c>
      <c r="AQ66" t="str">
        <f t="shared" si="30"/>
        <v>"name":"0",</v>
      </c>
      <c r="AR66" t="str">
        <f t="shared" si="31"/>
        <v>"team":"0",</v>
      </c>
      <c r="AS66" t="str">
        <f t="shared" si="32"/>
        <v>"year":"0",</v>
      </c>
      <c r="AT66" t="str">
        <f t="shared" si="33"/>
        <v>"division":"--",</v>
      </c>
      <c r="AU66" t="str">
        <f t="shared" si="34"/>
        <v>"bw":"0",</v>
      </c>
      <c r="AV66" t="str">
        <f t="shared" si="35"/>
        <v>"idx":"23",</v>
      </c>
      <c r="AW66" t="str">
        <f t="shared" si="36"/>
        <v>"sr":"0",</v>
      </c>
      <c r="AX66" t="str">
        <f t="shared" si="37"/>
        <v>"br":"0",</v>
      </c>
      <c r="AY66" t="str">
        <f t="shared" si="38"/>
        <v>"row":0,</v>
      </c>
      <c r="AZ66" t="s">
        <v>67</v>
      </c>
      <c r="BA66" t="str">
        <f t="shared" si="25"/>
        <v>"sq":{"a1":0,"a2":"","a3":"","s1":0,"s2":0,"s3":0},"bp":{"a1":0,"a2":"","a3":"","s1":0,"s2":0,"s3":0},"dl":{"a1":0,"a2":"","a3":"","s1":0,"s2":0,"s3":0},"sortOrder":0,"act":{}}</v>
      </c>
      <c r="BB66" t="str">
        <f t="shared" si="26"/>
        <v>"23":{"group":"A","lot":0,"name":"0","team":"0","year":"0","division":"--","bw":"0","idx":"23","sr":"0","br":"0","row":0,"sq":{"a1":0,"a2":"","a3":"","s1":0,"s2":0,"s3":0},"bp":{"a1":0,"a2":"","a3":"","s1":0,"s2":0,"s3":0},"dl":{"a1":0,"a2":"","a3":"","s1":0,"s2":0,"s3":0},"sortOrder":0,"act":{}}</v>
      </c>
    </row>
    <row r="67" spans="5:54" x14ac:dyDescent="0.25">
      <c r="E67" s="157"/>
      <c r="F67" s="102"/>
      <c r="G67" s="102"/>
      <c r="H67" s="102"/>
      <c r="I67" s="102"/>
      <c r="J67" s="102"/>
      <c r="K67" s="102"/>
      <c r="L67" s="102"/>
      <c r="M67" s="102"/>
      <c r="N67" s="102"/>
      <c r="O67" s="102"/>
      <c r="P67" s="102"/>
      <c r="Q67" s="102"/>
      <c r="R67" s="102"/>
      <c r="S67" s="102"/>
      <c r="T67" s="103"/>
      <c r="U67" s="104"/>
      <c r="V67" s="104"/>
      <c r="W67" s="105"/>
      <c r="Z67" s="15" t="str">
        <f t="shared" si="27"/>
        <v>A</v>
      </c>
      <c r="AA67" s="8">
        <f t="shared" si="1"/>
        <v>0</v>
      </c>
      <c r="AB67" s="9">
        <f t="shared" si="8"/>
        <v>0</v>
      </c>
      <c r="AC67" s="8">
        <f t="shared" si="2"/>
        <v>0</v>
      </c>
      <c r="AD67" s="8">
        <f t="shared" si="3"/>
        <v>0</v>
      </c>
      <c r="AE67" s="8" t="str">
        <f t="shared" si="9"/>
        <v>--</v>
      </c>
      <c r="AF67" s="10">
        <f t="shared" si="10"/>
        <v>0</v>
      </c>
      <c r="AG67" s="8">
        <v>23</v>
      </c>
      <c r="AH67" s="9">
        <f t="shared" si="11"/>
        <v>0</v>
      </c>
      <c r="AI67" s="11">
        <f t="shared" si="12"/>
        <v>0</v>
      </c>
      <c r="AJ67" s="6"/>
      <c r="AK67" s="6"/>
      <c r="AL67" s="6"/>
      <c r="AN67" t="str">
        <f t="shared" si="28"/>
        <v>"23":{</v>
      </c>
      <c r="AO67" t="str">
        <f t="shared" si="29"/>
        <v>"group":"A",</v>
      </c>
      <c r="AP67" t="str">
        <f t="shared" si="15"/>
        <v>"lot":0,</v>
      </c>
      <c r="AQ67" t="str">
        <f t="shared" si="30"/>
        <v>"name":"0",</v>
      </c>
      <c r="AR67" t="str">
        <f t="shared" si="31"/>
        <v>"team":"0",</v>
      </c>
      <c r="AS67" t="str">
        <f t="shared" si="32"/>
        <v>"year":"0",</v>
      </c>
      <c r="AT67" t="str">
        <f t="shared" si="33"/>
        <v>"division":"--",</v>
      </c>
      <c r="AU67" t="str">
        <f t="shared" si="34"/>
        <v>"bw":"0",</v>
      </c>
      <c r="AV67" t="str">
        <f t="shared" si="35"/>
        <v>"idx":"23",</v>
      </c>
      <c r="AW67" t="str">
        <f t="shared" si="36"/>
        <v>"sr":"0",</v>
      </c>
      <c r="AX67" t="str">
        <f t="shared" si="37"/>
        <v>"br":"0",</v>
      </c>
      <c r="AY67" t="str">
        <f t="shared" si="38"/>
        <v>"row":0,</v>
      </c>
      <c r="AZ67" t="s">
        <v>67</v>
      </c>
      <c r="BA67" t="str">
        <f t="shared" si="25"/>
        <v>"sq":{"a1":0,"a2":"","a3":"","s1":0,"s2":0,"s3":0},"bp":{"a1":0,"a2":"","a3":"","s1":0,"s2":0,"s3":0},"dl":{"a1":0,"a2":"","a3":"","s1":0,"s2":0,"s3":0},"sortOrder":0,"act":{}}</v>
      </c>
      <c r="BB67" t="str">
        <f t="shared" si="26"/>
        <v>"23":{"group":"A","lot":0,"name":"0","team":"0","year":"0","division":"--","bw":"0","idx":"23","sr":"0","br":"0","row":0,"sq":{"a1":0,"a2":"","a3":"","s1":0,"s2":0,"s3":0},"bp":{"a1":0,"a2":"","a3":"","s1":0,"s2":0,"s3":0},"dl":{"a1":0,"a2":"","a3":"","s1":0,"s2":0,"s3":0},"sortOrder":0,"act":{}}</v>
      </c>
    </row>
    <row r="68" spans="5:54" x14ac:dyDescent="0.25">
      <c r="E68" s="157"/>
      <c r="F68" s="102"/>
      <c r="G68" s="102"/>
      <c r="H68" s="102"/>
      <c r="I68" s="102"/>
      <c r="J68" s="102"/>
      <c r="K68" s="102"/>
      <c r="L68" s="102"/>
      <c r="M68" s="102"/>
      <c r="N68" s="102"/>
      <c r="O68" s="102"/>
      <c r="P68" s="102"/>
      <c r="Q68" s="102"/>
      <c r="R68" s="102"/>
      <c r="S68" s="102"/>
      <c r="T68" s="103"/>
      <c r="U68" s="104"/>
      <c r="V68" s="104"/>
      <c r="W68" s="105"/>
      <c r="Z68" s="15" t="str">
        <f t="shared" si="27"/>
        <v>A</v>
      </c>
      <c r="AA68" s="8">
        <f t="shared" ref="AA68:AA131" si="39">G68</f>
        <v>0</v>
      </c>
      <c r="AB68" s="9">
        <f t="shared" si="8"/>
        <v>0</v>
      </c>
      <c r="AC68" s="8">
        <f t="shared" ref="AC68:AC131" si="40">J68</f>
        <v>0</v>
      </c>
      <c r="AD68" s="8">
        <f t="shared" ref="AD68:AD131" si="41">K68</f>
        <v>0</v>
      </c>
      <c r="AE68" s="8" t="str">
        <f t="shared" si="9"/>
        <v>--</v>
      </c>
      <c r="AF68" s="10">
        <f t="shared" si="10"/>
        <v>0</v>
      </c>
      <c r="AG68" s="8">
        <v>23</v>
      </c>
      <c r="AH68" s="9">
        <f t="shared" si="11"/>
        <v>0</v>
      </c>
      <c r="AI68" s="11">
        <f t="shared" si="12"/>
        <v>0</v>
      </c>
      <c r="AJ68" s="6"/>
      <c r="AK68" s="6"/>
      <c r="AL68" s="6"/>
      <c r="AN68" t="str">
        <f t="shared" si="28"/>
        <v>"23":{</v>
      </c>
      <c r="AO68" t="str">
        <f t="shared" si="29"/>
        <v>"group":"A",</v>
      </c>
      <c r="AP68" t="str">
        <f t="shared" si="15"/>
        <v>"lot":0,</v>
      </c>
      <c r="AQ68" t="str">
        <f t="shared" si="30"/>
        <v>"name":"0",</v>
      </c>
      <c r="AR68" t="str">
        <f t="shared" si="31"/>
        <v>"team":"0",</v>
      </c>
      <c r="AS68" t="str">
        <f t="shared" si="32"/>
        <v>"year":"0",</v>
      </c>
      <c r="AT68" t="str">
        <f t="shared" si="33"/>
        <v>"division":"--",</v>
      </c>
      <c r="AU68" t="str">
        <f t="shared" si="34"/>
        <v>"bw":"0",</v>
      </c>
      <c r="AV68" t="str">
        <f t="shared" si="35"/>
        <v>"idx":"23",</v>
      </c>
      <c r="AW68" t="str">
        <f t="shared" si="36"/>
        <v>"sr":"0",</v>
      </c>
      <c r="AX68" t="str">
        <f t="shared" si="37"/>
        <v>"br":"0",</v>
      </c>
      <c r="AY68" t="str">
        <f t="shared" si="38"/>
        <v>"row":0,</v>
      </c>
      <c r="AZ68" t="s">
        <v>67</v>
      </c>
      <c r="BA68" t="str">
        <f t="shared" si="25"/>
        <v>"sq":{"a1":0,"a2":"","a3":"","s1":0,"s2":0,"s3":0},"bp":{"a1":0,"a2":"","a3":"","s1":0,"s2":0,"s3":0},"dl":{"a1":0,"a2":"","a3":"","s1":0,"s2":0,"s3":0},"sortOrder":0,"act":{}}</v>
      </c>
      <c r="BB68" t="str">
        <f t="shared" si="26"/>
        <v>"23":{"group":"A","lot":0,"name":"0","team":"0","year":"0","division":"--","bw":"0","idx":"23","sr":"0","br":"0","row":0,"sq":{"a1":0,"a2":"","a3":"","s1":0,"s2":0,"s3":0},"bp":{"a1":0,"a2":"","a3":"","s1":0,"s2":0,"s3":0},"dl":{"a1":0,"a2":"","a3":"","s1":0,"s2":0,"s3":0},"sortOrder":0,"act":{}}</v>
      </c>
    </row>
    <row r="69" spans="5:54" x14ac:dyDescent="0.25">
      <c r="E69" s="157"/>
      <c r="F69" s="102"/>
      <c r="G69" s="102"/>
      <c r="H69" s="102"/>
      <c r="I69" s="102"/>
      <c r="J69" s="102"/>
      <c r="K69" s="102"/>
      <c r="L69" s="102"/>
      <c r="M69" s="102"/>
      <c r="N69" s="102"/>
      <c r="O69" s="102"/>
      <c r="P69" s="102"/>
      <c r="Q69" s="102"/>
      <c r="R69" s="102"/>
      <c r="S69" s="102"/>
      <c r="T69" s="103"/>
      <c r="U69" s="104"/>
      <c r="V69" s="104"/>
      <c r="W69" s="105"/>
      <c r="Z69" s="15" t="str">
        <f t="shared" si="27"/>
        <v>A</v>
      </c>
      <c r="AA69" s="8">
        <f t="shared" si="39"/>
        <v>0</v>
      </c>
      <c r="AB69" s="9">
        <f t="shared" ref="AB69:AB132" si="42">IF(ISBLANK(H69),I69,H69&amp;" " &amp;I69)</f>
        <v>0</v>
      </c>
      <c r="AC69" s="8">
        <f t="shared" si="40"/>
        <v>0</v>
      </c>
      <c r="AD69" s="8">
        <f t="shared" si="41"/>
        <v>0</v>
      </c>
      <c r="AE69" s="8" t="str">
        <f t="shared" ref="AE69:AE132" si="43">LEFT(N69,1)&amp;"-"&amp;L69&amp;"-"&amp;M69</f>
        <v>--</v>
      </c>
      <c r="AF69" s="10">
        <f t="shared" ref="AF69:AF132" si="44">R69</f>
        <v>0</v>
      </c>
      <c r="AG69" s="8">
        <v>23</v>
      </c>
      <c r="AH69" s="9">
        <f t="shared" ref="AH69:AH132" si="45">S69</f>
        <v>0</v>
      </c>
      <c r="AI69" s="11">
        <f t="shared" ref="AI69:AI132" si="46">T69</f>
        <v>0</v>
      </c>
      <c r="AJ69" s="6"/>
      <c r="AK69" s="6"/>
      <c r="AL69" s="6"/>
      <c r="AN69" t="str">
        <f t="shared" si="28"/>
        <v>"23":{</v>
      </c>
      <c r="AO69" t="str">
        <f t="shared" si="29"/>
        <v>"group":"A",</v>
      </c>
      <c r="AP69" t="str">
        <f t="shared" ref="AP69:AP132" si="47">AA$3&amp;":"&amp;AA69&amp;","</f>
        <v>"lot":0,</v>
      </c>
      <c r="AQ69" t="str">
        <f t="shared" si="30"/>
        <v>"name":"0",</v>
      </c>
      <c r="AR69" t="str">
        <f t="shared" si="31"/>
        <v>"team":"0",</v>
      </c>
      <c r="AS69" t="str">
        <f t="shared" si="32"/>
        <v>"year":"0",</v>
      </c>
      <c r="AT69" t="str">
        <f t="shared" si="33"/>
        <v>"division":"--",</v>
      </c>
      <c r="AU69" t="str">
        <f t="shared" si="34"/>
        <v>"bw":"0",</v>
      </c>
      <c r="AV69" t="str">
        <f t="shared" si="35"/>
        <v>"idx":"23",</v>
      </c>
      <c r="AW69" t="str">
        <f t="shared" si="36"/>
        <v>"sr":"0",</v>
      </c>
      <c r="AX69" t="str">
        <f t="shared" si="37"/>
        <v>"br":"0",</v>
      </c>
      <c r="AY69" t="str">
        <f t="shared" si="38"/>
        <v>"row":0,</v>
      </c>
      <c r="AZ69" t="s">
        <v>67</v>
      </c>
      <c r="BA69" t="str">
        <f t="shared" ref="BA69:BA132" si="48">SUBSTITUTE(SUBSTITUTE(SUBSTITUTE(AZ69,"999.5",IF(ISBLANK(U69),"0",U69)),"888.5",IF(ISBLANK(V69),"0",V69)),"555.5",IF(ISBLANK(W69),"0",W69))</f>
        <v>"sq":{"a1":0,"a2":"","a3":"","s1":0,"s2":0,"s3":0},"bp":{"a1":0,"a2":"","a3":"","s1":0,"s2":0,"s3":0},"dl":{"a1":0,"a2":"","a3":"","s1":0,"s2":0,"s3":0},"sortOrder":0,"act":{}}</v>
      </c>
      <c r="BB69" t="str">
        <f t="shared" ref="BB69:BB132" si="49">AN69&amp;AO69&amp;AP69&amp;AQ69&amp;AR69&amp;AS69&amp;AT69&amp;AU69&amp;AV69&amp;AW69&amp;AX69&amp;AY69&amp;BA69</f>
        <v>"23":{"group":"A","lot":0,"name":"0","team":"0","year":"0","division":"--","bw":"0","idx":"23","sr":"0","br":"0","row":0,"sq":{"a1":0,"a2":"","a3":"","s1":0,"s2":0,"s3":0},"bp":{"a1":0,"a2":"","a3":"","s1":0,"s2":0,"s3":0},"dl":{"a1":0,"a2":"","a3":"","s1":0,"s2":0,"s3":0},"sortOrder":0,"act":{}}</v>
      </c>
    </row>
    <row r="70" spans="5:54" x14ac:dyDescent="0.25">
      <c r="E70" s="157"/>
      <c r="F70" s="102"/>
      <c r="G70" s="102"/>
      <c r="H70" s="102"/>
      <c r="I70" s="102"/>
      <c r="J70" s="102"/>
      <c r="K70" s="102"/>
      <c r="L70" s="102"/>
      <c r="M70" s="102"/>
      <c r="N70" s="102"/>
      <c r="O70" s="102"/>
      <c r="P70" s="102"/>
      <c r="Q70" s="102"/>
      <c r="R70" s="102"/>
      <c r="S70" s="102"/>
      <c r="T70" s="103"/>
      <c r="U70" s="104"/>
      <c r="V70" s="104"/>
      <c r="W70" s="105"/>
      <c r="Z70" s="15" t="str">
        <f t="shared" si="27"/>
        <v>A</v>
      </c>
      <c r="AA70" s="8">
        <f t="shared" si="39"/>
        <v>0</v>
      </c>
      <c r="AB70" s="9">
        <f t="shared" si="42"/>
        <v>0</v>
      </c>
      <c r="AC70" s="8">
        <f t="shared" si="40"/>
        <v>0</v>
      </c>
      <c r="AD70" s="8">
        <f t="shared" si="41"/>
        <v>0</v>
      </c>
      <c r="AE70" s="8" t="str">
        <f t="shared" si="43"/>
        <v>--</v>
      </c>
      <c r="AF70" s="10">
        <f t="shared" si="44"/>
        <v>0</v>
      </c>
      <c r="AG70" s="8">
        <v>23</v>
      </c>
      <c r="AH70" s="9">
        <f t="shared" si="45"/>
        <v>0</v>
      </c>
      <c r="AI70" s="11">
        <f t="shared" si="46"/>
        <v>0</v>
      </c>
      <c r="AJ70" s="6"/>
      <c r="AK70" s="6"/>
      <c r="AL70" s="6"/>
      <c r="AN70" t="str">
        <f t="shared" si="28"/>
        <v>"23":{</v>
      </c>
      <c r="AO70" t="str">
        <f t="shared" si="29"/>
        <v>"group":"A",</v>
      </c>
      <c r="AP70" t="str">
        <f t="shared" si="47"/>
        <v>"lot":0,</v>
      </c>
      <c r="AQ70" t="str">
        <f t="shared" si="30"/>
        <v>"name":"0",</v>
      </c>
      <c r="AR70" t="str">
        <f t="shared" si="31"/>
        <v>"team":"0",</v>
      </c>
      <c r="AS70" t="str">
        <f t="shared" si="32"/>
        <v>"year":"0",</v>
      </c>
      <c r="AT70" t="str">
        <f t="shared" si="33"/>
        <v>"division":"--",</v>
      </c>
      <c r="AU70" t="str">
        <f t="shared" si="34"/>
        <v>"bw":"0",</v>
      </c>
      <c r="AV70" t="str">
        <f t="shared" si="35"/>
        <v>"idx":"23",</v>
      </c>
      <c r="AW70" t="str">
        <f t="shared" si="36"/>
        <v>"sr":"0",</v>
      </c>
      <c r="AX70" t="str">
        <f t="shared" si="37"/>
        <v>"br":"0",</v>
      </c>
      <c r="AY70" t="str">
        <f t="shared" si="38"/>
        <v>"row":0,</v>
      </c>
      <c r="AZ70" t="s">
        <v>67</v>
      </c>
      <c r="BA70" t="str">
        <f t="shared" si="48"/>
        <v>"sq":{"a1":0,"a2":"","a3":"","s1":0,"s2":0,"s3":0},"bp":{"a1":0,"a2":"","a3":"","s1":0,"s2":0,"s3":0},"dl":{"a1":0,"a2":"","a3":"","s1":0,"s2":0,"s3":0},"sortOrder":0,"act":{}}</v>
      </c>
      <c r="BB70" t="str">
        <f t="shared" si="49"/>
        <v>"23":{"group":"A","lot":0,"name":"0","team":"0","year":"0","division":"--","bw":"0","idx":"23","sr":"0","br":"0","row":0,"sq":{"a1":0,"a2":"","a3":"","s1":0,"s2":0,"s3":0},"bp":{"a1":0,"a2":"","a3":"","s1":0,"s2":0,"s3":0},"dl":{"a1":0,"a2":"","a3":"","s1":0,"s2":0,"s3":0},"sortOrder":0,"act":{}}</v>
      </c>
    </row>
    <row r="71" spans="5:54" x14ac:dyDescent="0.25">
      <c r="E71" s="157"/>
      <c r="F71" s="102"/>
      <c r="G71" s="102"/>
      <c r="H71" s="102"/>
      <c r="I71" s="102"/>
      <c r="J71" s="102"/>
      <c r="K71" s="102"/>
      <c r="L71" s="102"/>
      <c r="M71" s="102"/>
      <c r="N71" s="102"/>
      <c r="O71" s="102"/>
      <c r="P71" s="102"/>
      <c r="Q71" s="102"/>
      <c r="R71" s="102"/>
      <c r="S71" s="102"/>
      <c r="T71" s="103"/>
      <c r="U71" s="104"/>
      <c r="V71" s="104"/>
      <c r="W71" s="105"/>
      <c r="Z71" s="15" t="str">
        <f t="shared" si="27"/>
        <v>A</v>
      </c>
      <c r="AA71" s="8">
        <f t="shared" si="39"/>
        <v>0</v>
      </c>
      <c r="AB71" s="9">
        <f t="shared" si="42"/>
        <v>0</v>
      </c>
      <c r="AC71" s="8">
        <f t="shared" si="40"/>
        <v>0</v>
      </c>
      <c r="AD71" s="8">
        <f t="shared" si="41"/>
        <v>0</v>
      </c>
      <c r="AE71" s="8" t="str">
        <f t="shared" si="43"/>
        <v>--</v>
      </c>
      <c r="AF71" s="10">
        <f t="shared" si="44"/>
        <v>0</v>
      </c>
      <c r="AG71" s="8">
        <v>23</v>
      </c>
      <c r="AH71" s="9">
        <f t="shared" si="45"/>
        <v>0</v>
      </c>
      <c r="AI71" s="11">
        <f t="shared" si="46"/>
        <v>0</v>
      </c>
      <c r="AJ71" s="6"/>
      <c r="AK71" s="6"/>
      <c r="AL71" s="6"/>
      <c r="AN71" t="str">
        <f t="shared" si="28"/>
        <v>"23":{</v>
      </c>
      <c r="AO71" t="str">
        <f t="shared" si="29"/>
        <v>"group":"A",</v>
      </c>
      <c r="AP71" t="str">
        <f t="shared" si="47"/>
        <v>"lot":0,</v>
      </c>
      <c r="AQ71" t="str">
        <f t="shared" si="30"/>
        <v>"name":"0",</v>
      </c>
      <c r="AR71" t="str">
        <f t="shared" si="31"/>
        <v>"team":"0",</v>
      </c>
      <c r="AS71" t="str">
        <f t="shared" si="32"/>
        <v>"year":"0",</v>
      </c>
      <c r="AT71" t="str">
        <f t="shared" si="33"/>
        <v>"division":"--",</v>
      </c>
      <c r="AU71" t="str">
        <f t="shared" si="34"/>
        <v>"bw":"0",</v>
      </c>
      <c r="AV71" t="str">
        <f t="shared" si="35"/>
        <v>"idx":"23",</v>
      </c>
      <c r="AW71" t="str">
        <f t="shared" si="36"/>
        <v>"sr":"0",</v>
      </c>
      <c r="AX71" t="str">
        <f t="shared" si="37"/>
        <v>"br":"0",</v>
      </c>
      <c r="AY71" t="str">
        <f t="shared" si="38"/>
        <v>"row":0,</v>
      </c>
      <c r="AZ71" t="s">
        <v>67</v>
      </c>
      <c r="BA71" t="str">
        <f t="shared" si="48"/>
        <v>"sq":{"a1":0,"a2":"","a3":"","s1":0,"s2":0,"s3":0},"bp":{"a1":0,"a2":"","a3":"","s1":0,"s2":0,"s3":0},"dl":{"a1":0,"a2":"","a3":"","s1":0,"s2":0,"s3":0},"sortOrder":0,"act":{}}</v>
      </c>
      <c r="BB71" t="str">
        <f t="shared" si="49"/>
        <v>"23":{"group":"A","lot":0,"name":"0","team":"0","year":"0","division":"--","bw":"0","idx":"23","sr":"0","br":"0","row":0,"sq":{"a1":0,"a2":"","a3":"","s1":0,"s2":0,"s3":0},"bp":{"a1":0,"a2":"","a3":"","s1":0,"s2":0,"s3":0},"dl":{"a1":0,"a2":"","a3":"","s1":0,"s2":0,"s3":0},"sortOrder":0,"act":{}}</v>
      </c>
    </row>
    <row r="72" spans="5:54" x14ac:dyDescent="0.25">
      <c r="E72" s="157"/>
      <c r="F72" s="102"/>
      <c r="G72" s="102"/>
      <c r="H72" s="102"/>
      <c r="I72" s="102"/>
      <c r="J72" s="102"/>
      <c r="K72" s="102"/>
      <c r="L72" s="102"/>
      <c r="M72" s="102"/>
      <c r="N72" s="102"/>
      <c r="O72" s="102"/>
      <c r="P72" s="102"/>
      <c r="Q72" s="102"/>
      <c r="R72" s="102"/>
      <c r="S72" s="102"/>
      <c r="T72" s="103"/>
      <c r="U72" s="104"/>
      <c r="V72" s="104"/>
      <c r="W72" s="105"/>
      <c r="Z72" s="15" t="str">
        <f t="shared" si="27"/>
        <v>A</v>
      </c>
      <c r="AA72" s="8">
        <f t="shared" si="39"/>
        <v>0</v>
      </c>
      <c r="AB72" s="9">
        <f t="shared" si="42"/>
        <v>0</v>
      </c>
      <c r="AC72" s="8">
        <f t="shared" si="40"/>
        <v>0</v>
      </c>
      <c r="AD72" s="8">
        <f t="shared" si="41"/>
        <v>0</v>
      </c>
      <c r="AE72" s="8" t="str">
        <f t="shared" si="43"/>
        <v>--</v>
      </c>
      <c r="AF72" s="10">
        <f t="shared" si="44"/>
        <v>0</v>
      </c>
      <c r="AG72" s="8">
        <v>23</v>
      </c>
      <c r="AH72" s="9">
        <f t="shared" si="45"/>
        <v>0</v>
      </c>
      <c r="AI72" s="11">
        <f t="shared" si="46"/>
        <v>0</v>
      </c>
      <c r="AJ72" s="6"/>
      <c r="AK72" s="6"/>
      <c r="AL72" s="6"/>
      <c r="AN72" t="str">
        <f t="shared" si="28"/>
        <v>"23":{</v>
      </c>
      <c r="AO72" t="str">
        <f t="shared" si="29"/>
        <v>"group":"A",</v>
      </c>
      <c r="AP72" t="str">
        <f t="shared" si="47"/>
        <v>"lot":0,</v>
      </c>
      <c r="AQ72" t="str">
        <f t="shared" si="30"/>
        <v>"name":"0",</v>
      </c>
      <c r="AR72" t="str">
        <f t="shared" si="31"/>
        <v>"team":"0",</v>
      </c>
      <c r="AS72" t="str">
        <f t="shared" si="32"/>
        <v>"year":"0",</v>
      </c>
      <c r="AT72" t="str">
        <f t="shared" si="33"/>
        <v>"division":"--",</v>
      </c>
      <c r="AU72" t="str">
        <f t="shared" si="34"/>
        <v>"bw":"0",</v>
      </c>
      <c r="AV72" t="str">
        <f t="shared" si="35"/>
        <v>"idx":"23",</v>
      </c>
      <c r="AW72" t="str">
        <f t="shared" si="36"/>
        <v>"sr":"0",</v>
      </c>
      <c r="AX72" t="str">
        <f t="shared" si="37"/>
        <v>"br":"0",</v>
      </c>
      <c r="AY72" t="str">
        <f t="shared" si="38"/>
        <v>"row":0,</v>
      </c>
      <c r="AZ72" t="s">
        <v>67</v>
      </c>
      <c r="BA72" t="str">
        <f t="shared" si="48"/>
        <v>"sq":{"a1":0,"a2":"","a3":"","s1":0,"s2":0,"s3":0},"bp":{"a1":0,"a2":"","a3":"","s1":0,"s2":0,"s3":0},"dl":{"a1":0,"a2":"","a3":"","s1":0,"s2":0,"s3":0},"sortOrder":0,"act":{}}</v>
      </c>
      <c r="BB72" t="str">
        <f t="shared" si="49"/>
        <v>"23":{"group":"A","lot":0,"name":"0","team":"0","year":"0","division":"--","bw":"0","idx":"23","sr":"0","br":"0","row":0,"sq":{"a1":0,"a2":"","a3":"","s1":0,"s2":0,"s3":0},"bp":{"a1":0,"a2":"","a3":"","s1":0,"s2":0,"s3":0},"dl":{"a1":0,"a2":"","a3":"","s1":0,"s2":0,"s3":0},"sortOrder":0,"act":{}}</v>
      </c>
    </row>
    <row r="73" spans="5:54" x14ac:dyDescent="0.25">
      <c r="E73" s="157"/>
      <c r="F73" s="102"/>
      <c r="G73" s="102"/>
      <c r="H73" s="102"/>
      <c r="I73" s="102"/>
      <c r="J73" s="102"/>
      <c r="K73" s="102"/>
      <c r="L73" s="102"/>
      <c r="M73" s="102"/>
      <c r="N73" s="102"/>
      <c r="O73" s="102"/>
      <c r="P73" s="102"/>
      <c r="Q73" s="102"/>
      <c r="R73" s="102"/>
      <c r="S73" s="102"/>
      <c r="T73" s="103"/>
      <c r="U73" s="104"/>
      <c r="V73" s="104"/>
      <c r="W73" s="105"/>
      <c r="Z73" s="15" t="str">
        <f t="shared" si="27"/>
        <v>A</v>
      </c>
      <c r="AA73" s="8">
        <f t="shared" si="39"/>
        <v>0</v>
      </c>
      <c r="AB73" s="9">
        <f t="shared" si="42"/>
        <v>0</v>
      </c>
      <c r="AC73" s="8">
        <f t="shared" si="40"/>
        <v>0</v>
      </c>
      <c r="AD73" s="8">
        <f t="shared" si="41"/>
        <v>0</v>
      </c>
      <c r="AE73" s="8" t="str">
        <f t="shared" si="43"/>
        <v>--</v>
      </c>
      <c r="AF73" s="10">
        <f t="shared" si="44"/>
        <v>0</v>
      </c>
      <c r="AG73" s="8">
        <v>23</v>
      </c>
      <c r="AH73" s="9">
        <f t="shared" si="45"/>
        <v>0</v>
      </c>
      <c r="AI73" s="11">
        <f t="shared" si="46"/>
        <v>0</v>
      </c>
      <c r="AJ73" s="6"/>
      <c r="AK73" s="6"/>
      <c r="AL73" s="6"/>
      <c r="AN73" t="str">
        <f t="shared" si="28"/>
        <v>"23":{</v>
      </c>
      <c r="AO73" t="str">
        <f t="shared" si="29"/>
        <v>"group":"A",</v>
      </c>
      <c r="AP73" t="str">
        <f t="shared" si="47"/>
        <v>"lot":0,</v>
      </c>
      <c r="AQ73" t="str">
        <f t="shared" si="30"/>
        <v>"name":"0",</v>
      </c>
      <c r="AR73" t="str">
        <f t="shared" si="31"/>
        <v>"team":"0",</v>
      </c>
      <c r="AS73" t="str">
        <f t="shared" si="32"/>
        <v>"year":"0",</v>
      </c>
      <c r="AT73" t="str">
        <f t="shared" si="33"/>
        <v>"division":"--",</v>
      </c>
      <c r="AU73" t="str">
        <f t="shared" si="34"/>
        <v>"bw":"0",</v>
      </c>
      <c r="AV73" t="str">
        <f t="shared" si="35"/>
        <v>"idx":"23",</v>
      </c>
      <c r="AW73" t="str">
        <f t="shared" si="36"/>
        <v>"sr":"0",</v>
      </c>
      <c r="AX73" t="str">
        <f t="shared" si="37"/>
        <v>"br":"0",</v>
      </c>
      <c r="AY73" t="str">
        <f t="shared" si="38"/>
        <v>"row":0,</v>
      </c>
      <c r="AZ73" t="s">
        <v>67</v>
      </c>
      <c r="BA73" t="str">
        <f t="shared" si="48"/>
        <v>"sq":{"a1":0,"a2":"","a3":"","s1":0,"s2":0,"s3":0},"bp":{"a1":0,"a2":"","a3":"","s1":0,"s2":0,"s3":0},"dl":{"a1":0,"a2":"","a3":"","s1":0,"s2":0,"s3":0},"sortOrder":0,"act":{}}</v>
      </c>
      <c r="BB73" t="str">
        <f t="shared" si="49"/>
        <v>"23":{"group":"A","lot":0,"name":"0","team":"0","year":"0","division":"--","bw":"0","idx":"23","sr":"0","br":"0","row":0,"sq":{"a1":0,"a2":"","a3":"","s1":0,"s2":0,"s3":0},"bp":{"a1":0,"a2":"","a3":"","s1":0,"s2":0,"s3":0},"dl":{"a1":0,"a2":"","a3":"","s1":0,"s2":0,"s3":0},"sortOrder":0,"act":{}}</v>
      </c>
    </row>
    <row r="74" spans="5:54" x14ac:dyDescent="0.25">
      <c r="E74" s="157"/>
      <c r="F74" s="102"/>
      <c r="G74" s="102"/>
      <c r="H74" s="102"/>
      <c r="I74" s="102"/>
      <c r="J74" s="102"/>
      <c r="K74" s="102"/>
      <c r="L74" s="102"/>
      <c r="M74" s="102"/>
      <c r="N74" s="102"/>
      <c r="O74" s="102"/>
      <c r="P74" s="102"/>
      <c r="Q74" s="102"/>
      <c r="R74" s="102"/>
      <c r="S74" s="102"/>
      <c r="T74" s="103"/>
      <c r="U74" s="104"/>
      <c r="V74" s="104"/>
      <c r="W74" s="105"/>
      <c r="Z74" s="15" t="str">
        <f t="shared" si="27"/>
        <v>A</v>
      </c>
      <c r="AA74" s="8">
        <f t="shared" si="39"/>
        <v>0</v>
      </c>
      <c r="AB74" s="9">
        <f t="shared" si="42"/>
        <v>0</v>
      </c>
      <c r="AC74" s="8">
        <f t="shared" si="40"/>
        <v>0</v>
      </c>
      <c r="AD74" s="8">
        <f t="shared" si="41"/>
        <v>0</v>
      </c>
      <c r="AE74" s="8" t="str">
        <f t="shared" si="43"/>
        <v>--</v>
      </c>
      <c r="AF74" s="10">
        <f t="shared" si="44"/>
        <v>0</v>
      </c>
      <c r="AG74" s="8">
        <v>23</v>
      </c>
      <c r="AH74" s="9">
        <f t="shared" si="45"/>
        <v>0</v>
      </c>
      <c r="AI74" s="11">
        <f t="shared" si="46"/>
        <v>0</v>
      </c>
      <c r="AJ74" s="6"/>
      <c r="AK74" s="6"/>
      <c r="AL74" s="6"/>
      <c r="AN74" t="str">
        <f t="shared" si="28"/>
        <v>"23":{</v>
      </c>
      <c r="AO74" t="str">
        <f t="shared" si="29"/>
        <v>"group":"A",</v>
      </c>
      <c r="AP74" t="str">
        <f t="shared" si="47"/>
        <v>"lot":0,</v>
      </c>
      <c r="AQ74" t="str">
        <f t="shared" si="30"/>
        <v>"name":"0",</v>
      </c>
      <c r="AR74" t="str">
        <f t="shared" si="31"/>
        <v>"team":"0",</v>
      </c>
      <c r="AS74" t="str">
        <f t="shared" si="32"/>
        <v>"year":"0",</v>
      </c>
      <c r="AT74" t="str">
        <f t="shared" si="33"/>
        <v>"division":"--",</v>
      </c>
      <c r="AU74" t="str">
        <f t="shared" si="34"/>
        <v>"bw":"0",</v>
      </c>
      <c r="AV74" t="str">
        <f t="shared" si="35"/>
        <v>"idx":"23",</v>
      </c>
      <c r="AW74" t="str">
        <f t="shared" si="36"/>
        <v>"sr":"0",</v>
      </c>
      <c r="AX74" t="str">
        <f t="shared" si="37"/>
        <v>"br":"0",</v>
      </c>
      <c r="AY74" t="str">
        <f t="shared" si="38"/>
        <v>"row":0,</v>
      </c>
      <c r="AZ74" t="s">
        <v>67</v>
      </c>
      <c r="BA74" t="str">
        <f t="shared" si="48"/>
        <v>"sq":{"a1":0,"a2":"","a3":"","s1":0,"s2":0,"s3":0},"bp":{"a1":0,"a2":"","a3":"","s1":0,"s2":0,"s3":0},"dl":{"a1":0,"a2":"","a3":"","s1":0,"s2":0,"s3":0},"sortOrder":0,"act":{}}</v>
      </c>
      <c r="BB74" t="str">
        <f t="shared" si="49"/>
        <v>"23":{"group":"A","lot":0,"name":"0","team":"0","year":"0","division":"--","bw":"0","idx":"23","sr":"0","br":"0","row":0,"sq":{"a1":0,"a2":"","a3":"","s1":0,"s2":0,"s3":0},"bp":{"a1":0,"a2":"","a3":"","s1":0,"s2":0,"s3":0},"dl":{"a1":0,"a2":"","a3":"","s1":0,"s2":0,"s3":0},"sortOrder":0,"act":{}}</v>
      </c>
    </row>
    <row r="75" spans="5:54" x14ac:dyDescent="0.25">
      <c r="E75" s="158"/>
      <c r="F75" s="106"/>
      <c r="G75" s="106"/>
      <c r="H75" s="106"/>
      <c r="I75" s="106"/>
      <c r="J75" s="106"/>
      <c r="K75" s="106"/>
      <c r="L75" s="106"/>
      <c r="M75" s="106"/>
      <c r="N75" s="106"/>
      <c r="O75" s="106"/>
      <c r="P75" s="106"/>
      <c r="Q75" s="106"/>
      <c r="R75" s="106"/>
      <c r="S75" s="106"/>
      <c r="T75" s="107"/>
      <c r="U75" s="108"/>
      <c r="V75" s="108"/>
      <c r="W75" s="109"/>
      <c r="Z75" s="15" t="str">
        <f t="shared" si="27"/>
        <v>A</v>
      </c>
      <c r="AA75" s="8">
        <f t="shared" si="39"/>
        <v>0</v>
      </c>
      <c r="AB75" s="9">
        <f t="shared" si="42"/>
        <v>0</v>
      </c>
      <c r="AC75" s="8">
        <f t="shared" si="40"/>
        <v>0</v>
      </c>
      <c r="AD75" s="8">
        <f t="shared" si="41"/>
        <v>0</v>
      </c>
      <c r="AE75" s="8" t="str">
        <f t="shared" si="43"/>
        <v>--</v>
      </c>
      <c r="AF75" s="10">
        <f t="shared" si="44"/>
        <v>0</v>
      </c>
      <c r="AG75" s="8">
        <v>23</v>
      </c>
      <c r="AH75" s="9">
        <f t="shared" si="45"/>
        <v>0</v>
      </c>
      <c r="AI75" s="11">
        <f t="shared" si="46"/>
        <v>0</v>
      </c>
      <c r="AJ75" s="6"/>
      <c r="AK75" s="6"/>
      <c r="AL75" s="6"/>
      <c r="AN75" t="str">
        <f t="shared" si="28"/>
        <v>"23":{</v>
      </c>
      <c r="AO75" t="str">
        <f t="shared" si="29"/>
        <v>"group":"A",</v>
      </c>
      <c r="AP75" t="str">
        <f t="shared" si="47"/>
        <v>"lot":0,</v>
      </c>
      <c r="AQ75" t="str">
        <f t="shared" si="30"/>
        <v>"name":"0",</v>
      </c>
      <c r="AR75" t="str">
        <f t="shared" si="31"/>
        <v>"team":"0",</v>
      </c>
      <c r="AS75" t="str">
        <f t="shared" si="32"/>
        <v>"year":"0",</v>
      </c>
      <c r="AT75" t="str">
        <f t="shared" si="33"/>
        <v>"division":"--",</v>
      </c>
      <c r="AU75" t="str">
        <f t="shared" si="34"/>
        <v>"bw":"0",</v>
      </c>
      <c r="AV75" t="str">
        <f t="shared" si="35"/>
        <v>"idx":"23",</v>
      </c>
      <c r="AW75" t="str">
        <f t="shared" si="36"/>
        <v>"sr":"0",</v>
      </c>
      <c r="AX75" t="str">
        <f t="shared" si="37"/>
        <v>"br":"0",</v>
      </c>
      <c r="AY75" t="str">
        <f t="shared" si="38"/>
        <v>"row":0,</v>
      </c>
      <c r="AZ75" t="s">
        <v>67</v>
      </c>
      <c r="BA75" t="str">
        <f t="shared" si="48"/>
        <v>"sq":{"a1":0,"a2":"","a3":"","s1":0,"s2":0,"s3":0},"bp":{"a1":0,"a2":"","a3":"","s1":0,"s2":0,"s3":0},"dl":{"a1":0,"a2":"","a3":"","s1":0,"s2":0,"s3":0},"sortOrder":0,"act":{}}</v>
      </c>
      <c r="BB75" t="str">
        <f t="shared" si="49"/>
        <v>"23":{"group":"A","lot":0,"name":"0","team":"0","year":"0","division":"--","bw":"0","idx":"23","sr":"0","br":"0","row":0,"sq":{"a1":0,"a2":"","a3":"","s1":0,"s2":0,"s3":0},"bp":{"a1":0,"a2":"","a3":"","s1":0,"s2":0,"s3":0},"dl":{"a1":0,"a2":"","a3":"","s1":0,"s2":0,"s3":0},"sortOrder":0,"act":{}}</v>
      </c>
    </row>
    <row r="76" spans="5:54" x14ac:dyDescent="0.25">
      <c r="E76" s="158"/>
      <c r="F76" s="106"/>
      <c r="G76" s="106"/>
      <c r="H76" s="106"/>
      <c r="I76" s="106"/>
      <c r="J76" s="106"/>
      <c r="K76" s="106"/>
      <c r="L76" s="106"/>
      <c r="M76" s="106"/>
      <c r="N76" s="106"/>
      <c r="O76" s="106"/>
      <c r="P76" s="106"/>
      <c r="Q76" s="106"/>
      <c r="R76" s="106"/>
      <c r="S76" s="106"/>
      <c r="T76" s="107"/>
      <c r="U76" s="108"/>
      <c r="V76" s="108"/>
      <c r="W76" s="109"/>
      <c r="Z76" s="15" t="str">
        <f t="shared" si="27"/>
        <v>A</v>
      </c>
      <c r="AA76" s="8">
        <f t="shared" si="39"/>
        <v>0</v>
      </c>
      <c r="AB76" s="9">
        <f t="shared" si="42"/>
        <v>0</v>
      </c>
      <c r="AC76" s="8">
        <f t="shared" si="40"/>
        <v>0</v>
      </c>
      <c r="AD76" s="8">
        <f t="shared" si="41"/>
        <v>0</v>
      </c>
      <c r="AE76" s="8" t="str">
        <f t="shared" si="43"/>
        <v>--</v>
      </c>
      <c r="AF76" s="10">
        <f t="shared" si="44"/>
        <v>0</v>
      </c>
      <c r="AG76" s="8">
        <v>23</v>
      </c>
      <c r="AH76" s="9">
        <f t="shared" si="45"/>
        <v>0</v>
      </c>
      <c r="AI76" s="11">
        <f t="shared" si="46"/>
        <v>0</v>
      </c>
      <c r="AJ76" s="6"/>
      <c r="AK76" s="6"/>
      <c r="AL76" s="6"/>
      <c r="AN76" t="str">
        <f t="shared" si="28"/>
        <v>"23":{</v>
      </c>
      <c r="AO76" t="str">
        <f t="shared" si="29"/>
        <v>"group":"A",</v>
      </c>
      <c r="AP76" t="str">
        <f t="shared" si="47"/>
        <v>"lot":0,</v>
      </c>
      <c r="AQ76" t="str">
        <f t="shared" si="30"/>
        <v>"name":"0",</v>
      </c>
      <c r="AR76" t="str">
        <f t="shared" si="31"/>
        <v>"team":"0",</v>
      </c>
      <c r="AS76" t="str">
        <f t="shared" si="32"/>
        <v>"year":"0",</v>
      </c>
      <c r="AT76" t="str">
        <f t="shared" si="33"/>
        <v>"division":"--",</v>
      </c>
      <c r="AU76" t="str">
        <f t="shared" si="34"/>
        <v>"bw":"0",</v>
      </c>
      <c r="AV76" t="str">
        <f t="shared" si="35"/>
        <v>"idx":"23",</v>
      </c>
      <c r="AW76" t="str">
        <f t="shared" si="36"/>
        <v>"sr":"0",</v>
      </c>
      <c r="AX76" t="str">
        <f t="shared" si="37"/>
        <v>"br":"0",</v>
      </c>
      <c r="AY76" t="str">
        <f t="shared" si="38"/>
        <v>"row":0,</v>
      </c>
      <c r="AZ76" t="s">
        <v>67</v>
      </c>
      <c r="BA76" t="str">
        <f t="shared" si="48"/>
        <v>"sq":{"a1":0,"a2":"","a3":"","s1":0,"s2":0,"s3":0},"bp":{"a1":0,"a2":"","a3":"","s1":0,"s2":0,"s3":0},"dl":{"a1":0,"a2":"","a3":"","s1":0,"s2":0,"s3":0},"sortOrder":0,"act":{}}</v>
      </c>
      <c r="BB76" t="str">
        <f t="shared" si="49"/>
        <v>"23":{"group":"A","lot":0,"name":"0","team":"0","year":"0","division":"--","bw":"0","idx":"23","sr":"0","br":"0","row":0,"sq":{"a1":0,"a2":"","a3":"","s1":0,"s2":0,"s3":0},"bp":{"a1":0,"a2":"","a3":"","s1":0,"s2":0,"s3":0},"dl":{"a1":0,"a2":"","a3":"","s1":0,"s2":0,"s3":0},"sortOrder":0,"act":{}}</v>
      </c>
    </row>
    <row r="77" spans="5:54" x14ac:dyDescent="0.25">
      <c r="E77" s="158"/>
      <c r="F77" s="106"/>
      <c r="G77" s="106"/>
      <c r="H77" s="106"/>
      <c r="I77" s="106"/>
      <c r="J77" s="106"/>
      <c r="K77" s="106"/>
      <c r="L77" s="106"/>
      <c r="M77" s="106"/>
      <c r="N77" s="106"/>
      <c r="O77" s="106"/>
      <c r="P77" s="106"/>
      <c r="Q77" s="106"/>
      <c r="R77" s="106"/>
      <c r="S77" s="106"/>
      <c r="T77" s="107"/>
      <c r="U77" s="108"/>
      <c r="V77" s="108"/>
      <c r="W77" s="109"/>
      <c r="Z77" s="15" t="str">
        <f t="shared" si="27"/>
        <v>A</v>
      </c>
      <c r="AA77" s="8">
        <f t="shared" si="39"/>
        <v>0</v>
      </c>
      <c r="AB77" s="9">
        <f t="shared" si="42"/>
        <v>0</v>
      </c>
      <c r="AC77" s="8">
        <f t="shared" si="40"/>
        <v>0</v>
      </c>
      <c r="AD77" s="8">
        <f t="shared" si="41"/>
        <v>0</v>
      </c>
      <c r="AE77" s="8" t="str">
        <f t="shared" si="43"/>
        <v>--</v>
      </c>
      <c r="AF77" s="10">
        <f t="shared" si="44"/>
        <v>0</v>
      </c>
      <c r="AG77" s="8">
        <v>23</v>
      </c>
      <c r="AH77" s="9">
        <f t="shared" si="45"/>
        <v>0</v>
      </c>
      <c r="AI77" s="11">
        <f t="shared" si="46"/>
        <v>0</v>
      </c>
      <c r="AJ77" s="6"/>
      <c r="AK77" s="6"/>
      <c r="AL77" s="6"/>
      <c r="AN77" t="str">
        <f t="shared" si="28"/>
        <v>"23":{</v>
      </c>
      <c r="AO77" t="str">
        <f t="shared" si="29"/>
        <v>"group":"A",</v>
      </c>
      <c r="AP77" t="str">
        <f t="shared" si="47"/>
        <v>"lot":0,</v>
      </c>
      <c r="AQ77" t="str">
        <f t="shared" si="30"/>
        <v>"name":"0",</v>
      </c>
      <c r="AR77" t="str">
        <f t="shared" si="31"/>
        <v>"team":"0",</v>
      </c>
      <c r="AS77" t="str">
        <f t="shared" si="32"/>
        <v>"year":"0",</v>
      </c>
      <c r="AT77" t="str">
        <f t="shared" si="33"/>
        <v>"division":"--",</v>
      </c>
      <c r="AU77" t="str">
        <f t="shared" si="34"/>
        <v>"bw":"0",</v>
      </c>
      <c r="AV77" t="str">
        <f t="shared" si="35"/>
        <v>"idx":"23",</v>
      </c>
      <c r="AW77" t="str">
        <f t="shared" si="36"/>
        <v>"sr":"0",</v>
      </c>
      <c r="AX77" t="str">
        <f t="shared" si="37"/>
        <v>"br":"0",</v>
      </c>
      <c r="AY77" t="str">
        <f t="shared" si="38"/>
        <v>"row":0,</v>
      </c>
      <c r="AZ77" t="s">
        <v>67</v>
      </c>
      <c r="BA77" t="str">
        <f t="shared" si="48"/>
        <v>"sq":{"a1":0,"a2":"","a3":"","s1":0,"s2":0,"s3":0},"bp":{"a1":0,"a2":"","a3":"","s1":0,"s2":0,"s3":0},"dl":{"a1":0,"a2":"","a3":"","s1":0,"s2":0,"s3":0},"sortOrder":0,"act":{}}</v>
      </c>
      <c r="BB77" t="str">
        <f t="shared" si="49"/>
        <v>"23":{"group":"A","lot":0,"name":"0","team":"0","year":"0","division":"--","bw":"0","idx":"23","sr":"0","br":"0","row":0,"sq":{"a1":0,"a2":"","a3":"","s1":0,"s2":0,"s3":0},"bp":{"a1":0,"a2":"","a3":"","s1":0,"s2":0,"s3":0},"dl":{"a1":0,"a2":"","a3":"","s1":0,"s2":0,"s3":0},"sortOrder":0,"act":{}}</v>
      </c>
    </row>
    <row r="78" spans="5:54" x14ac:dyDescent="0.25">
      <c r="E78" s="158"/>
      <c r="F78" s="106"/>
      <c r="G78" s="106"/>
      <c r="H78" s="106"/>
      <c r="I78" s="106"/>
      <c r="J78" s="106"/>
      <c r="K78" s="106"/>
      <c r="L78" s="106"/>
      <c r="M78" s="106"/>
      <c r="N78" s="106"/>
      <c r="O78" s="106"/>
      <c r="P78" s="106"/>
      <c r="Q78" s="106"/>
      <c r="R78" s="106"/>
      <c r="S78" s="106"/>
      <c r="T78" s="107"/>
      <c r="U78" s="108"/>
      <c r="V78" s="108"/>
      <c r="W78" s="109"/>
      <c r="Z78" s="15" t="str">
        <f t="shared" si="27"/>
        <v>A</v>
      </c>
      <c r="AA78" s="8">
        <f t="shared" si="39"/>
        <v>0</v>
      </c>
      <c r="AB78" s="9">
        <f t="shared" si="42"/>
        <v>0</v>
      </c>
      <c r="AC78" s="8">
        <f t="shared" si="40"/>
        <v>0</v>
      </c>
      <c r="AD78" s="8">
        <f t="shared" si="41"/>
        <v>0</v>
      </c>
      <c r="AE78" s="8" t="str">
        <f t="shared" si="43"/>
        <v>--</v>
      </c>
      <c r="AF78" s="10">
        <f t="shared" si="44"/>
        <v>0</v>
      </c>
      <c r="AG78" s="8">
        <v>23</v>
      </c>
      <c r="AH78" s="9">
        <f t="shared" si="45"/>
        <v>0</v>
      </c>
      <c r="AI78" s="11">
        <f t="shared" si="46"/>
        <v>0</v>
      </c>
      <c r="AJ78" s="6"/>
      <c r="AK78" s="6"/>
      <c r="AL78" s="6"/>
      <c r="AN78" t="str">
        <f t="shared" si="28"/>
        <v>"23":{</v>
      </c>
      <c r="AO78" t="str">
        <f t="shared" si="29"/>
        <v>"group":"A",</v>
      </c>
      <c r="AP78" t="str">
        <f t="shared" si="47"/>
        <v>"lot":0,</v>
      </c>
      <c r="AQ78" t="str">
        <f t="shared" si="30"/>
        <v>"name":"0",</v>
      </c>
      <c r="AR78" t="str">
        <f t="shared" si="31"/>
        <v>"team":"0",</v>
      </c>
      <c r="AS78" t="str">
        <f t="shared" si="32"/>
        <v>"year":"0",</v>
      </c>
      <c r="AT78" t="str">
        <f t="shared" si="33"/>
        <v>"division":"--",</v>
      </c>
      <c r="AU78" t="str">
        <f t="shared" si="34"/>
        <v>"bw":"0",</v>
      </c>
      <c r="AV78" t="str">
        <f t="shared" si="35"/>
        <v>"idx":"23",</v>
      </c>
      <c r="AW78" t="str">
        <f t="shared" si="36"/>
        <v>"sr":"0",</v>
      </c>
      <c r="AX78" t="str">
        <f t="shared" si="37"/>
        <v>"br":"0",</v>
      </c>
      <c r="AY78" t="str">
        <f t="shared" si="38"/>
        <v>"row":0,</v>
      </c>
      <c r="AZ78" t="s">
        <v>67</v>
      </c>
      <c r="BA78" t="str">
        <f t="shared" si="48"/>
        <v>"sq":{"a1":0,"a2":"","a3":"","s1":0,"s2":0,"s3":0},"bp":{"a1":0,"a2":"","a3":"","s1":0,"s2":0,"s3":0},"dl":{"a1":0,"a2":"","a3":"","s1":0,"s2":0,"s3":0},"sortOrder":0,"act":{}}</v>
      </c>
      <c r="BB78" t="str">
        <f t="shared" si="49"/>
        <v>"23":{"group":"A","lot":0,"name":"0","team":"0","year":"0","division":"--","bw":"0","idx":"23","sr":"0","br":"0","row":0,"sq":{"a1":0,"a2":"","a3":"","s1":0,"s2":0,"s3":0},"bp":{"a1":0,"a2":"","a3":"","s1":0,"s2":0,"s3":0},"dl":{"a1":0,"a2":"","a3":"","s1":0,"s2":0,"s3":0},"sortOrder":0,"act":{}}</v>
      </c>
    </row>
    <row r="79" spans="5:54" x14ac:dyDescent="0.25">
      <c r="E79" s="158"/>
      <c r="F79" s="106"/>
      <c r="G79" s="106"/>
      <c r="H79" s="106"/>
      <c r="I79" s="106"/>
      <c r="J79" s="106"/>
      <c r="K79" s="106"/>
      <c r="L79" s="106"/>
      <c r="M79" s="106"/>
      <c r="N79" s="106"/>
      <c r="O79" s="106"/>
      <c r="P79" s="106"/>
      <c r="Q79" s="106"/>
      <c r="R79" s="106"/>
      <c r="S79" s="106"/>
      <c r="T79" s="107"/>
      <c r="U79" s="108"/>
      <c r="V79" s="108"/>
      <c r="W79" s="109"/>
      <c r="Z79" s="15" t="str">
        <f t="shared" si="27"/>
        <v>A</v>
      </c>
      <c r="AA79" s="8">
        <f t="shared" si="39"/>
        <v>0</v>
      </c>
      <c r="AB79" s="9">
        <f t="shared" si="42"/>
        <v>0</v>
      </c>
      <c r="AC79" s="8">
        <f t="shared" si="40"/>
        <v>0</v>
      </c>
      <c r="AD79" s="8">
        <f t="shared" si="41"/>
        <v>0</v>
      </c>
      <c r="AE79" s="8" t="str">
        <f t="shared" si="43"/>
        <v>--</v>
      </c>
      <c r="AF79" s="10">
        <f t="shared" si="44"/>
        <v>0</v>
      </c>
      <c r="AG79" s="8">
        <v>23</v>
      </c>
      <c r="AH79" s="9">
        <f t="shared" si="45"/>
        <v>0</v>
      </c>
      <c r="AI79" s="11">
        <f t="shared" si="46"/>
        <v>0</v>
      </c>
      <c r="AJ79" s="6"/>
      <c r="AK79" s="6"/>
      <c r="AL79" s="6"/>
      <c r="AN79" t="str">
        <f t="shared" si="28"/>
        <v>"23":{</v>
      </c>
      <c r="AO79" t="str">
        <f t="shared" si="29"/>
        <v>"group":"A",</v>
      </c>
      <c r="AP79" t="str">
        <f t="shared" si="47"/>
        <v>"lot":0,</v>
      </c>
      <c r="AQ79" t="str">
        <f t="shared" si="30"/>
        <v>"name":"0",</v>
      </c>
      <c r="AR79" t="str">
        <f t="shared" si="31"/>
        <v>"team":"0",</v>
      </c>
      <c r="AS79" t="str">
        <f t="shared" si="32"/>
        <v>"year":"0",</v>
      </c>
      <c r="AT79" t="str">
        <f t="shared" si="33"/>
        <v>"division":"--",</v>
      </c>
      <c r="AU79" t="str">
        <f t="shared" si="34"/>
        <v>"bw":"0",</v>
      </c>
      <c r="AV79" t="str">
        <f t="shared" si="35"/>
        <v>"idx":"23",</v>
      </c>
      <c r="AW79" t="str">
        <f t="shared" si="36"/>
        <v>"sr":"0",</v>
      </c>
      <c r="AX79" t="str">
        <f t="shared" si="37"/>
        <v>"br":"0",</v>
      </c>
      <c r="AY79" t="str">
        <f t="shared" si="38"/>
        <v>"row":0,</v>
      </c>
      <c r="AZ79" t="s">
        <v>67</v>
      </c>
      <c r="BA79" t="str">
        <f t="shared" si="48"/>
        <v>"sq":{"a1":0,"a2":"","a3":"","s1":0,"s2":0,"s3":0},"bp":{"a1":0,"a2":"","a3":"","s1":0,"s2":0,"s3":0},"dl":{"a1":0,"a2":"","a3":"","s1":0,"s2":0,"s3":0},"sortOrder":0,"act":{}}</v>
      </c>
      <c r="BB79" t="str">
        <f t="shared" si="49"/>
        <v>"23":{"group":"A","lot":0,"name":"0","team":"0","year":"0","division":"--","bw":"0","idx":"23","sr":"0","br":"0","row":0,"sq":{"a1":0,"a2":"","a3":"","s1":0,"s2":0,"s3":0},"bp":{"a1":0,"a2":"","a3":"","s1":0,"s2":0,"s3":0},"dl":{"a1":0,"a2":"","a3":"","s1":0,"s2":0,"s3":0},"sortOrder":0,"act":{}}</v>
      </c>
    </row>
    <row r="80" spans="5:54" x14ac:dyDescent="0.25">
      <c r="E80" s="158"/>
      <c r="F80" s="106"/>
      <c r="G80" s="106"/>
      <c r="H80" s="106"/>
      <c r="I80" s="106"/>
      <c r="J80" s="106"/>
      <c r="K80" s="106"/>
      <c r="L80" s="106"/>
      <c r="M80" s="106"/>
      <c r="N80" s="106"/>
      <c r="O80" s="106"/>
      <c r="P80" s="106"/>
      <c r="Q80" s="106"/>
      <c r="R80" s="106"/>
      <c r="S80" s="106"/>
      <c r="T80" s="107"/>
      <c r="U80" s="108"/>
      <c r="V80" s="108"/>
      <c r="W80" s="109"/>
      <c r="Z80" s="15" t="str">
        <f t="shared" si="27"/>
        <v>A</v>
      </c>
      <c r="AA80" s="8">
        <f t="shared" si="39"/>
        <v>0</v>
      </c>
      <c r="AB80" s="9">
        <f t="shared" si="42"/>
        <v>0</v>
      </c>
      <c r="AC80" s="8">
        <f t="shared" si="40"/>
        <v>0</v>
      </c>
      <c r="AD80" s="8">
        <f t="shared" si="41"/>
        <v>0</v>
      </c>
      <c r="AE80" s="8" t="str">
        <f t="shared" si="43"/>
        <v>--</v>
      </c>
      <c r="AF80" s="10">
        <f t="shared" si="44"/>
        <v>0</v>
      </c>
      <c r="AG80" s="8">
        <v>23</v>
      </c>
      <c r="AH80" s="9">
        <f t="shared" si="45"/>
        <v>0</v>
      </c>
      <c r="AI80" s="11">
        <f t="shared" si="46"/>
        <v>0</v>
      </c>
      <c r="AJ80" s="6"/>
      <c r="AK80" s="6"/>
      <c r="AL80" s="6"/>
      <c r="AN80" t="str">
        <f t="shared" si="28"/>
        <v>"23":{</v>
      </c>
      <c r="AO80" t="str">
        <f t="shared" si="29"/>
        <v>"group":"A",</v>
      </c>
      <c r="AP80" t="str">
        <f t="shared" si="47"/>
        <v>"lot":0,</v>
      </c>
      <c r="AQ80" t="str">
        <f t="shared" si="30"/>
        <v>"name":"0",</v>
      </c>
      <c r="AR80" t="str">
        <f t="shared" si="31"/>
        <v>"team":"0",</v>
      </c>
      <c r="AS80" t="str">
        <f t="shared" si="32"/>
        <v>"year":"0",</v>
      </c>
      <c r="AT80" t="str">
        <f t="shared" si="33"/>
        <v>"division":"--",</v>
      </c>
      <c r="AU80" t="str">
        <f t="shared" si="34"/>
        <v>"bw":"0",</v>
      </c>
      <c r="AV80" t="str">
        <f t="shared" si="35"/>
        <v>"idx":"23",</v>
      </c>
      <c r="AW80" t="str">
        <f t="shared" si="36"/>
        <v>"sr":"0",</v>
      </c>
      <c r="AX80" t="str">
        <f t="shared" si="37"/>
        <v>"br":"0",</v>
      </c>
      <c r="AY80" t="str">
        <f t="shared" si="38"/>
        <v>"row":0,</v>
      </c>
      <c r="AZ80" t="s">
        <v>67</v>
      </c>
      <c r="BA80" t="str">
        <f t="shared" si="48"/>
        <v>"sq":{"a1":0,"a2":"","a3":"","s1":0,"s2":0,"s3":0},"bp":{"a1":0,"a2":"","a3":"","s1":0,"s2":0,"s3":0},"dl":{"a1":0,"a2":"","a3":"","s1":0,"s2":0,"s3":0},"sortOrder":0,"act":{}}</v>
      </c>
      <c r="BB80" t="str">
        <f t="shared" si="49"/>
        <v>"23":{"group":"A","lot":0,"name":"0","team":"0","year":"0","division":"--","bw":"0","idx":"23","sr":"0","br":"0","row":0,"sq":{"a1":0,"a2":"","a3":"","s1":0,"s2":0,"s3":0},"bp":{"a1":0,"a2":"","a3":"","s1":0,"s2":0,"s3":0},"dl":{"a1":0,"a2":"","a3":"","s1":0,"s2":0,"s3":0},"sortOrder":0,"act":{}}</v>
      </c>
    </row>
    <row r="81" spans="5:54" x14ac:dyDescent="0.25">
      <c r="E81" s="158"/>
      <c r="F81" s="106"/>
      <c r="G81" s="106"/>
      <c r="H81" s="106"/>
      <c r="I81" s="106"/>
      <c r="J81" s="106"/>
      <c r="K81" s="106"/>
      <c r="L81" s="106"/>
      <c r="M81" s="106"/>
      <c r="N81" s="106"/>
      <c r="O81" s="106"/>
      <c r="P81" s="106"/>
      <c r="Q81" s="106"/>
      <c r="R81" s="106"/>
      <c r="S81" s="106"/>
      <c r="T81" s="107"/>
      <c r="U81" s="108"/>
      <c r="V81" s="108"/>
      <c r="W81" s="109"/>
      <c r="Z81" s="15" t="str">
        <f t="shared" si="27"/>
        <v>A</v>
      </c>
      <c r="AA81" s="8">
        <f t="shared" si="39"/>
        <v>0</v>
      </c>
      <c r="AB81" s="9">
        <f t="shared" si="42"/>
        <v>0</v>
      </c>
      <c r="AC81" s="8">
        <f t="shared" si="40"/>
        <v>0</v>
      </c>
      <c r="AD81" s="8">
        <f t="shared" si="41"/>
        <v>0</v>
      </c>
      <c r="AE81" s="8" t="str">
        <f t="shared" si="43"/>
        <v>--</v>
      </c>
      <c r="AF81" s="10">
        <f t="shared" si="44"/>
        <v>0</v>
      </c>
      <c r="AG81" s="8">
        <v>23</v>
      </c>
      <c r="AH81" s="9">
        <f t="shared" si="45"/>
        <v>0</v>
      </c>
      <c r="AI81" s="11">
        <f t="shared" si="46"/>
        <v>0</v>
      </c>
      <c r="AJ81" s="6"/>
      <c r="AK81" s="6"/>
      <c r="AL81" s="6"/>
      <c r="AN81" t="str">
        <f t="shared" si="28"/>
        <v>"23":{</v>
      </c>
      <c r="AO81" t="str">
        <f t="shared" si="29"/>
        <v>"group":"A",</v>
      </c>
      <c r="AP81" t="str">
        <f t="shared" si="47"/>
        <v>"lot":0,</v>
      </c>
      <c r="AQ81" t="str">
        <f t="shared" si="30"/>
        <v>"name":"0",</v>
      </c>
      <c r="AR81" t="str">
        <f t="shared" si="31"/>
        <v>"team":"0",</v>
      </c>
      <c r="AS81" t="str">
        <f t="shared" si="32"/>
        <v>"year":"0",</v>
      </c>
      <c r="AT81" t="str">
        <f t="shared" si="33"/>
        <v>"division":"--",</v>
      </c>
      <c r="AU81" t="str">
        <f t="shared" si="34"/>
        <v>"bw":"0",</v>
      </c>
      <c r="AV81" t="str">
        <f t="shared" si="35"/>
        <v>"idx":"23",</v>
      </c>
      <c r="AW81" t="str">
        <f t="shared" si="36"/>
        <v>"sr":"0",</v>
      </c>
      <c r="AX81" t="str">
        <f t="shared" si="37"/>
        <v>"br":"0",</v>
      </c>
      <c r="AY81" t="str">
        <f t="shared" si="38"/>
        <v>"row":0,</v>
      </c>
      <c r="AZ81" t="s">
        <v>67</v>
      </c>
      <c r="BA81" t="str">
        <f t="shared" si="48"/>
        <v>"sq":{"a1":0,"a2":"","a3":"","s1":0,"s2":0,"s3":0},"bp":{"a1":0,"a2":"","a3":"","s1":0,"s2":0,"s3":0},"dl":{"a1":0,"a2":"","a3":"","s1":0,"s2":0,"s3":0},"sortOrder":0,"act":{}}</v>
      </c>
      <c r="BB81" t="str">
        <f t="shared" si="49"/>
        <v>"23":{"group":"A","lot":0,"name":"0","team":"0","year":"0","division":"--","bw":"0","idx":"23","sr":"0","br":"0","row":0,"sq":{"a1":0,"a2":"","a3":"","s1":0,"s2":0,"s3":0},"bp":{"a1":0,"a2":"","a3":"","s1":0,"s2":0,"s3":0},"dl":{"a1":0,"a2":"","a3":"","s1":0,"s2":0,"s3":0},"sortOrder":0,"act":{}}</v>
      </c>
    </row>
    <row r="82" spans="5:54" x14ac:dyDescent="0.25">
      <c r="E82" s="158"/>
      <c r="F82" s="106"/>
      <c r="G82" s="106"/>
      <c r="H82" s="106"/>
      <c r="I82" s="106"/>
      <c r="J82" s="106"/>
      <c r="K82" s="106"/>
      <c r="L82" s="106"/>
      <c r="M82" s="106"/>
      <c r="N82" s="106"/>
      <c r="O82" s="106"/>
      <c r="P82" s="106"/>
      <c r="Q82" s="106"/>
      <c r="R82" s="106"/>
      <c r="S82" s="106"/>
      <c r="T82" s="107"/>
      <c r="U82" s="108"/>
      <c r="V82" s="108"/>
      <c r="W82" s="109"/>
      <c r="Z82" s="15" t="str">
        <f t="shared" si="27"/>
        <v>A</v>
      </c>
      <c r="AA82" s="8">
        <f t="shared" si="39"/>
        <v>0</v>
      </c>
      <c r="AB82" s="9">
        <f t="shared" si="42"/>
        <v>0</v>
      </c>
      <c r="AC82" s="8">
        <f t="shared" si="40"/>
        <v>0</v>
      </c>
      <c r="AD82" s="8">
        <f t="shared" si="41"/>
        <v>0</v>
      </c>
      <c r="AE82" s="8" t="str">
        <f t="shared" si="43"/>
        <v>--</v>
      </c>
      <c r="AF82" s="10">
        <f t="shared" si="44"/>
        <v>0</v>
      </c>
      <c r="AG82" s="8">
        <v>23</v>
      </c>
      <c r="AH82" s="9">
        <f t="shared" si="45"/>
        <v>0</v>
      </c>
      <c r="AI82" s="11">
        <f t="shared" si="46"/>
        <v>0</v>
      </c>
      <c r="AJ82" s="6"/>
      <c r="AK82" s="6"/>
      <c r="AL82" s="6"/>
      <c r="AN82" t="str">
        <f t="shared" si="28"/>
        <v>"23":{</v>
      </c>
      <c r="AO82" t="str">
        <f t="shared" si="29"/>
        <v>"group":"A",</v>
      </c>
      <c r="AP82" t="str">
        <f t="shared" si="47"/>
        <v>"lot":0,</v>
      </c>
      <c r="AQ82" t="str">
        <f t="shared" si="30"/>
        <v>"name":"0",</v>
      </c>
      <c r="AR82" t="str">
        <f t="shared" si="31"/>
        <v>"team":"0",</v>
      </c>
      <c r="AS82" t="str">
        <f t="shared" si="32"/>
        <v>"year":"0",</v>
      </c>
      <c r="AT82" t="str">
        <f t="shared" si="33"/>
        <v>"division":"--",</v>
      </c>
      <c r="AU82" t="str">
        <f t="shared" si="34"/>
        <v>"bw":"0",</v>
      </c>
      <c r="AV82" t="str">
        <f t="shared" si="35"/>
        <v>"idx":"23",</v>
      </c>
      <c r="AW82" t="str">
        <f t="shared" si="36"/>
        <v>"sr":"0",</v>
      </c>
      <c r="AX82" t="str">
        <f t="shared" si="37"/>
        <v>"br":"0",</v>
      </c>
      <c r="AY82" t="str">
        <f t="shared" si="38"/>
        <v>"row":0,</v>
      </c>
      <c r="AZ82" t="s">
        <v>67</v>
      </c>
      <c r="BA82" t="str">
        <f t="shared" si="48"/>
        <v>"sq":{"a1":0,"a2":"","a3":"","s1":0,"s2":0,"s3":0},"bp":{"a1":0,"a2":"","a3":"","s1":0,"s2":0,"s3":0},"dl":{"a1":0,"a2":"","a3":"","s1":0,"s2":0,"s3":0},"sortOrder":0,"act":{}}</v>
      </c>
      <c r="BB82" t="str">
        <f t="shared" si="49"/>
        <v>"23":{"group":"A","lot":0,"name":"0","team":"0","year":"0","division":"--","bw":"0","idx":"23","sr":"0","br":"0","row":0,"sq":{"a1":0,"a2":"","a3":"","s1":0,"s2":0,"s3":0},"bp":{"a1":0,"a2":"","a3":"","s1":0,"s2":0,"s3":0},"dl":{"a1":0,"a2":"","a3":"","s1":0,"s2":0,"s3":0},"sortOrder":0,"act":{}}</v>
      </c>
    </row>
    <row r="83" spans="5:54" x14ac:dyDescent="0.25">
      <c r="E83" s="158"/>
      <c r="F83" s="106"/>
      <c r="G83" s="106"/>
      <c r="H83" s="106"/>
      <c r="I83" s="106"/>
      <c r="J83" s="106"/>
      <c r="K83" s="106"/>
      <c r="L83" s="106"/>
      <c r="M83" s="106"/>
      <c r="N83" s="106"/>
      <c r="O83" s="106"/>
      <c r="P83" s="106"/>
      <c r="Q83" s="106"/>
      <c r="R83" s="106"/>
      <c r="S83" s="106"/>
      <c r="T83" s="107"/>
      <c r="U83" s="108"/>
      <c r="V83" s="108"/>
      <c r="W83" s="109"/>
      <c r="Z83" s="15" t="str">
        <f t="shared" si="27"/>
        <v>A</v>
      </c>
      <c r="AA83" s="8">
        <f t="shared" si="39"/>
        <v>0</v>
      </c>
      <c r="AB83" s="9">
        <f t="shared" si="42"/>
        <v>0</v>
      </c>
      <c r="AC83" s="8">
        <f t="shared" si="40"/>
        <v>0</v>
      </c>
      <c r="AD83" s="8">
        <f t="shared" si="41"/>
        <v>0</v>
      </c>
      <c r="AE83" s="8" t="str">
        <f t="shared" si="43"/>
        <v>--</v>
      </c>
      <c r="AF83" s="10">
        <f t="shared" si="44"/>
        <v>0</v>
      </c>
      <c r="AG83" s="8">
        <v>23</v>
      </c>
      <c r="AH83" s="9">
        <f t="shared" si="45"/>
        <v>0</v>
      </c>
      <c r="AI83" s="11">
        <f t="shared" si="46"/>
        <v>0</v>
      </c>
      <c r="AJ83" s="6"/>
      <c r="AK83" s="6"/>
      <c r="AL83" s="6"/>
      <c r="AN83" t="str">
        <f t="shared" si="28"/>
        <v>"23":{</v>
      </c>
      <c r="AO83" t="str">
        <f t="shared" si="29"/>
        <v>"group":"A",</v>
      </c>
      <c r="AP83" t="str">
        <f t="shared" si="47"/>
        <v>"lot":0,</v>
      </c>
      <c r="AQ83" t="str">
        <f t="shared" si="30"/>
        <v>"name":"0",</v>
      </c>
      <c r="AR83" t="str">
        <f t="shared" si="31"/>
        <v>"team":"0",</v>
      </c>
      <c r="AS83" t="str">
        <f t="shared" si="32"/>
        <v>"year":"0",</v>
      </c>
      <c r="AT83" t="str">
        <f t="shared" si="33"/>
        <v>"division":"--",</v>
      </c>
      <c r="AU83" t="str">
        <f t="shared" si="34"/>
        <v>"bw":"0",</v>
      </c>
      <c r="AV83" t="str">
        <f t="shared" si="35"/>
        <v>"idx":"23",</v>
      </c>
      <c r="AW83" t="str">
        <f t="shared" si="36"/>
        <v>"sr":"0",</v>
      </c>
      <c r="AX83" t="str">
        <f t="shared" si="37"/>
        <v>"br":"0",</v>
      </c>
      <c r="AY83" t="str">
        <f t="shared" si="38"/>
        <v>"row":0,</v>
      </c>
      <c r="AZ83" t="s">
        <v>67</v>
      </c>
      <c r="BA83" t="str">
        <f t="shared" si="48"/>
        <v>"sq":{"a1":0,"a2":"","a3":"","s1":0,"s2":0,"s3":0},"bp":{"a1":0,"a2":"","a3":"","s1":0,"s2":0,"s3":0},"dl":{"a1":0,"a2":"","a3":"","s1":0,"s2":0,"s3":0},"sortOrder":0,"act":{}}</v>
      </c>
      <c r="BB83" t="str">
        <f t="shared" si="49"/>
        <v>"23":{"group":"A","lot":0,"name":"0","team":"0","year":"0","division":"--","bw":"0","idx":"23","sr":"0","br":"0","row":0,"sq":{"a1":0,"a2":"","a3":"","s1":0,"s2":0,"s3":0},"bp":{"a1":0,"a2":"","a3":"","s1":0,"s2":0,"s3":0},"dl":{"a1":0,"a2":"","a3":"","s1":0,"s2":0,"s3":0},"sortOrder":0,"act":{}}</v>
      </c>
    </row>
    <row r="84" spans="5:54" x14ac:dyDescent="0.25">
      <c r="E84" s="158"/>
      <c r="F84" s="106"/>
      <c r="G84" s="106"/>
      <c r="H84" s="106"/>
      <c r="I84" s="106"/>
      <c r="J84" s="106"/>
      <c r="K84" s="106"/>
      <c r="L84" s="106"/>
      <c r="M84" s="106"/>
      <c r="N84" s="106"/>
      <c r="O84" s="106"/>
      <c r="P84" s="106"/>
      <c r="Q84" s="106"/>
      <c r="R84" s="106"/>
      <c r="S84" s="106"/>
      <c r="T84" s="107"/>
      <c r="U84" s="108"/>
      <c r="V84" s="108"/>
      <c r="W84" s="109"/>
      <c r="Z84" s="15" t="str">
        <f t="shared" si="27"/>
        <v>A</v>
      </c>
      <c r="AA84" s="8">
        <f t="shared" si="39"/>
        <v>0</v>
      </c>
      <c r="AB84" s="9">
        <f t="shared" si="42"/>
        <v>0</v>
      </c>
      <c r="AC84" s="8">
        <f t="shared" si="40"/>
        <v>0</v>
      </c>
      <c r="AD84" s="8">
        <f t="shared" si="41"/>
        <v>0</v>
      </c>
      <c r="AE84" s="8" t="str">
        <f t="shared" si="43"/>
        <v>--</v>
      </c>
      <c r="AF84" s="10">
        <f t="shared" si="44"/>
        <v>0</v>
      </c>
      <c r="AG84" s="8">
        <v>23</v>
      </c>
      <c r="AH84" s="9">
        <f t="shared" si="45"/>
        <v>0</v>
      </c>
      <c r="AI84" s="11">
        <f t="shared" si="46"/>
        <v>0</v>
      </c>
      <c r="AJ84" s="6"/>
      <c r="AK84" s="6"/>
      <c r="AL84" s="6"/>
      <c r="AN84" t="str">
        <f t="shared" si="28"/>
        <v>"23":{</v>
      </c>
      <c r="AO84" t="str">
        <f t="shared" si="29"/>
        <v>"group":"A",</v>
      </c>
      <c r="AP84" t="str">
        <f t="shared" si="47"/>
        <v>"lot":0,</v>
      </c>
      <c r="AQ84" t="str">
        <f t="shared" si="30"/>
        <v>"name":"0",</v>
      </c>
      <c r="AR84" t="str">
        <f t="shared" si="31"/>
        <v>"team":"0",</v>
      </c>
      <c r="AS84" t="str">
        <f t="shared" si="32"/>
        <v>"year":"0",</v>
      </c>
      <c r="AT84" t="str">
        <f t="shared" si="33"/>
        <v>"division":"--",</v>
      </c>
      <c r="AU84" t="str">
        <f t="shared" si="34"/>
        <v>"bw":"0",</v>
      </c>
      <c r="AV84" t="str">
        <f t="shared" si="35"/>
        <v>"idx":"23",</v>
      </c>
      <c r="AW84" t="str">
        <f t="shared" si="36"/>
        <v>"sr":"0",</v>
      </c>
      <c r="AX84" t="str">
        <f t="shared" si="37"/>
        <v>"br":"0",</v>
      </c>
      <c r="AY84" t="str">
        <f t="shared" si="38"/>
        <v>"row":0,</v>
      </c>
      <c r="AZ84" t="s">
        <v>67</v>
      </c>
      <c r="BA84" t="str">
        <f t="shared" si="48"/>
        <v>"sq":{"a1":0,"a2":"","a3":"","s1":0,"s2":0,"s3":0},"bp":{"a1":0,"a2":"","a3":"","s1":0,"s2":0,"s3":0},"dl":{"a1":0,"a2":"","a3":"","s1":0,"s2":0,"s3":0},"sortOrder":0,"act":{}}</v>
      </c>
      <c r="BB84" t="str">
        <f t="shared" si="49"/>
        <v>"23":{"group":"A","lot":0,"name":"0","team":"0","year":"0","division":"--","bw":"0","idx":"23","sr":"0","br":"0","row":0,"sq":{"a1":0,"a2":"","a3":"","s1":0,"s2":0,"s3":0},"bp":{"a1":0,"a2":"","a3":"","s1":0,"s2":0,"s3":0},"dl":{"a1":0,"a2":"","a3":"","s1":0,"s2":0,"s3":0},"sortOrder":0,"act":{}}</v>
      </c>
    </row>
    <row r="85" spans="5:54" x14ac:dyDescent="0.25">
      <c r="E85" s="158"/>
      <c r="F85" s="106"/>
      <c r="G85" s="106"/>
      <c r="H85" s="106"/>
      <c r="I85" s="106"/>
      <c r="J85" s="106"/>
      <c r="K85" s="106"/>
      <c r="L85" s="106"/>
      <c r="M85" s="106"/>
      <c r="N85" s="106"/>
      <c r="O85" s="106"/>
      <c r="P85" s="106"/>
      <c r="Q85" s="106"/>
      <c r="R85" s="106"/>
      <c r="S85" s="106"/>
      <c r="T85" s="107"/>
      <c r="U85" s="108"/>
      <c r="V85" s="108"/>
      <c r="W85" s="109"/>
      <c r="Z85" s="15" t="str">
        <f t="shared" si="27"/>
        <v>A</v>
      </c>
      <c r="AA85" s="8">
        <f t="shared" si="39"/>
        <v>0</v>
      </c>
      <c r="AB85" s="9">
        <f t="shared" si="42"/>
        <v>0</v>
      </c>
      <c r="AC85" s="8">
        <f t="shared" si="40"/>
        <v>0</v>
      </c>
      <c r="AD85" s="8">
        <f t="shared" si="41"/>
        <v>0</v>
      </c>
      <c r="AE85" s="8" t="str">
        <f t="shared" si="43"/>
        <v>--</v>
      </c>
      <c r="AF85" s="10">
        <f t="shared" si="44"/>
        <v>0</v>
      </c>
      <c r="AG85" s="8">
        <v>23</v>
      </c>
      <c r="AH85" s="9">
        <f t="shared" si="45"/>
        <v>0</v>
      </c>
      <c r="AI85" s="11">
        <f t="shared" si="46"/>
        <v>0</v>
      </c>
      <c r="AJ85" s="6"/>
      <c r="AK85" s="6"/>
      <c r="AL85" s="6"/>
      <c r="AN85" t="str">
        <f t="shared" si="28"/>
        <v>"23":{</v>
      </c>
      <c r="AO85" t="str">
        <f t="shared" si="29"/>
        <v>"group":"A",</v>
      </c>
      <c r="AP85" t="str">
        <f t="shared" si="47"/>
        <v>"lot":0,</v>
      </c>
      <c r="AQ85" t="str">
        <f t="shared" si="30"/>
        <v>"name":"0",</v>
      </c>
      <c r="AR85" t="str">
        <f t="shared" si="31"/>
        <v>"team":"0",</v>
      </c>
      <c r="AS85" t="str">
        <f t="shared" si="32"/>
        <v>"year":"0",</v>
      </c>
      <c r="AT85" t="str">
        <f t="shared" si="33"/>
        <v>"division":"--",</v>
      </c>
      <c r="AU85" t="str">
        <f t="shared" si="34"/>
        <v>"bw":"0",</v>
      </c>
      <c r="AV85" t="str">
        <f t="shared" si="35"/>
        <v>"idx":"23",</v>
      </c>
      <c r="AW85" t="str">
        <f t="shared" si="36"/>
        <v>"sr":"0",</v>
      </c>
      <c r="AX85" t="str">
        <f t="shared" si="37"/>
        <v>"br":"0",</v>
      </c>
      <c r="AY85" t="str">
        <f t="shared" si="38"/>
        <v>"row":0,</v>
      </c>
      <c r="AZ85" t="s">
        <v>67</v>
      </c>
      <c r="BA85" t="str">
        <f t="shared" si="48"/>
        <v>"sq":{"a1":0,"a2":"","a3":"","s1":0,"s2":0,"s3":0},"bp":{"a1":0,"a2":"","a3":"","s1":0,"s2":0,"s3":0},"dl":{"a1":0,"a2":"","a3":"","s1":0,"s2":0,"s3":0},"sortOrder":0,"act":{}}</v>
      </c>
      <c r="BB85" t="str">
        <f t="shared" si="49"/>
        <v>"23":{"group":"A","lot":0,"name":"0","team":"0","year":"0","division":"--","bw":"0","idx":"23","sr":"0","br":"0","row":0,"sq":{"a1":0,"a2":"","a3":"","s1":0,"s2":0,"s3":0},"bp":{"a1":0,"a2":"","a3":"","s1":0,"s2":0,"s3":0},"dl":{"a1":0,"a2":"","a3":"","s1":0,"s2":0,"s3":0},"sortOrder":0,"act":{}}</v>
      </c>
    </row>
    <row r="86" spans="5:54" x14ac:dyDescent="0.25">
      <c r="E86" s="158"/>
      <c r="F86" s="106"/>
      <c r="G86" s="106"/>
      <c r="H86" s="106"/>
      <c r="I86" s="106"/>
      <c r="J86" s="106"/>
      <c r="K86" s="106"/>
      <c r="L86" s="106"/>
      <c r="M86" s="106"/>
      <c r="N86" s="106"/>
      <c r="O86" s="106"/>
      <c r="P86" s="106"/>
      <c r="Q86" s="106"/>
      <c r="R86" s="106"/>
      <c r="S86" s="106"/>
      <c r="T86" s="107"/>
      <c r="U86" s="108"/>
      <c r="V86" s="108"/>
      <c r="W86" s="109"/>
      <c r="Z86" s="15" t="str">
        <f t="shared" si="27"/>
        <v>A</v>
      </c>
      <c r="AA86" s="8">
        <f t="shared" si="39"/>
        <v>0</v>
      </c>
      <c r="AB86" s="9">
        <f t="shared" si="42"/>
        <v>0</v>
      </c>
      <c r="AC86" s="8">
        <f t="shared" si="40"/>
        <v>0</v>
      </c>
      <c r="AD86" s="8">
        <f t="shared" si="41"/>
        <v>0</v>
      </c>
      <c r="AE86" s="8" t="str">
        <f t="shared" si="43"/>
        <v>--</v>
      </c>
      <c r="AF86" s="10">
        <f t="shared" si="44"/>
        <v>0</v>
      </c>
      <c r="AG86" s="8">
        <v>23</v>
      </c>
      <c r="AH86" s="9">
        <f t="shared" si="45"/>
        <v>0</v>
      </c>
      <c r="AI86" s="11">
        <f t="shared" si="46"/>
        <v>0</v>
      </c>
      <c r="AJ86" s="6"/>
      <c r="AK86" s="6"/>
      <c r="AL86" s="6"/>
      <c r="AN86" t="str">
        <f t="shared" si="28"/>
        <v>"23":{</v>
      </c>
      <c r="AO86" t="str">
        <f t="shared" si="29"/>
        <v>"group":"A",</v>
      </c>
      <c r="AP86" t="str">
        <f t="shared" si="47"/>
        <v>"lot":0,</v>
      </c>
      <c r="AQ86" t="str">
        <f t="shared" si="30"/>
        <v>"name":"0",</v>
      </c>
      <c r="AR86" t="str">
        <f t="shared" si="31"/>
        <v>"team":"0",</v>
      </c>
      <c r="AS86" t="str">
        <f t="shared" si="32"/>
        <v>"year":"0",</v>
      </c>
      <c r="AT86" t="str">
        <f t="shared" si="33"/>
        <v>"division":"--",</v>
      </c>
      <c r="AU86" t="str">
        <f t="shared" si="34"/>
        <v>"bw":"0",</v>
      </c>
      <c r="AV86" t="str">
        <f t="shared" si="35"/>
        <v>"idx":"23",</v>
      </c>
      <c r="AW86" t="str">
        <f t="shared" si="36"/>
        <v>"sr":"0",</v>
      </c>
      <c r="AX86" t="str">
        <f t="shared" si="37"/>
        <v>"br":"0",</v>
      </c>
      <c r="AY86" t="str">
        <f t="shared" si="38"/>
        <v>"row":0,</v>
      </c>
      <c r="AZ86" t="s">
        <v>67</v>
      </c>
      <c r="BA86" t="str">
        <f t="shared" si="48"/>
        <v>"sq":{"a1":0,"a2":"","a3":"","s1":0,"s2":0,"s3":0},"bp":{"a1":0,"a2":"","a3":"","s1":0,"s2":0,"s3":0},"dl":{"a1":0,"a2":"","a3":"","s1":0,"s2":0,"s3":0},"sortOrder":0,"act":{}}</v>
      </c>
      <c r="BB86" t="str">
        <f t="shared" si="49"/>
        <v>"23":{"group":"A","lot":0,"name":"0","team":"0","year":"0","division":"--","bw":"0","idx":"23","sr":"0","br":"0","row":0,"sq":{"a1":0,"a2":"","a3":"","s1":0,"s2":0,"s3":0},"bp":{"a1":0,"a2":"","a3":"","s1":0,"s2":0,"s3":0},"dl":{"a1":0,"a2":"","a3":"","s1":0,"s2":0,"s3":0},"sortOrder":0,"act":{}}</v>
      </c>
    </row>
    <row r="87" spans="5:54" x14ac:dyDescent="0.25">
      <c r="E87" s="158"/>
      <c r="F87" s="106"/>
      <c r="G87" s="106"/>
      <c r="H87" s="106"/>
      <c r="I87" s="106"/>
      <c r="J87" s="106"/>
      <c r="K87" s="106"/>
      <c r="L87" s="106"/>
      <c r="M87" s="106"/>
      <c r="N87" s="106"/>
      <c r="O87" s="106"/>
      <c r="P87" s="106"/>
      <c r="Q87" s="106"/>
      <c r="R87" s="106"/>
      <c r="S87" s="106"/>
      <c r="T87" s="107"/>
      <c r="U87" s="108"/>
      <c r="V87" s="108"/>
      <c r="W87" s="109"/>
      <c r="Z87" s="15" t="str">
        <f t="shared" si="27"/>
        <v>A</v>
      </c>
      <c r="AA87" s="8">
        <f t="shared" si="39"/>
        <v>0</v>
      </c>
      <c r="AB87" s="9">
        <f t="shared" si="42"/>
        <v>0</v>
      </c>
      <c r="AC87" s="8">
        <f t="shared" si="40"/>
        <v>0</v>
      </c>
      <c r="AD87" s="8">
        <f t="shared" si="41"/>
        <v>0</v>
      </c>
      <c r="AE87" s="8" t="str">
        <f t="shared" si="43"/>
        <v>--</v>
      </c>
      <c r="AF87" s="10">
        <f t="shared" si="44"/>
        <v>0</v>
      </c>
      <c r="AG87" s="8">
        <v>23</v>
      </c>
      <c r="AH87" s="9">
        <f t="shared" si="45"/>
        <v>0</v>
      </c>
      <c r="AI87" s="11">
        <f t="shared" si="46"/>
        <v>0</v>
      </c>
      <c r="AJ87" s="6"/>
      <c r="AK87" s="6"/>
      <c r="AL87" s="6"/>
      <c r="AN87" t="str">
        <f t="shared" si="28"/>
        <v>"23":{</v>
      </c>
      <c r="AO87" t="str">
        <f t="shared" si="29"/>
        <v>"group":"A",</v>
      </c>
      <c r="AP87" t="str">
        <f t="shared" si="47"/>
        <v>"lot":0,</v>
      </c>
      <c r="AQ87" t="str">
        <f t="shared" si="30"/>
        <v>"name":"0",</v>
      </c>
      <c r="AR87" t="str">
        <f t="shared" si="31"/>
        <v>"team":"0",</v>
      </c>
      <c r="AS87" t="str">
        <f t="shared" si="32"/>
        <v>"year":"0",</v>
      </c>
      <c r="AT87" t="str">
        <f t="shared" si="33"/>
        <v>"division":"--",</v>
      </c>
      <c r="AU87" t="str">
        <f t="shared" si="34"/>
        <v>"bw":"0",</v>
      </c>
      <c r="AV87" t="str">
        <f t="shared" si="35"/>
        <v>"idx":"23",</v>
      </c>
      <c r="AW87" t="str">
        <f t="shared" si="36"/>
        <v>"sr":"0",</v>
      </c>
      <c r="AX87" t="str">
        <f t="shared" si="37"/>
        <v>"br":"0",</v>
      </c>
      <c r="AY87" t="str">
        <f t="shared" si="38"/>
        <v>"row":0,</v>
      </c>
      <c r="AZ87" t="s">
        <v>67</v>
      </c>
      <c r="BA87" t="str">
        <f t="shared" si="48"/>
        <v>"sq":{"a1":0,"a2":"","a3":"","s1":0,"s2":0,"s3":0},"bp":{"a1":0,"a2":"","a3":"","s1":0,"s2":0,"s3":0},"dl":{"a1":0,"a2":"","a3":"","s1":0,"s2":0,"s3":0},"sortOrder":0,"act":{}}</v>
      </c>
      <c r="BB87" t="str">
        <f t="shared" si="49"/>
        <v>"23":{"group":"A","lot":0,"name":"0","team":"0","year":"0","division":"--","bw":"0","idx":"23","sr":"0","br":"0","row":0,"sq":{"a1":0,"a2":"","a3":"","s1":0,"s2":0,"s3":0},"bp":{"a1":0,"a2":"","a3":"","s1":0,"s2":0,"s3":0},"dl":{"a1":0,"a2":"","a3":"","s1":0,"s2":0,"s3":0},"sortOrder":0,"act":{}}</v>
      </c>
    </row>
    <row r="88" spans="5:54" x14ac:dyDescent="0.25">
      <c r="E88" s="158"/>
      <c r="F88" s="106"/>
      <c r="G88" s="106"/>
      <c r="H88" s="106"/>
      <c r="I88" s="106"/>
      <c r="J88" s="106"/>
      <c r="K88" s="106"/>
      <c r="L88" s="106"/>
      <c r="M88" s="106"/>
      <c r="N88" s="106"/>
      <c r="O88" s="106"/>
      <c r="P88" s="106"/>
      <c r="Q88" s="106"/>
      <c r="R88" s="106"/>
      <c r="S88" s="106"/>
      <c r="T88" s="107"/>
      <c r="U88" s="108"/>
      <c r="V88" s="108"/>
      <c r="W88" s="109"/>
      <c r="Z88" s="15" t="str">
        <f t="shared" si="27"/>
        <v>A</v>
      </c>
      <c r="AA88" s="8">
        <f t="shared" si="39"/>
        <v>0</v>
      </c>
      <c r="AB88" s="9">
        <f t="shared" si="42"/>
        <v>0</v>
      </c>
      <c r="AC88" s="8">
        <f t="shared" si="40"/>
        <v>0</v>
      </c>
      <c r="AD88" s="8">
        <f t="shared" si="41"/>
        <v>0</v>
      </c>
      <c r="AE88" s="8" t="str">
        <f t="shared" si="43"/>
        <v>--</v>
      </c>
      <c r="AF88" s="10">
        <f t="shared" si="44"/>
        <v>0</v>
      </c>
      <c r="AG88" s="8">
        <v>23</v>
      </c>
      <c r="AH88" s="9">
        <f t="shared" si="45"/>
        <v>0</v>
      </c>
      <c r="AI88" s="11">
        <f t="shared" si="46"/>
        <v>0</v>
      </c>
      <c r="AJ88" s="6"/>
      <c r="AK88" s="6"/>
      <c r="AL88" s="6"/>
      <c r="AN88" t="str">
        <f t="shared" si="28"/>
        <v>"23":{</v>
      </c>
      <c r="AO88" t="str">
        <f t="shared" si="29"/>
        <v>"group":"A",</v>
      </c>
      <c r="AP88" t="str">
        <f t="shared" si="47"/>
        <v>"lot":0,</v>
      </c>
      <c r="AQ88" t="str">
        <f t="shared" si="30"/>
        <v>"name":"0",</v>
      </c>
      <c r="AR88" t="str">
        <f t="shared" si="31"/>
        <v>"team":"0",</v>
      </c>
      <c r="AS88" t="str">
        <f t="shared" si="32"/>
        <v>"year":"0",</v>
      </c>
      <c r="AT88" t="str">
        <f t="shared" si="33"/>
        <v>"division":"--",</v>
      </c>
      <c r="AU88" t="str">
        <f t="shared" si="34"/>
        <v>"bw":"0",</v>
      </c>
      <c r="AV88" t="str">
        <f t="shared" si="35"/>
        <v>"idx":"23",</v>
      </c>
      <c r="AW88" t="str">
        <f t="shared" si="36"/>
        <v>"sr":"0",</v>
      </c>
      <c r="AX88" t="str">
        <f t="shared" si="37"/>
        <v>"br":"0",</v>
      </c>
      <c r="AY88" t="str">
        <f t="shared" si="38"/>
        <v>"row":0,</v>
      </c>
      <c r="AZ88" t="s">
        <v>67</v>
      </c>
      <c r="BA88" t="str">
        <f t="shared" si="48"/>
        <v>"sq":{"a1":0,"a2":"","a3":"","s1":0,"s2":0,"s3":0},"bp":{"a1":0,"a2":"","a3":"","s1":0,"s2":0,"s3":0},"dl":{"a1":0,"a2":"","a3":"","s1":0,"s2":0,"s3":0},"sortOrder":0,"act":{}}</v>
      </c>
      <c r="BB88" t="str">
        <f t="shared" si="49"/>
        <v>"23":{"group":"A","lot":0,"name":"0","team":"0","year":"0","division":"--","bw":"0","idx":"23","sr":"0","br":"0","row":0,"sq":{"a1":0,"a2":"","a3":"","s1":0,"s2":0,"s3":0},"bp":{"a1":0,"a2":"","a3":"","s1":0,"s2":0,"s3":0},"dl":{"a1":0,"a2":"","a3":"","s1":0,"s2":0,"s3":0},"sortOrder":0,"act":{}}</v>
      </c>
    </row>
    <row r="89" spans="5:54" x14ac:dyDescent="0.25">
      <c r="E89" s="159"/>
      <c r="F89" s="110"/>
      <c r="G89" s="110"/>
      <c r="H89" s="110"/>
      <c r="I89" s="110"/>
      <c r="J89" s="110"/>
      <c r="K89" s="110"/>
      <c r="L89" s="110"/>
      <c r="M89" s="110"/>
      <c r="N89" s="110"/>
      <c r="O89" s="110"/>
      <c r="P89" s="110"/>
      <c r="Q89" s="110"/>
      <c r="R89" s="110"/>
      <c r="S89" s="110"/>
      <c r="T89" s="111"/>
      <c r="U89" s="112"/>
      <c r="V89" s="112"/>
      <c r="W89" s="113"/>
      <c r="Z89" s="15" t="str">
        <f t="shared" si="27"/>
        <v>A</v>
      </c>
      <c r="AA89" s="8">
        <f t="shared" si="39"/>
        <v>0</v>
      </c>
      <c r="AB89" s="9">
        <f t="shared" si="42"/>
        <v>0</v>
      </c>
      <c r="AC89" s="8">
        <f t="shared" si="40"/>
        <v>0</v>
      </c>
      <c r="AD89" s="8">
        <f t="shared" si="41"/>
        <v>0</v>
      </c>
      <c r="AE89" s="8" t="str">
        <f t="shared" si="43"/>
        <v>--</v>
      </c>
      <c r="AF89" s="10">
        <f t="shared" si="44"/>
        <v>0</v>
      </c>
      <c r="AG89" s="8">
        <v>23</v>
      </c>
      <c r="AH89" s="9">
        <f t="shared" si="45"/>
        <v>0</v>
      </c>
      <c r="AI89" s="11">
        <f t="shared" si="46"/>
        <v>0</v>
      </c>
      <c r="AJ89" s="6"/>
      <c r="AK89" s="6"/>
      <c r="AL89" s="6"/>
      <c r="AN89" t="str">
        <f t="shared" si="28"/>
        <v>"23":{</v>
      </c>
      <c r="AO89" t="str">
        <f t="shared" si="29"/>
        <v>"group":"A",</v>
      </c>
      <c r="AP89" t="str">
        <f t="shared" si="47"/>
        <v>"lot":0,</v>
      </c>
      <c r="AQ89" t="str">
        <f t="shared" si="30"/>
        <v>"name":"0",</v>
      </c>
      <c r="AR89" t="str">
        <f t="shared" si="31"/>
        <v>"team":"0",</v>
      </c>
      <c r="AS89" t="str">
        <f t="shared" si="32"/>
        <v>"year":"0",</v>
      </c>
      <c r="AT89" t="str">
        <f t="shared" si="33"/>
        <v>"division":"--",</v>
      </c>
      <c r="AU89" t="str">
        <f t="shared" si="34"/>
        <v>"bw":"0",</v>
      </c>
      <c r="AV89" t="str">
        <f t="shared" si="35"/>
        <v>"idx":"23",</v>
      </c>
      <c r="AW89" t="str">
        <f t="shared" si="36"/>
        <v>"sr":"0",</v>
      </c>
      <c r="AX89" t="str">
        <f t="shared" si="37"/>
        <v>"br":"0",</v>
      </c>
      <c r="AY89" t="str">
        <f t="shared" si="38"/>
        <v>"row":0,</v>
      </c>
      <c r="AZ89" t="s">
        <v>67</v>
      </c>
      <c r="BA89" t="str">
        <f t="shared" si="48"/>
        <v>"sq":{"a1":0,"a2":"","a3":"","s1":0,"s2":0,"s3":0},"bp":{"a1":0,"a2":"","a3":"","s1":0,"s2":0,"s3":0},"dl":{"a1":0,"a2":"","a3":"","s1":0,"s2":0,"s3":0},"sortOrder":0,"act":{}}</v>
      </c>
      <c r="BB89" t="str">
        <f t="shared" si="49"/>
        <v>"23":{"group":"A","lot":0,"name":"0","team":"0","year":"0","division":"--","bw":"0","idx":"23","sr":"0","br":"0","row":0,"sq":{"a1":0,"a2":"","a3":"","s1":0,"s2":0,"s3":0},"bp":{"a1":0,"a2":"","a3":"","s1":0,"s2":0,"s3":0},"dl":{"a1":0,"a2":"","a3":"","s1":0,"s2":0,"s3":0},"sortOrder":0,"act":{}}</v>
      </c>
    </row>
    <row r="90" spans="5:54" x14ac:dyDescent="0.25">
      <c r="E90" s="159"/>
      <c r="F90" s="110"/>
      <c r="G90" s="110"/>
      <c r="H90" s="110"/>
      <c r="I90" s="110"/>
      <c r="J90" s="110"/>
      <c r="K90" s="110"/>
      <c r="L90" s="110"/>
      <c r="M90" s="110"/>
      <c r="N90" s="110"/>
      <c r="O90" s="110"/>
      <c r="P90" s="110"/>
      <c r="Q90" s="110"/>
      <c r="R90" s="110"/>
      <c r="S90" s="110"/>
      <c r="T90" s="111"/>
      <c r="U90" s="112"/>
      <c r="V90" s="112"/>
      <c r="W90" s="113"/>
      <c r="Z90" s="15" t="str">
        <f t="shared" si="27"/>
        <v>A</v>
      </c>
      <c r="AA90" s="8">
        <f t="shared" si="39"/>
        <v>0</v>
      </c>
      <c r="AB90" s="9">
        <f t="shared" si="42"/>
        <v>0</v>
      </c>
      <c r="AC90" s="8">
        <f t="shared" si="40"/>
        <v>0</v>
      </c>
      <c r="AD90" s="8">
        <f t="shared" si="41"/>
        <v>0</v>
      </c>
      <c r="AE90" s="8" t="str">
        <f t="shared" si="43"/>
        <v>--</v>
      </c>
      <c r="AF90" s="10">
        <f t="shared" si="44"/>
        <v>0</v>
      </c>
      <c r="AG90" s="8">
        <v>23</v>
      </c>
      <c r="AH90" s="9">
        <f t="shared" si="45"/>
        <v>0</v>
      </c>
      <c r="AI90" s="11">
        <f t="shared" si="46"/>
        <v>0</v>
      </c>
      <c r="AJ90" s="6"/>
      <c r="AK90" s="6"/>
      <c r="AL90" s="6"/>
      <c r="AN90" t="str">
        <f t="shared" si="28"/>
        <v>"23":{</v>
      </c>
      <c r="AO90" t="str">
        <f t="shared" si="29"/>
        <v>"group":"A",</v>
      </c>
      <c r="AP90" t="str">
        <f t="shared" si="47"/>
        <v>"lot":0,</v>
      </c>
      <c r="AQ90" t="str">
        <f t="shared" si="30"/>
        <v>"name":"0",</v>
      </c>
      <c r="AR90" t="str">
        <f t="shared" si="31"/>
        <v>"team":"0",</v>
      </c>
      <c r="AS90" t="str">
        <f t="shared" si="32"/>
        <v>"year":"0",</v>
      </c>
      <c r="AT90" t="str">
        <f t="shared" si="33"/>
        <v>"division":"--",</v>
      </c>
      <c r="AU90" t="str">
        <f t="shared" si="34"/>
        <v>"bw":"0",</v>
      </c>
      <c r="AV90" t="str">
        <f t="shared" si="35"/>
        <v>"idx":"23",</v>
      </c>
      <c r="AW90" t="str">
        <f t="shared" si="36"/>
        <v>"sr":"0",</v>
      </c>
      <c r="AX90" t="str">
        <f t="shared" si="37"/>
        <v>"br":"0",</v>
      </c>
      <c r="AY90" t="str">
        <f t="shared" si="38"/>
        <v>"row":0,</v>
      </c>
      <c r="AZ90" t="s">
        <v>67</v>
      </c>
      <c r="BA90" t="str">
        <f t="shared" si="48"/>
        <v>"sq":{"a1":0,"a2":"","a3":"","s1":0,"s2":0,"s3":0},"bp":{"a1":0,"a2":"","a3":"","s1":0,"s2":0,"s3":0},"dl":{"a1":0,"a2":"","a3":"","s1":0,"s2":0,"s3":0},"sortOrder":0,"act":{}}</v>
      </c>
      <c r="BB90" t="str">
        <f t="shared" si="49"/>
        <v>"23":{"group":"A","lot":0,"name":"0","team":"0","year":"0","division":"--","bw":"0","idx":"23","sr":"0","br":"0","row":0,"sq":{"a1":0,"a2":"","a3":"","s1":0,"s2":0,"s3":0},"bp":{"a1":0,"a2":"","a3":"","s1":0,"s2":0,"s3":0},"dl":{"a1":0,"a2":"","a3":"","s1":0,"s2":0,"s3":0},"sortOrder":0,"act":{}}</v>
      </c>
    </row>
    <row r="91" spans="5:54" x14ac:dyDescent="0.25">
      <c r="E91" s="159"/>
      <c r="F91" s="110"/>
      <c r="G91" s="110"/>
      <c r="H91" s="110"/>
      <c r="I91" s="110"/>
      <c r="J91" s="110"/>
      <c r="K91" s="110"/>
      <c r="L91" s="110"/>
      <c r="M91" s="110"/>
      <c r="N91" s="110"/>
      <c r="O91" s="110"/>
      <c r="P91" s="110"/>
      <c r="Q91" s="110"/>
      <c r="R91" s="110"/>
      <c r="S91" s="110"/>
      <c r="T91" s="111"/>
      <c r="U91" s="112"/>
      <c r="V91" s="112"/>
      <c r="W91" s="113"/>
      <c r="Z91" s="15" t="str">
        <f t="shared" si="27"/>
        <v>A</v>
      </c>
      <c r="AA91" s="8">
        <f t="shared" si="39"/>
        <v>0</v>
      </c>
      <c r="AB91" s="9">
        <f t="shared" si="42"/>
        <v>0</v>
      </c>
      <c r="AC91" s="8">
        <f t="shared" si="40"/>
        <v>0</v>
      </c>
      <c r="AD91" s="8">
        <f t="shared" si="41"/>
        <v>0</v>
      </c>
      <c r="AE91" s="8" t="str">
        <f t="shared" si="43"/>
        <v>--</v>
      </c>
      <c r="AF91" s="10">
        <f t="shared" si="44"/>
        <v>0</v>
      </c>
      <c r="AG91" s="8">
        <v>23</v>
      </c>
      <c r="AH91" s="9">
        <f t="shared" si="45"/>
        <v>0</v>
      </c>
      <c r="AI91" s="11">
        <f t="shared" si="46"/>
        <v>0</v>
      </c>
      <c r="AJ91" s="6"/>
      <c r="AK91" s="6"/>
      <c r="AL91" s="6"/>
      <c r="AN91" t="str">
        <f t="shared" si="28"/>
        <v>"23":{</v>
      </c>
      <c r="AO91" t="str">
        <f t="shared" si="29"/>
        <v>"group":"A",</v>
      </c>
      <c r="AP91" t="str">
        <f t="shared" si="47"/>
        <v>"lot":0,</v>
      </c>
      <c r="AQ91" t="str">
        <f t="shared" si="30"/>
        <v>"name":"0",</v>
      </c>
      <c r="AR91" t="str">
        <f t="shared" si="31"/>
        <v>"team":"0",</v>
      </c>
      <c r="AS91" t="str">
        <f t="shared" si="32"/>
        <v>"year":"0",</v>
      </c>
      <c r="AT91" t="str">
        <f t="shared" si="33"/>
        <v>"division":"--",</v>
      </c>
      <c r="AU91" t="str">
        <f t="shared" si="34"/>
        <v>"bw":"0",</v>
      </c>
      <c r="AV91" t="str">
        <f t="shared" si="35"/>
        <v>"idx":"23",</v>
      </c>
      <c r="AW91" t="str">
        <f t="shared" si="36"/>
        <v>"sr":"0",</v>
      </c>
      <c r="AX91" t="str">
        <f t="shared" si="37"/>
        <v>"br":"0",</v>
      </c>
      <c r="AY91" t="str">
        <f t="shared" si="38"/>
        <v>"row":0,</v>
      </c>
      <c r="AZ91" t="s">
        <v>67</v>
      </c>
      <c r="BA91" t="str">
        <f t="shared" si="48"/>
        <v>"sq":{"a1":0,"a2":"","a3":"","s1":0,"s2":0,"s3":0},"bp":{"a1":0,"a2":"","a3":"","s1":0,"s2":0,"s3":0},"dl":{"a1":0,"a2":"","a3":"","s1":0,"s2":0,"s3":0},"sortOrder":0,"act":{}}</v>
      </c>
      <c r="BB91" t="str">
        <f t="shared" si="49"/>
        <v>"23":{"group":"A","lot":0,"name":"0","team":"0","year":"0","division":"--","bw":"0","idx":"23","sr":"0","br":"0","row":0,"sq":{"a1":0,"a2":"","a3":"","s1":0,"s2":0,"s3":0},"bp":{"a1":0,"a2":"","a3":"","s1":0,"s2":0,"s3":0},"dl":{"a1":0,"a2":"","a3":"","s1":0,"s2":0,"s3":0},"sortOrder":0,"act":{}}</v>
      </c>
    </row>
    <row r="92" spans="5:54" x14ac:dyDescent="0.25">
      <c r="E92" s="159"/>
      <c r="F92" s="110"/>
      <c r="G92" s="110"/>
      <c r="H92" s="110"/>
      <c r="I92" s="110"/>
      <c r="J92" s="110"/>
      <c r="K92" s="110"/>
      <c r="L92" s="110"/>
      <c r="M92" s="110"/>
      <c r="N92" s="110"/>
      <c r="O92" s="110"/>
      <c r="P92" s="110"/>
      <c r="Q92" s="110"/>
      <c r="R92" s="110"/>
      <c r="S92" s="110"/>
      <c r="T92" s="111"/>
      <c r="U92" s="112"/>
      <c r="V92" s="112"/>
      <c r="W92" s="113"/>
      <c r="Z92" s="15" t="str">
        <f t="shared" si="27"/>
        <v>A</v>
      </c>
      <c r="AA92" s="8">
        <f t="shared" si="39"/>
        <v>0</v>
      </c>
      <c r="AB92" s="9">
        <f t="shared" si="42"/>
        <v>0</v>
      </c>
      <c r="AC92" s="8">
        <f t="shared" si="40"/>
        <v>0</v>
      </c>
      <c r="AD92" s="8">
        <f t="shared" si="41"/>
        <v>0</v>
      </c>
      <c r="AE92" s="8" t="str">
        <f t="shared" si="43"/>
        <v>--</v>
      </c>
      <c r="AF92" s="10">
        <f t="shared" si="44"/>
        <v>0</v>
      </c>
      <c r="AG92" s="8">
        <v>23</v>
      </c>
      <c r="AH92" s="9">
        <f t="shared" si="45"/>
        <v>0</v>
      </c>
      <c r="AI92" s="11">
        <f t="shared" si="46"/>
        <v>0</v>
      </c>
      <c r="AJ92" s="6"/>
      <c r="AK92" s="6"/>
      <c r="AL92" s="6"/>
      <c r="AN92" t="str">
        <f t="shared" si="28"/>
        <v>"23":{</v>
      </c>
      <c r="AO92" t="str">
        <f t="shared" si="29"/>
        <v>"group":"A",</v>
      </c>
      <c r="AP92" t="str">
        <f t="shared" si="47"/>
        <v>"lot":0,</v>
      </c>
      <c r="AQ92" t="str">
        <f t="shared" si="30"/>
        <v>"name":"0",</v>
      </c>
      <c r="AR92" t="str">
        <f t="shared" si="31"/>
        <v>"team":"0",</v>
      </c>
      <c r="AS92" t="str">
        <f t="shared" si="32"/>
        <v>"year":"0",</v>
      </c>
      <c r="AT92" t="str">
        <f t="shared" si="33"/>
        <v>"division":"--",</v>
      </c>
      <c r="AU92" t="str">
        <f t="shared" si="34"/>
        <v>"bw":"0",</v>
      </c>
      <c r="AV92" t="str">
        <f t="shared" si="35"/>
        <v>"idx":"23",</v>
      </c>
      <c r="AW92" t="str">
        <f t="shared" si="36"/>
        <v>"sr":"0",</v>
      </c>
      <c r="AX92" t="str">
        <f t="shared" si="37"/>
        <v>"br":"0",</v>
      </c>
      <c r="AY92" t="str">
        <f t="shared" si="38"/>
        <v>"row":0,</v>
      </c>
      <c r="AZ92" t="s">
        <v>67</v>
      </c>
      <c r="BA92" t="str">
        <f t="shared" si="48"/>
        <v>"sq":{"a1":0,"a2":"","a3":"","s1":0,"s2":0,"s3":0},"bp":{"a1":0,"a2":"","a3":"","s1":0,"s2":0,"s3":0},"dl":{"a1":0,"a2":"","a3":"","s1":0,"s2":0,"s3":0},"sortOrder":0,"act":{}}</v>
      </c>
      <c r="BB92" t="str">
        <f t="shared" si="49"/>
        <v>"23":{"group":"A","lot":0,"name":"0","team":"0","year":"0","division":"--","bw":"0","idx":"23","sr":"0","br":"0","row":0,"sq":{"a1":0,"a2":"","a3":"","s1":0,"s2":0,"s3":0},"bp":{"a1":0,"a2":"","a3":"","s1":0,"s2":0,"s3":0},"dl":{"a1":0,"a2":"","a3":"","s1":0,"s2":0,"s3":0},"sortOrder":0,"act":{}}</v>
      </c>
    </row>
    <row r="93" spans="5:54" x14ac:dyDescent="0.25">
      <c r="E93" s="159"/>
      <c r="F93" s="110"/>
      <c r="G93" s="110"/>
      <c r="H93" s="110"/>
      <c r="I93" s="110"/>
      <c r="J93" s="110"/>
      <c r="K93" s="110"/>
      <c r="L93" s="110"/>
      <c r="M93" s="110"/>
      <c r="N93" s="110"/>
      <c r="O93" s="110"/>
      <c r="P93" s="110"/>
      <c r="Q93" s="110"/>
      <c r="R93" s="110"/>
      <c r="S93" s="110"/>
      <c r="T93" s="111"/>
      <c r="U93" s="112"/>
      <c r="V93" s="112"/>
      <c r="W93" s="113"/>
      <c r="Z93" s="15" t="str">
        <f t="shared" si="27"/>
        <v>A</v>
      </c>
      <c r="AA93" s="8">
        <f t="shared" si="39"/>
        <v>0</v>
      </c>
      <c r="AB93" s="9">
        <f t="shared" si="42"/>
        <v>0</v>
      </c>
      <c r="AC93" s="8">
        <f t="shared" si="40"/>
        <v>0</v>
      </c>
      <c r="AD93" s="8">
        <f t="shared" si="41"/>
        <v>0</v>
      </c>
      <c r="AE93" s="8" t="str">
        <f t="shared" si="43"/>
        <v>--</v>
      </c>
      <c r="AF93" s="10">
        <f t="shared" si="44"/>
        <v>0</v>
      </c>
      <c r="AG93" s="8">
        <v>23</v>
      </c>
      <c r="AH93" s="9">
        <f t="shared" si="45"/>
        <v>0</v>
      </c>
      <c r="AI93" s="11">
        <f t="shared" si="46"/>
        <v>0</v>
      </c>
      <c r="AJ93" s="6"/>
      <c r="AK93" s="6"/>
      <c r="AL93" s="6"/>
      <c r="AN93" t="str">
        <f t="shared" si="28"/>
        <v>"23":{</v>
      </c>
      <c r="AO93" t="str">
        <f t="shared" si="29"/>
        <v>"group":"A",</v>
      </c>
      <c r="AP93" t="str">
        <f t="shared" si="47"/>
        <v>"lot":0,</v>
      </c>
      <c r="AQ93" t="str">
        <f t="shared" si="30"/>
        <v>"name":"0",</v>
      </c>
      <c r="AR93" t="str">
        <f t="shared" si="31"/>
        <v>"team":"0",</v>
      </c>
      <c r="AS93" t="str">
        <f t="shared" si="32"/>
        <v>"year":"0",</v>
      </c>
      <c r="AT93" t="str">
        <f t="shared" si="33"/>
        <v>"division":"--",</v>
      </c>
      <c r="AU93" t="str">
        <f t="shared" si="34"/>
        <v>"bw":"0",</v>
      </c>
      <c r="AV93" t="str">
        <f t="shared" si="35"/>
        <v>"idx":"23",</v>
      </c>
      <c r="AW93" t="str">
        <f t="shared" si="36"/>
        <v>"sr":"0",</v>
      </c>
      <c r="AX93" t="str">
        <f t="shared" si="37"/>
        <v>"br":"0",</v>
      </c>
      <c r="AY93" t="str">
        <f t="shared" si="38"/>
        <v>"row":0,</v>
      </c>
      <c r="AZ93" t="s">
        <v>67</v>
      </c>
      <c r="BA93" t="str">
        <f t="shared" si="48"/>
        <v>"sq":{"a1":0,"a2":"","a3":"","s1":0,"s2":0,"s3":0},"bp":{"a1":0,"a2":"","a3":"","s1":0,"s2":0,"s3":0},"dl":{"a1":0,"a2":"","a3":"","s1":0,"s2":0,"s3":0},"sortOrder":0,"act":{}}</v>
      </c>
      <c r="BB93" t="str">
        <f t="shared" si="49"/>
        <v>"23":{"group":"A","lot":0,"name":"0","team":"0","year":"0","division":"--","bw":"0","idx":"23","sr":"0","br":"0","row":0,"sq":{"a1":0,"a2":"","a3":"","s1":0,"s2":0,"s3":0},"bp":{"a1":0,"a2":"","a3":"","s1":0,"s2":0,"s3":0},"dl":{"a1":0,"a2":"","a3":"","s1":0,"s2":0,"s3":0},"sortOrder":0,"act":{}}</v>
      </c>
    </row>
    <row r="94" spans="5:54" x14ac:dyDescent="0.25">
      <c r="E94" s="159"/>
      <c r="F94" s="110"/>
      <c r="G94" s="110"/>
      <c r="H94" s="110"/>
      <c r="I94" s="110"/>
      <c r="J94" s="110"/>
      <c r="K94" s="110"/>
      <c r="L94" s="110"/>
      <c r="M94" s="110"/>
      <c r="N94" s="110"/>
      <c r="O94" s="110"/>
      <c r="P94" s="110"/>
      <c r="Q94" s="110"/>
      <c r="R94" s="110"/>
      <c r="S94" s="110"/>
      <c r="T94" s="111"/>
      <c r="U94" s="112"/>
      <c r="V94" s="112"/>
      <c r="W94" s="113"/>
      <c r="Z94" s="15" t="str">
        <f t="shared" si="27"/>
        <v>A</v>
      </c>
      <c r="AA94" s="8">
        <f t="shared" si="39"/>
        <v>0</v>
      </c>
      <c r="AB94" s="9">
        <f t="shared" si="42"/>
        <v>0</v>
      </c>
      <c r="AC94" s="8">
        <f t="shared" si="40"/>
        <v>0</v>
      </c>
      <c r="AD94" s="8">
        <f t="shared" si="41"/>
        <v>0</v>
      </c>
      <c r="AE94" s="8" t="str">
        <f t="shared" si="43"/>
        <v>--</v>
      </c>
      <c r="AF94" s="10">
        <f t="shared" si="44"/>
        <v>0</v>
      </c>
      <c r="AG94" s="8">
        <v>23</v>
      </c>
      <c r="AH94" s="9">
        <f t="shared" si="45"/>
        <v>0</v>
      </c>
      <c r="AI94" s="11">
        <f t="shared" si="46"/>
        <v>0</v>
      </c>
      <c r="AJ94" s="6"/>
      <c r="AK94" s="6"/>
      <c r="AL94" s="6"/>
      <c r="AN94" t="str">
        <f t="shared" si="28"/>
        <v>"23":{</v>
      </c>
      <c r="AO94" t="str">
        <f t="shared" si="29"/>
        <v>"group":"A",</v>
      </c>
      <c r="AP94" t="str">
        <f t="shared" si="47"/>
        <v>"lot":0,</v>
      </c>
      <c r="AQ94" t="str">
        <f t="shared" si="30"/>
        <v>"name":"0",</v>
      </c>
      <c r="AR94" t="str">
        <f t="shared" si="31"/>
        <v>"team":"0",</v>
      </c>
      <c r="AS94" t="str">
        <f t="shared" si="32"/>
        <v>"year":"0",</v>
      </c>
      <c r="AT94" t="str">
        <f t="shared" si="33"/>
        <v>"division":"--",</v>
      </c>
      <c r="AU94" t="str">
        <f t="shared" si="34"/>
        <v>"bw":"0",</v>
      </c>
      <c r="AV94" t="str">
        <f t="shared" si="35"/>
        <v>"idx":"23",</v>
      </c>
      <c r="AW94" t="str">
        <f t="shared" si="36"/>
        <v>"sr":"0",</v>
      </c>
      <c r="AX94" t="str">
        <f t="shared" si="37"/>
        <v>"br":"0",</v>
      </c>
      <c r="AY94" t="str">
        <f t="shared" si="38"/>
        <v>"row":0,</v>
      </c>
      <c r="AZ94" t="s">
        <v>67</v>
      </c>
      <c r="BA94" t="str">
        <f t="shared" si="48"/>
        <v>"sq":{"a1":0,"a2":"","a3":"","s1":0,"s2":0,"s3":0},"bp":{"a1":0,"a2":"","a3":"","s1":0,"s2":0,"s3":0},"dl":{"a1":0,"a2":"","a3":"","s1":0,"s2":0,"s3":0},"sortOrder":0,"act":{}}</v>
      </c>
      <c r="BB94" t="str">
        <f t="shared" si="49"/>
        <v>"23":{"group":"A","lot":0,"name":"0","team":"0","year":"0","division":"--","bw":"0","idx":"23","sr":"0","br":"0","row":0,"sq":{"a1":0,"a2":"","a3":"","s1":0,"s2":0,"s3":0},"bp":{"a1":0,"a2":"","a3":"","s1":0,"s2":0,"s3":0},"dl":{"a1":0,"a2":"","a3":"","s1":0,"s2":0,"s3":0},"sortOrder":0,"act":{}}</v>
      </c>
    </row>
    <row r="95" spans="5:54" x14ac:dyDescent="0.25">
      <c r="E95" s="159"/>
      <c r="F95" s="110"/>
      <c r="G95" s="110"/>
      <c r="H95" s="110"/>
      <c r="I95" s="110"/>
      <c r="J95" s="110"/>
      <c r="K95" s="110"/>
      <c r="L95" s="110"/>
      <c r="M95" s="110"/>
      <c r="N95" s="110"/>
      <c r="O95" s="110"/>
      <c r="P95" s="110"/>
      <c r="Q95" s="110"/>
      <c r="R95" s="110"/>
      <c r="S95" s="110"/>
      <c r="T95" s="111"/>
      <c r="U95" s="112"/>
      <c r="V95" s="112"/>
      <c r="W95" s="113"/>
      <c r="Z95" s="15" t="str">
        <f t="shared" si="27"/>
        <v>A</v>
      </c>
      <c r="AA95" s="8">
        <f t="shared" si="39"/>
        <v>0</v>
      </c>
      <c r="AB95" s="9">
        <f t="shared" si="42"/>
        <v>0</v>
      </c>
      <c r="AC95" s="8">
        <f t="shared" si="40"/>
        <v>0</v>
      </c>
      <c r="AD95" s="8">
        <f t="shared" si="41"/>
        <v>0</v>
      </c>
      <c r="AE95" s="8" t="str">
        <f t="shared" si="43"/>
        <v>--</v>
      </c>
      <c r="AF95" s="10">
        <f t="shared" si="44"/>
        <v>0</v>
      </c>
      <c r="AG95" s="8">
        <v>23</v>
      </c>
      <c r="AH95" s="9">
        <f t="shared" si="45"/>
        <v>0</v>
      </c>
      <c r="AI95" s="11">
        <f t="shared" si="46"/>
        <v>0</v>
      </c>
      <c r="AJ95" s="6"/>
      <c r="AK95" s="6"/>
      <c r="AL95" s="6"/>
      <c r="AN95" t="str">
        <f t="shared" si="28"/>
        <v>"23":{</v>
      </c>
      <c r="AO95" t="str">
        <f t="shared" si="29"/>
        <v>"group":"A",</v>
      </c>
      <c r="AP95" t="str">
        <f t="shared" si="47"/>
        <v>"lot":0,</v>
      </c>
      <c r="AQ95" t="str">
        <f t="shared" si="30"/>
        <v>"name":"0",</v>
      </c>
      <c r="AR95" t="str">
        <f t="shared" si="31"/>
        <v>"team":"0",</v>
      </c>
      <c r="AS95" t="str">
        <f t="shared" si="32"/>
        <v>"year":"0",</v>
      </c>
      <c r="AT95" t="str">
        <f t="shared" si="33"/>
        <v>"division":"--",</v>
      </c>
      <c r="AU95" t="str">
        <f t="shared" si="34"/>
        <v>"bw":"0",</v>
      </c>
      <c r="AV95" t="str">
        <f t="shared" si="35"/>
        <v>"idx":"23",</v>
      </c>
      <c r="AW95" t="str">
        <f t="shared" si="36"/>
        <v>"sr":"0",</v>
      </c>
      <c r="AX95" t="str">
        <f t="shared" si="37"/>
        <v>"br":"0",</v>
      </c>
      <c r="AY95" t="str">
        <f t="shared" si="38"/>
        <v>"row":0,</v>
      </c>
      <c r="AZ95" t="s">
        <v>67</v>
      </c>
      <c r="BA95" t="str">
        <f t="shared" si="48"/>
        <v>"sq":{"a1":0,"a2":"","a3":"","s1":0,"s2":0,"s3":0},"bp":{"a1":0,"a2":"","a3":"","s1":0,"s2":0,"s3":0},"dl":{"a1":0,"a2":"","a3":"","s1":0,"s2":0,"s3":0},"sortOrder":0,"act":{}}</v>
      </c>
      <c r="BB95" t="str">
        <f t="shared" si="49"/>
        <v>"23":{"group":"A","lot":0,"name":"0","team":"0","year":"0","division":"--","bw":"0","idx":"23","sr":"0","br":"0","row":0,"sq":{"a1":0,"a2":"","a3":"","s1":0,"s2":0,"s3":0},"bp":{"a1":0,"a2":"","a3":"","s1":0,"s2":0,"s3":0},"dl":{"a1":0,"a2":"","a3":"","s1":0,"s2":0,"s3":0},"sortOrder":0,"act":{}}</v>
      </c>
    </row>
    <row r="96" spans="5:54" x14ac:dyDescent="0.25">
      <c r="E96" s="159"/>
      <c r="F96" s="110"/>
      <c r="G96" s="110"/>
      <c r="H96" s="110"/>
      <c r="I96" s="110"/>
      <c r="J96" s="110"/>
      <c r="K96" s="110"/>
      <c r="L96" s="110"/>
      <c r="M96" s="110"/>
      <c r="N96" s="110"/>
      <c r="O96" s="110"/>
      <c r="P96" s="110"/>
      <c r="Q96" s="110"/>
      <c r="R96" s="110"/>
      <c r="S96" s="110"/>
      <c r="T96" s="111"/>
      <c r="U96" s="112"/>
      <c r="V96" s="112"/>
      <c r="W96" s="113"/>
      <c r="Z96" s="15" t="str">
        <f t="shared" si="27"/>
        <v>A</v>
      </c>
      <c r="AA96" s="8">
        <f t="shared" si="39"/>
        <v>0</v>
      </c>
      <c r="AB96" s="9">
        <f t="shared" si="42"/>
        <v>0</v>
      </c>
      <c r="AC96" s="8">
        <f t="shared" si="40"/>
        <v>0</v>
      </c>
      <c r="AD96" s="8">
        <f t="shared" si="41"/>
        <v>0</v>
      </c>
      <c r="AE96" s="8" t="str">
        <f t="shared" si="43"/>
        <v>--</v>
      </c>
      <c r="AF96" s="10">
        <f t="shared" si="44"/>
        <v>0</v>
      </c>
      <c r="AG96" s="8">
        <v>23</v>
      </c>
      <c r="AH96" s="9">
        <f t="shared" si="45"/>
        <v>0</v>
      </c>
      <c r="AI96" s="11">
        <f t="shared" si="46"/>
        <v>0</v>
      </c>
      <c r="AJ96" s="6"/>
      <c r="AK96" s="6"/>
      <c r="AL96" s="6"/>
      <c r="AN96" t="str">
        <f t="shared" si="28"/>
        <v>"23":{</v>
      </c>
      <c r="AO96" t="str">
        <f t="shared" si="29"/>
        <v>"group":"A",</v>
      </c>
      <c r="AP96" t="str">
        <f t="shared" si="47"/>
        <v>"lot":0,</v>
      </c>
      <c r="AQ96" t="str">
        <f t="shared" si="30"/>
        <v>"name":"0",</v>
      </c>
      <c r="AR96" t="str">
        <f t="shared" si="31"/>
        <v>"team":"0",</v>
      </c>
      <c r="AS96" t="str">
        <f t="shared" si="32"/>
        <v>"year":"0",</v>
      </c>
      <c r="AT96" t="str">
        <f t="shared" si="33"/>
        <v>"division":"--",</v>
      </c>
      <c r="AU96" t="str">
        <f t="shared" si="34"/>
        <v>"bw":"0",</v>
      </c>
      <c r="AV96" t="str">
        <f t="shared" si="35"/>
        <v>"idx":"23",</v>
      </c>
      <c r="AW96" t="str">
        <f t="shared" si="36"/>
        <v>"sr":"0",</v>
      </c>
      <c r="AX96" t="str">
        <f t="shared" si="37"/>
        <v>"br":"0",</v>
      </c>
      <c r="AY96" t="str">
        <f t="shared" si="38"/>
        <v>"row":0,</v>
      </c>
      <c r="AZ96" t="s">
        <v>67</v>
      </c>
      <c r="BA96" t="str">
        <f t="shared" si="48"/>
        <v>"sq":{"a1":0,"a2":"","a3":"","s1":0,"s2":0,"s3":0},"bp":{"a1":0,"a2":"","a3":"","s1":0,"s2":0,"s3":0},"dl":{"a1":0,"a2":"","a3":"","s1":0,"s2":0,"s3":0},"sortOrder":0,"act":{}}</v>
      </c>
      <c r="BB96" t="str">
        <f t="shared" si="49"/>
        <v>"23":{"group":"A","lot":0,"name":"0","team":"0","year":"0","division":"--","bw":"0","idx":"23","sr":"0","br":"0","row":0,"sq":{"a1":0,"a2":"","a3":"","s1":0,"s2":0,"s3":0},"bp":{"a1":0,"a2":"","a3":"","s1":0,"s2":0,"s3":0},"dl":{"a1":0,"a2":"","a3":"","s1":0,"s2":0,"s3":0},"sortOrder":0,"act":{}}</v>
      </c>
    </row>
    <row r="97" spans="5:54" x14ac:dyDescent="0.25">
      <c r="E97" s="159"/>
      <c r="F97" s="110"/>
      <c r="G97" s="110"/>
      <c r="H97" s="110"/>
      <c r="I97" s="110"/>
      <c r="J97" s="110"/>
      <c r="K97" s="110"/>
      <c r="L97" s="110"/>
      <c r="M97" s="110"/>
      <c r="N97" s="110"/>
      <c r="O97" s="110"/>
      <c r="P97" s="110"/>
      <c r="Q97" s="110"/>
      <c r="R97" s="110"/>
      <c r="S97" s="110"/>
      <c r="T97" s="111"/>
      <c r="U97" s="112"/>
      <c r="V97" s="112"/>
      <c r="W97" s="113"/>
      <c r="Z97" s="15" t="str">
        <f t="shared" si="27"/>
        <v>A</v>
      </c>
      <c r="AA97" s="8">
        <f t="shared" si="39"/>
        <v>0</v>
      </c>
      <c r="AB97" s="9">
        <f t="shared" si="42"/>
        <v>0</v>
      </c>
      <c r="AC97" s="8">
        <f t="shared" si="40"/>
        <v>0</v>
      </c>
      <c r="AD97" s="8">
        <f t="shared" si="41"/>
        <v>0</v>
      </c>
      <c r="AE97" s="8" t="str">
        <f t="shared" si="43"/>
        <v>--</v>
      </c>
      <c r="AF97" s="10">
        <f t="shared" si="44"/>
        <v>0</v>
      </c>
      <c r="AG97" s="8">
        <v>23</v>
      </c>
      <c r="AH97" s="9">
        <f t="shared" si="45"/>
        <v>0</v>
      </c>
      <c r="AI97" s="11">
        <f t="shared" si="46"/>
        <v>0</v>
      </c>
      <c r="AJ97" s="6"/>
      <c r="AK97" s="6"/>
      <c r="AL97" s="6"/>
      <c r="AN97" t="str">
        <f t="shared" si="28"/>
        <v>"23":{</v>
      </c>
      <c r="AO97" t="str">
        <f t="shared" si="29"/>
        <v>"group":"A",</v>
      </c>
      <c r="AP97" t="str">
        <f t="shared" si="47"/>
        <v>"lot":0,</v>
      </c>
      <c r="AQ97" t="str">
        <f t="shared" si="30"/>
        <v>"name":"0",</v>
      </c>
      <c r="AR97" t="str">
        <f t="shared" si="31"/>
        <v>"team":"0",</v>
      </c>
      <c r="AS97" t="str">
        <f t="shared" si="32"/>
        <v>"year":"0",</v>
      </c>
      <c r="AT97" t="str">
        <f t="shared" si="33"/>
        <v>"division":"--",</v>
      </c>
      <c r="AU97" t="str">
        <f t="shared" si="34"/>
        <v>"bw":"0",</v>
      </c>
      <c r="AV97" t="str">
        <f t="shared" si="35"/>
        <v>"idx":"23",</v>
      </c>
      <c r="AW97" t="str">
        <f t="shared" si="36"/>
        <v>"sr":"0",</v>
      </c>
      <c r="AX97" t="str">
        <f t="shared" si="37"/>
        <v>"br":"0",</v>
      </c>
      <c r="AY97" t="str">
        <f t="shared" si="38"/>
        <v>"row":0,</v>
      </c>
      <c r="AZ97" t="s">
        <v>67</v>
      </c>
      <c r="BA97" t="str">
        <f t="shared" si="48"/>
        <v>"sq":{"a1":0,"a2":"","a3":"","s1":0,"s2":0,"s3":0},"bp":{"a1":0,"a2":"","a3":"","s1":0,"s2":0,"s3":0},"dl":{"a1":0,"a2":"","a3":"","s1":0,"s2":0,"s3":0},"sortOrder":0,"act":{}}</v>
      </c>
      <c r="BB97" t="str">
        <f t="shared" si="49"/>
        <v>"23":{"group":"A","lot":0,"name":"0","team":"0","year":"0","division":"--","bw":"0","idx":"23","sr":"0","br":"0","row":0,"sq":{"a1":0,"a2":"","a3":"","s1":0,"s2":0,"s3":0},"bp":{"a1":0,"a2":"","a3":"","s1":0,"s2":0,"s3":0},"dl":{"a1":0,"a2":"","a3":"","s1":0,"s2":0,"s3":0},"sortOrder":0,"act":{}}</v>
      </c>
    </row>
    <row r="98" spans="5:54" x14ac:dyDescent="0.25">
      <c r="E98" s="159"/>
      <c r="F98" s="110"/>
      <c r="G98" s="110"/>
      <c r="H98" s="110"/>
      <c r="I98" s="110"/>
      <c r="J98" s="110"/>
      <c r="K98" s="110"/>
      <c r="L98" s="110"/>
      <c r="M98" s="110"/>
      <c r="N98" s="110"/>
      <c r="O98" s="110"/>
      <c r="P98" s="110"/>
      <c r="Q98" s="110"/>
      <c r="R98" s="110"/>
      <c r="S98" s="110"/>
      <c r="T98" s="111"/>
      <c r="U98" s="112"/>
      <c r="V98" s="112"/>
      <c r="W98" s="113"/>
      <c r="Z98" s="15" t="str">
        <f t="shared" si="27"/>
        <v>A</v>
      </c>
      <c r="AA98" s="8">
        <f t="shared" si="39"/>
        <v>0</v>
      </c>
      <c r="AB98" s="9">
        <f t="shared" si="42"/>
        <v>0</v>
      </c>
      <c r="AC98" s="8">
        <f t="shared" si="40"/>
        <v>0</v>
      </c>
      <c r="AD98" s="8">
        <f t="shared" si="41"/>
        <v>0</v>
      </c>
      <c r="AE98" s="8" t="str">
        <f t="shared" si="43"/>
        <v>--</v>
      </c>
      <c r="AF98" s="10">
        <f t="shared" si="44"/>
        <v>0</v>
      </c>
      <c r="AG98" s="8">
        <v>23</v>
      </c>
      <c r="AH98" s="9">
        <f t="shared" si="45"/>
        <v>0</v>
      </c>
      <c r="AI98" s="11">
        <f t="shared" si="46"/>
        <v>0</v>
      </c>
      <c r="AJ98" s="6"/>
      <c r="AK98" s="6"/>
      <c r="AL98" s="6"/>
      <c r="AN98" t="str">
        <f t="shared" si="28"/>
        <v>"23":{</v>
      </c>
      <c r="AO98" t="str">
        <f t="shared" si="29"/>
        <v>"group":"A",</v>
      </c>
      <c r="AP98" t="str">
        <f t="shared" si="47"/>
        <v>"lot":0,</v>
      </c>
      <c r="AQ98" t="str">
        <f t="shared" si="30"/>
        <v>"name":"0",</v>
      </c>
      <c r="AR98" t="str">
        <f t="shared" si="31"/>
        <v>"team":"0",</v>
      </c>
      <c r="AS98" t="str">
        <f t="shared" si="32"/>
        <v>"year":"0",</v>
      </c>
      <c r="AT98" t="str">
        <f t="shared" si="33"/>
        <v>"division":"--",</v>
      </c>
      <c r="AU98" t="str">
        <f t="shared" si="34"/>
        <v>"bw":"0",</v>
      </c>
      <c r="AV98" t="str">
        <f t="shared" si="35"/>
        <v>"idx":"23",</v>
      </c>
      <c r="AW98" t="str">
        <f t="shared" si="36"/>
        <v>"sr":"0",</v>
      </c>
      <c r="AX98" t="str">
        <f t="shared" si="37"/>
        <v>"br":"0",</v>
      </c>
      <c r="AY98" t="str">
        <f t="shared" si="38"/>
        <v>"row":0,</v>
      </c>
      <c r="AZ98" t="s">
        <v>67</v>
      </c>
      <c r="BA98" t="str">
        <f t="shared" si="48"/>
        <v>"sq":{"a1":0,"a2":"","a3":"","s1":0,"s2":0,"s3":0},"bp":{"a1":0,"a2":"","a3":"","s1":0,"s2":0,"s3":0},"dl":{"a1":0,"a2":"","a3":"","s1":0,"s2":0,"s3":0},"sortOrder":0,"act":{}}</v>
      </c>
      <c r="BB98" t="str">
        <f t="shared" si="49"/>
        <v>"23":{"group":"A","lot":0,"name":"0","team":"0","year":"0","division":"--","bw":"0","idx":"23","sr":"0","br":"0","row":0,"sq":{"a1":0,"a2":"","a3":"","s1":0,"s2":0,"s3":0},"bp":{"a1":0,"a2":"","a3":"","s1":0,"s2":0,"s3":0},"dl":{"a1":0,"a2":"","a3":"","s1":0,"s2":0,"s3":0},"sortOrder":0,"act":{}}</v>
      </c>
    </row>
    <row r="99" spans="5:54" x14ac:dyDescent="0.25">
      <c r="E99" s="159"/>
      <c r="F99" s="110"/>
      <c r="G99" s="110"/>
      <c r="H99" s="110"/>
      <c r="I99" s="110"/>
      <c r="J99" s="110"/>
      <c r="K99" s="110"/>
      <c r="L99" s="110"/>
      <c r="M99" s="110"/>
      <c r="N99" s="110"/>
      <c r="O99" s="110"/>
      <c r="P99" s="110"/>
      <c r="Q99" s="110"/>
      <c r="R99" s="110"/>
      <c r="S99" s="110"/>
      <c r="T99" s="111"/>
      <c r="U99" s="112"/>
      <c r="V99" s="112"/>
      <c r="W99" s="113"/>
      <c r="Z99" s="15" t="str">
        <f t="shared" si="27"/>
        <v>A</v>
      </c>
      <c r="AA99" s="8">
        <f t="shared" si="39"/>
        <v>0</v>
      </c>
      <c r="AB99" s="9">
        <f t="shared" si="42"/>
        <v>0</v>
      </c>
      <c r="AC99" s="8">
        <f t="shared" si="40"/>
        <v>0</v>
      </c>
      <c r="AD99" s="8">
        <f t="shared" si="41"/>
        <v>0</v>
      </c>
      <c r="AE99" s="8" t="str">
        <f t="shared" si="43"/>
        <v>--</v>
      </c>
      <c r="AF99" s="10">
        <f t="shared" si="44"/>
        <v>0</v>
      </c>
      <c r="AG99" s="8">
        <v>23</v>
      </c>
      <c r="AH99" s="9">
        <f t="shared" si="45"/>
        <v>0</v>
      </c>
      <c r="AI99" s="11">
        <f t="shared" si="46"/>
        <v>0</v>
      </c>
      <c r="AJ99" s="6"/>
      <c r="AK99" s="6"/>
      <c r="AL99" s="6"/>
      <c r="AN99" t="str">
        <f t="shared" si="28"/>
        <v>"23":{</v>
      </c>
      <c r="AO99" t="str">
        <f t="shared" si="29"/>
        <v>"group":"A",</v>
      </c>
      <c r="AP99" t="str">
        <f t="shared" si="47"/>
        <v>"lot":0,</v>
      </c>
      <c r="AQ99" t="str">
        <f t="shared" si="30"/>
        <v>"name":"0",</v>
      </c>
      <c r="AR99" t="str">
        <f t="shared" si="31"/>
        <v>"team":"0",</v>
      </c>
      <c r="AS99" t="str">
        <f t="shared" si="32"/>
        <v>"year":"0",</v>
      </c>
      <c r="AT99" t="str">
        <f t="shared" si="33"/>
        <v>"division":"--",</v>
      </c>
      <c r="AU99" t="str">
        <f t="shared" si="34"/>
        <v>"bw":"0",</v>
      </c>
      <c r="AV99" t="str">
        <f t="shared" si="35"/>
        <v>"idx":"23",</v>
      </c>
      <c r="AW99" t="str">
        <f t="shared" si="36"/>
        <v>"sr":"0",</v>
      </c>
      <c r="AX99" t="str">
        <f t="shared" si="37"/>
        <v>"br":"0",</v>
      </c>
      <c r="AY99" t="str">
        <f t="shared" si="38"/>
        <v>"row":0,</v>
      </c>
      <c r="AZ99" t="s">
        <v>67</v>
      </c>
      <c r="BA99" t="str">
        <f t="shared" si="48"/>
        <v>"sq":{"a1":0,"a2":"","a3":"","s1":0,"s2":0,"s3":0},"bp":{"a1":0,"a2":"","a3":"","s1":0,"s2":0,"s3":0},"dl":{"a1":0,"a2":"","a3":"","s1":0,"s2":0,"s3":0},"sortOrder":0,"act":{}}</v>
      </c>
      <c r="BB99" t="str">
        <f t="shared" si="49"/>
        <v>"23":{"group":"A","lot":0,"name":"0","team":"0","year":"0","division":"--","bw":"0","idx":"23","sr":"0","br":"0","row":0,"sq":{"a1":0,"a2":"","a3":"","s1":0,"s2":0,"s3":0},"bp":{"a1":0,"a2":"","a3":"","s1":0,"s2":0,"s3":0},"dl":{"a1":0,"a2":"","a3":"","s1":0,"s2":0,"s3":0},"sortOrder":0,"act":{}}</v>
      </c>
    </row>
    <row r="100" spans="5:54" x14ac:dyDescent="0.25">
      <c r="E100" s="159"/>
      <c r="F100" s="110"/>
      <c r="G100" s="110"/>
      <c r="H100" s="110"/>
      <c r="I100" s="110"/>
      <c r="J100" s="110"/>
      <c r="K100" s="110"/>
      <c r="L100" s="110"/>
      <c r="M100" s="110"/>
      <c r="N100" s="110"/>
      <c r="O100" s="110"/>
      <c r="P100" s="110"/>
      <c r="Q100" s="110"/>
      <c r="R100" s="110"/>
      <c r="S100" s="110"/>
      <c r="T100" s="111"/>
      <c r="U100" s="112"/>
      <c r="V100" s="112"/>
      <c r="W100" s="113"/>
      <c r="Z100" s="15" t="str">
        <f t="shared" si="27"/>
        <v>A</v>
      </c>
      <c r="AA100" s="8">
        <f t="shared" si="39"/>
        <v>0</v>
      </c>
      <c r="AB100" s="9">
        <f t="shared" si="42"/>
        <v>0</v>
      </c>
      <c r="AC100" s="8">
        <f t="shared" si="40"/>
        <v>0</v>
      </c>
      <c r="AD100" s="8">
        <f t="shared" si="41"/>
        <v>0</v>
      </c>
      <c r="AE100" s="8" t="str">
        <f t="shared" si="43"/>
        <v>--</v>
      </c>
      <c r="AF100" s="10">
        <f t="shared" si="44"/>
        <v>0</v>
      </c>
      <c r="AG100" s="8">
        <v>23</v>
      </c>
      <c r="AH100" s="9">
        <f t="shared" si="45"/>
        <v>0</v>
      </c>
      <c r="AI100" s="11">
        <f t="shared" si="46"/>
        <v>0</v>
      </c>
      <c r="AJ100" s="6"/>
      <c r="AK100" s="6"/>
      <c r="AL100" s="6"/>
      <c r="AN100" t="str">
        <f t="shared" si="28"/>
        <v>"23":{</v>
      </c>
      <c r="AO100" t="str">
        <f t="shared" si="29"/>
        <v>"group":"A",</v>
      </c>
      <c r="AP100" t="str">
        <f t="shared" si="47"/>
        <v>"lot":0,</v>
      </c>
      <c r="AQ100" t="str">
        <f t="shared" si="30"/>
        <v>"name":"0",</v>
      </c>
      <c r="AR100" t="str">
        <f t="shared" si="31"/>
        <v>"team":"0",</v>
      </c>
      <c r="AS100" t="str">
        <f t="shared" si="32"/>
        <v>"year":"0",</v>
      </c>
      <c r="AT100" t="str">
        <f t="shared" si="33"/>
        <v>"division":"--",</v>
      </c>
      <c r="AU100" t="str">
        <f t="shared" si="34"/>
        <v>"bw":"0",</v>
      </c>
      <c r="AV100" t="str">
        <f t="shared" si="35"/>
        <v>"idx":"23",</v>
      </c>
      <c r="AW100" t="str">
        <f t="shared" si="36"/>
        <v>"sr":"0",</v>
      </c>
      <c r="AX100" t="str">
        <f t="shared" si="37"/>
        <v>"br":"0",</v>
      </c>
      <c r="AY100" t="str">
        <f t="shared" si="38"/>
        <v>"row":0,</v>
      </c>
      <c r="AZ100" t="s">
        <v>67</v>
      </c>
      <c r="BA100" t="str">
        <f t="shared" si="48"/>
        <v>"sq":{"a1":0,"a2":"","a3":"","s1":0,"s2":0,"s3":0},"bp":{"a1":0,"a2":"","a3":"","s1":0,"s2":0,"s3":0},"dl":{"a1":0,"a2":"","a3":"","s1":0,"s2":0,"s3":0},"sortOrder":0,"act":{}}</v>
      </c>
      <c r="BB100" t="str">
        <f t="shared" si="49"/>
        <v>"23":{"group":"A","lot":0,"name":"0","team":"0","year":"0","division":"--","bw":"0","idx":"23","sr":"0","br":"0","row":0,"sq":{"a1":0,"a2":"","a3":"","s1":0,"s2":0,"s3":0},"bp":{"a1":0,"a2":"","a3":"","s1":0,"s2":0,"s3":0},"dl":{"a1":0,"a2":"","a3":"","s1":0,"s2":0,"s3":0},"sortOrder":0,"act":{}}</v>
      </c>
    </row>
    <row r="101" spans="5:54" x14ac:dyDescent="0.25">
      <c r="E101" s="159"/>
      <c r="F101" s="110"/>
      <c r="G101" s="110"/>
      <c r="H101" s="110"/>
      <c r="I101" s="110"/>
      <c r="J101" s="110"/>
      <c r="K101" s="110"/>
      <c r="L101" s="110"/>
      <c r="M101" s="110"/>
      <c r="N101" s="110"/>
      <c r="O101" s="110"/>
      <c r="P101" s="110"/>
      <c r="Q101" s="110"/>
      <c r="R101" s="110"/>
      <c r="S101" s="110"/>
      <c r="T101" s="111"/>
      <c r="U101" s="112"/>
      <c r="V101" s="112"/>
      <c r="W101" s="113"/>
      <c r="Z101" s="15" t="str">
        <f t="shared" si="27"/>
        <v>A</v>
      </c>
      <c r="AA101" s="8">
        <f t="shared" si="39"/>
        <v>0</v>
      </c>
      <c r="AB101" s="9">
        <f t="shared" si="42"/>
        <v>0</v>
      </c>
      <c r="AC101" s="8">
        <f t="shared" si="40"/>
        <v>0</v>
      </c>
      <c r="AD101" s="8">
        <f t="shared" si="41"/>
        <v>0</v>
      </c>
      <c r="AE101" s="8" t="str">
        <f t="shared" si="43"/>
        <v>--</v>
      </c>
      <c r="AF101" s="10">
        <f t="shared" si="44"/>
        <v>0</v>
      </c>
      <c r="AG101" s="8">
        <v>23</v>
      </c>
      <c r="AH101" s="9">
        <f t="shared" si="45"/>
        <v>0</v>
      </c>
      <c r="AI101" s="11">
        <f t="shared" si="46"/>
        <v>0</v>
      </c>
      <c r="AJ101" s="6"/>
      <c r="AK101" s="6"/>
      <c r="AL101" s="6"/>
      <c r="AN101" t="str">
        <f t="shared" si="28"/>
        <v>"23":{</v>
      </c>
      <c r="AO101" t="str">
        <f t="shared" si="29"/>
        <v>"group":"A",</v>
      </c>
      <c r="AP101" t="str">
        <f t="shared" si="47"/>
        <v>"lot":0,</v>
      </c>
      <c r="AQ101" t="str">
        <f t="shared" si="30"/>
        <v>"name":"0",</v>
      </c>
      <c r="AR101" t="str">
        <f t="shared" si="31"/>
        <v>"team":"0",</v>
      </c>
      <c r="AS101" t="str">
        <f t="shared" si="32"/>
        <v>"year":"0",</v>
      </c>
      <c r="AT101" t="str">
        <f t="shared" si="33"/>
        <v>"division":"--",</v>
      </c>
      <c r="AU101" t="str">
        <f t="shared" si="34"/>
        <v>"bw":"0",</v>
      </c>
      <c r="AV101" t="str">
        <f t="shared" si="35"/>
        <v>"idx":"23",</v>
      </c>
      <c r="AW101" t="str">
        <f t="shared" si="36"/>
        <v>"sr":"0",</v>
      </c>
      <c r="AX101" t="str">
        <f t="shared" si="37"/>
        <v>"br":"0",</v>
      </c>
      <c r="AY101" t="str">
        <f t="shared" si="38"/>
        <v>"row":0,</v>
      </c>
      <c r="AZ101" t="s">
        <v>67</v>
      </c>
      <c r="BA101" t="str">
        <f t="shared" si="48"/>
        <v>"sq":{"a1":0,"a2":"","a3":"","s1":0,"s2":0,"s3":0},"bp":{"a1":0,"a2":"","a3":"","s1":0,"s2":0,"s3":0},"dl":{"a1":0,"a2":"","a3":"","s1":0,"s2":0,"s3":0},"sortOrder":0,"act":{}}</v>
      </c>
      <c r="BB101" t="str">
        <f t="shared" si="49"/>
        <v>"23":{"group":"A","lot":0,"name":"0","team":"0","year":"0","division":"--","bw":"0","idx":"23","sr":"0","br":"0","row":0,"sq":{"a1":0,"a2":"","a3":"","s1":0,"s2":0,"s3":0},"bp":{"a1":0,"a2":"","a3":"","s1":0,"s2":0,"s3":0},"dl":{"a1":0,"a2":"","a3":"","s1":0,"s2":0,"s3":0},"sortOrder":0,"act":{}}</v>
      </c>
    </row>
    <row r="102" spans="5:54" x14ac:dyDescent="0.25">
      <c r="E102" s="159"/>
      <c r="F102" s="110"/>
      <c r="G102" s="110"/>
      <c r="H102" s="110"/>
      <c r="I102" s="110"/>
      <c r="J102" s="110"/>
      <c r="K102" s="110"/>
      <c r="L102" s="110"/>
      <c r="M102" s="110"/>
      <c r="N102" s="110"/>
      <c r="O102" s="110"/>
      <c r="P102" s="110"/>
      <c r="Q102" s="110"/>
      <c r="R102" s="110"/>
      <c r="S102" s="110"/>
      <c r="T102" s="111"/>
      <c r="U102" s="112"/>
      <c r="V102" s="112"/>
      <c r="W102" s="113"/>
      <c r="Z102" s="15" t="str">
        <f t="shared" si="27"/>
        <v>A</v>
      </c>
      <c r="AA102" s="8">
        <f t="shared" si="39"/>
        <v>0</v>
      </c>
      <c r="AB102" s="9">
        <f t="shared" si="42"/>
        <v>0</v>
      </c>
      <c r="AC102" s="8">
        <f t="shared" si="40"/>
        <v>0</v>
      </c>
      <c r="AD102" s="8">
        <f t="shared" si="41"/>
        <v>0</v>
      </c>
      <c r="AE102" s="8" t="str">
        <f t="shared" si="43"/>
        <v>--</v>
      </c>
      <c r="AF102" s="10">
        <f t="shared" si="44"/>
        <v>0</v>
      </c>
      <c r="AG102" s="8">
        <v>23</v>
      </c>
      <c r="AH102" s="9">
        <f t="shared" si="45"/>
        <v>0</v>
      </c>
      <c r="AI102" s="11">
        <f t="shared" si="46"/>
        <v>0</v>
      </c>
      <c r="AJ102" s="6"/>
      <c r="AK102" s="6"/>
      <c r="AL102" s="6"/>
      <c r="AN102" t="str">
        <f t="shared" si="28"/>
        <v>"23":{</v>
      </c>
      <c r="AO102" t="str">
        <f t="shared" si="29"/>
        <v>"group":"A",</v>
      </c>
      <c r="AP102" t="str">
        <f t="shared" si="47"/>
        <v>"lot":0,</v>
      </c>
      <c r="AQ102" t="str">
        <f t="shared" si="30"/>
        <v>"name":"0",</v>
      </c>
      <c r="AR102" t="str">
        <f t="shared" si="31"/>
        <v>"team":"0",</v>
      </c>
      <c r="AS102" t="str">
        <f t="shared" si="32"/>
        <v>"year":"0",</v>
      </c>
      <c r="AT102" t="str">
        <f t="shared" si="33"/>
        <v>"division":"--",</v>
      </c>
      <c r="AU102" t="str">
        <f t="shared" si="34"/>
        <v>"bw":"0",</v>
      </c>
      <c r="AV102" t="str">
        <f t="shared" si="35"/>
        <v>"idx":"23",</v>
      </c>
      <c r="AW102" t="str">
        <f t="shared" si="36"/>
        <v>"sr":"0",</v>
      </c>
      <c r="AX102" t="str">
        <f t="shared" si="37"/>
        <v>"br":"0",</v>
      </c>
      <c r="AY102" t="str">
        <f t="shared" si="38"/>
        <v>"row":0,</v>
      </c>
      <c r="AZ102" t="s">
        <v>67</v>
      </c>
      <c r="BA102" t="str">
        <f t="shared" si="48"/>
        <v>"sq":{"a1":0,"a2":"","a3":"","s1":0,"s2":0,"s3":0},"bp":{"a1":0,"a2":"","a3":"","s1":0,"s2":0,"s3":0},"dl":{"a1":0,"a2":"","a3":"","s1":0,"s2":0,"s3":0},"sortOrder":0,"act":{}}</v>
      </c>
      <c r="BB102" t="str">
        <f t="shared" si="49"/>
        <v>"23":{"group":"A","lot":0,"name":"0","team":"0","year":"0","division":"--","bw":"0","idx":"23","sr":"0","br":"0","row":0,"sq":{"a1":0,"a2":"","a3":"","s1":0,"s2":0,"s3":0},"bp":{"a1":0,"a2":"","a3":"","s1":0,"s2":0,"s3":0},"dl":{"a1":0,"a2":"","a3":"","s1":0,"s2":0,"s3":0},"sortOrder":0,"act":{}}</v>
      </c>
    </row>
    <row r="103" spans="5:54" x14ac:dyDescent="0.25">
      <c r="E103" s="160"/>
      <c r="F103" s="114"/>
      <c r="G103" s="114"/>
      <c r="H103" s="114"/>
      <c r="I103" s="114"/>
      <c r="J103" s="114"/>
      <c r="K103" s="114"/>
      <c r="L103" s="114"/>
      <c r="M103" s="114"/>
      <c r="N103" s="114"/>
      <c r="O103" s="114"/>
      <c r="P103" s="114"/>
      <c r="Q103" s="114"/>
      <c r="R103" s="114"/>
      <c r="S103" s="114"/>
      <c r="T103" s="115"/>
      <c r="U103" s="116"/>
      <c r="V103" s="116"/>
      <c r="W103" s="117"/>
      <c r="Z103" s="15" t="str">
        <f t="shared" si="27"/>
        <v>A</v>
      </c>
      <c r="AA103" s="8">
        <f t="shared" si="39"/>
        <v>0</v>
      </c>
      <c r="AB103" s="9">
        <f t="shared" si="42"/>
        <v>0</v>
      </c>
      <c r="AC103" s="8">
        <f t="shared" si="40"/>
        <v>0</v>
      </c>
      <c r="AD103" s="8">
        <f t="shared" si="41"/>
        <v>0</v>
      </c>
      <c r="AE103" s="8" t="str">
        <f t="shared" si="43"/>
        <v>--</v>
      </c>
      <c r="AF103" s="10">
        <f t="shared" si="44"/>
        <v>0</v>
      </c>
      <c r="AG103" s="8">
        <v>23</v>
      </c>
      <c r="AH103" s="9">
        <f t="shared" si="45"/>
        <v>0</v>
      </c>
      <c r="AI103" s="11">
        <f t="shared" si="46"/>
        <v>0</v>
      </c>
      <c r="AJ103" s="6"/>
      <c r="AK103" s="6"/>
      <c r="AL103" s="6"/>
      <c r="AN103" t="str">
        <f t="shared" si="28"/>
        <v>"23":{</v>
      </c>
      <c r="AO103" t="str">
        <f t="shared" si="29"/>
        <v>"group":"A",</v>
      </c>
      <c r="AP103" t="str">
        <f t="shared" si="47"/>
        <v>"lot":0,</v>
      </c>
      <c r="AQ103" t="str">
        <f t="shared" si="30"/>
        <v>"name":"0",</v>
      </c>
      <c r="AR103" t="str">
        <f t="shared" si="31"/>
        <v>"team":"0",</v>
      </c>
      <c r="AS103" t="str">
        <f t="shared" si="32"/>
        <v>"year":"0",</v>
      </c>
      <c r="AT103" t="str">
        <f t="shared" si="33"/>
        <v>"division":"--",</v>
      </c>
      <c r="AU103" t="str">
        <f t="shared" si="34"/>
        <v>"bw":"0",</v>
      </c>
      <c r="AV103" t="str">
        <f t="shared" si="35"/>
        <v>"idx":"23",</v>
      </c>
      <c r="AW103" t="str">
        <f t="shared" si="36"/>
        <v>"sr":"0",</v>
      </c>
      <c r="AX103" t="str">
        <f t="shared" si="37"/>
        <v>"br":"0",</v>
      </c>
      <c r="AY103" t="str">
        <f t="shared" si="38"/>
        <v>"row":0,</v>
      </c>
      <c r="AZ103" t="s">
        <v>67</v>
      </c>
      <c r="BA103" t="str">
        <f t="shared" si="48"/>
        <v>"sq":{"a1":0,"a2":"","a3":"","s1":0,"s2":0,"s3":0},"bp":{"a1":0,"a2":"","a3":"","s1":0,"s2":0,"s3":0},"dl":{"a1":0,"a2":"","a3":"","s1":0,"s2":0,"s3":0},"sortOrder":0,"act":{}}</v>
      </c>
      <c r="BB103" t="str">
        <f t="shared" si="49"/>
        <v>"23":{"group":"A","lot":0,"name":"0","team":"0","year":"0","division":"--","bw":"0","idx":"23","sr":"0","br":"0","row":0,"sq":{"a1":0,"a2":"","a3":"","s1":0,"s2":0,"s3":0},"bp":{"a1":0,"a2":"","a3":"","s1":0,"s2":0,"s3":0},"dl":{"a1":0,"a2":"","a3":"","s1":0,"s2":0,"s3":0},"sortOrder":0,"act":{}}</v>
      </c>
    </row>
    <row r="104" spans="5:54" x14ac:dyDescent="0.25">
      <c r="E104" s="160"/>
      <c r="F104" s="114"/>
      <c r="G104" s="114"/>
      <c r="H104" s="114"/>
      <c r="I104" s="114"/>
      <c r="J104" s="114"/>
      <c r="K104" s="114"/>
      <c r="L104" s="114"/>
      <c r="M104" s="114"/>
      <c r="N104" s="114"/>
      <c r="O104" s="114"/>
      <c r="P104" s="114"/>
      <c r="Q104" s="114"/>
      <c r="R104" s="114"/>
      <c r="S104" s="114"/>
      <c r="T104" s="115"/>
      <c r="U104" s="116"/>
      <c r="V104" s="116"/>
      <c r="W104" s="117"/>
      <c r="Z104" s="15" t="str">
        <f t="shared" si="27"/>
        <v>A</v>
      </c>
      <c r="AA104" s="8">
        <f t="shared" si="39"/>
        <v>0</v>
      </c>
      <c r="AB104" s="9">
        <f t="shared" si="42"/>
        <v>0</v>
      </c>
      <c r="AC104" s="8">
        <f t="shared" si="40"/>
        <v>0</v>
      </c>
      <c r="AD104" s="8">
        <f t="shared" si="41"/>
        <v>0</v>
      </c>
      <c r="AE104" s="8" t="str">
        <f t="shared" si="43"/>
        <v>--</v>
      </c>
      <c r="AF104" s="10">
        <f t="shared" si="44"/>
        <v>0</v>
      </c>
      <c r="AG104" s="8">
        <v>23</v>
      </c>
      <c r="AH104" s="9">
        <f t="shared" si="45"/>
        <v>0</v>
      </c>
      <c r="AI104" s="11">
        <f t="shared" si="46"/>
        <v>0</v>
      </c>
      <c r="AJ104" s="6"/>
      <c r="AK104" s="6"/>
      <c r="AL104" s="6"/>
      <c r="AN104" t="str">
        <f t="shared" si="28"/>
        <v>"23":{</v>
      </c>
      <c r="AO104" t="str">
        <f t="shared" si="29"/>
        <v>"group":"A",</v>
      </c>
      <c r="AP104" t="str">
        <f t="shared" si="47"/>
        <v>"lot":0,</v>
      </c>
      <c r="AQ104" t="str">
        <f t="shared" si="30"/>
        <v>"name":"0",</v>
      </c>
      <c r="AR104" t="str">
        <f t="shared" si="31"/>
        <v>"team":"0",</v>
      </c>
      <c r="AS104" t="str">
        <f t="shared" si="32"/>
        <v>"year":"0",</v>
      </c>
      <c r="AT104" t="str">
        <f t="shared" si="33"/>
        <v>"division":"--",</v>
      </c>
      <c r="AU104" t="str">
        <f t="shared" si="34"/>
        <v>"bw":"0",</v>
      </c>
      <c r="AV104" t="str">
        <f t="shared" si="35"/>
        <v>"idx":"23",</v>
      </c>
      <c r="AW104" t="str">
        <f t="shared" si="36"/>
        <v>"sr":"0",</v>
      </c>
      <c r="AX104" t="str">
        <f t="shared" si="37"/>
        <v>"br":"0",</v>
      </c>
      <c r="AY104" t="str">
        <f t="shared" si="38"/>
        <v>"row":0,</v>
      </c>
      <c r="AZ104" t="s">
        <v>67</v>
      </c>
      <c r="BA104" t="str">
        <f t="shared" si="48"/>
        <v>"sq":{"a1":0,"a2":"","a3":"","s1":0,"s2":0,"s3":0},"bp":{"a1":0,"a2":"","a3":"","s1":0,"s2":0,"s3":0},"dl":{"a1":0,"a2":"","a3":"","s1":0,"s2":0,"s3":0},"sortOrder":0,"act":{}}</v>
      </c>
      <c r="BB104" t="str">
        <f t="shared" si="49"/>
        <v>"23":{"group":"A","lot":0,"name":"0","team":"0","year":"0","division":"--","bw":"0","idx":"23","sr":"0","br":"0","row":0,"sq":{"a1":0,"a2":"","a3":"","s1":0,"s2":0,"s3":0},"bp":{"a1":0,"a2":"","a3":"","s1":0,"s2":0,"s3":0},"dl":{"a1":0,"a2":"","a3":"","s1":0,"s2":0,"s3":0},"sortOrder":0,"act":{}}</v>
      </c>
    </row>
    <row r="105" spans="5:54" x14ac:dyDescent="0.25">
      <c r="E105" s="160"/>
      <c r="F105" s="114"/>
      <c r="G105" s="114"/>
      <c r="H105" s="114"/>
      <c r="I105" s="114"/>
      <c r="J105" s="114"/>
      <c r="K105" s="114"/>
      <c r="L105" s="114"/>
      <c r="M105" s="114"/>
      <c r="N105" s="114"/>
      <c r="O105" s="114"/>
      <c r="P105" s="114"/>
      <c r="Q105" s="114"/>
      <c r="R105" s="114"/>
      <c r="S105" s="114"/>
      <c r="T105" s="115"/>
      <c r="U105" s="116"/>
      <c r="V105" s="116"/>
      <c r="W105" s="117"/>
      <c r="Z105" s="15" t="str">
        <f t="shared" si="27"/>
        <v>A</v>
      </c>
      <c r="AA105" s="8">
        <f t="shared" si="39"/>
        <v>0</v>
      </c>
      <c r="AB105" s="9">
        <f t="shared" si="42"/>
        <v>0</v>
      </c>
      <c r="AC105" s="8">
        <f t="shared" si="40"/>
        <v>0</v>
      </c>
      <c r="AD105" s="8">
        <f t="shared" si="41"/>
        <v>0</v>
      </c>
      <c r="AE105" s="8" t="str">
        <f t="shared" si="43"/>
        <v>--</v>
      </c>
      <c r="AF105" s="10">
        <f t="shared" si="44"/>
        <v>0</v>
      </c>
      <c r="AG105" s="8">
        <v>23</v>
      </c>
      <c r="AH105" s="9">
        <f t="shared" si="45"/>
        <v>0</v>
      </c>
      <c r="AI105" s="11">
        <f t="shared" si="46"/>
        <v>0</v>
      </c>
      <c r="AJ105" s="6"/>
      <c r="AK105" s="6"/>
      <c r="AL105" s="6"/>
      <c r="AN105" t="str">
        <f t="shared" si="28"/>
        <v>"23":{</v>
      </c>
      <c r="AO105" t="str">
        <f t="shared" si="29"/>
        <v>"group":"A",</v>
      </c>
      <c r="AP105" t="str">
        <f t="shared" si="47"/>
        <v>"lot":0,</v>
      </c>
      <c r="AQ105" t="str">
        <f t="shared" si="30"/>
        <v>"name":"0",</v>
      </c>
      <c r="AR105" t="str">
        <f t="shared" si="31"/>
        <v>"team":"0",</v>
      </c>
      <c r="AS105" t="str">
        <f t="shared" si="32"/>
        <v>"year":"0",</v>
      </c>
      <c r="AT105" t="str">
        <f t="shared" si="33"/>
        <v>"division":"--",</v>
      </c>
      <c r="AU105" t="str">
        <f t="shared" si="34"/>
        <v>"bw":"0",</v>
      </c>
      <c r="AV105" t="str">
        <f t="shared" si="35"/>
        <v>"idx":"23",</v>
      </c>
      <c r="AW105" t="str">
        <f t="shared" si="36"/>
        <v>"sr":"0",</v>
      </c>
      <c r="AX105" t="str">
        <f t="shared" si="37"/>
        <v>"br":"0",</v>
      </c>
      <c r="AY105" t="str">
        <f t="shared" si="38"/>
        <v>"row":0,</v>
      </c>
      <c r="AZ105" t="s">
        <v>67</v>
      </c>
      <c r="BA105" t="str">
        <f t="shared" si="48"/>
        <v>"sq":{"a1":0,"a2":"","a3":"","s1":0,"s2":0,"s3":0},"bp":{"a1":0,"a2":"","a3":"","s1":0,"s2":0,"s3":0},"dl":{"a1":0,"a2":"","a3":"","s1":0,"s2":0,"s3":0},"sortOrder":0,"act":{}}</v>
      </c>
      <c r="BB105" t="str">
        <f t="shared" si="49"/>
        <v>"23":{"group":"A","lot":0,"name":"0","team":"0","year":"0","division":"--","bw":"0","idx":"23","sr":"0","br":"0","row":0,"sq":{"a1":0,"a2":"","a3":"","s1":0,"s2":0,"s3":0},"bp":{"a1":0,"a2":"","a3":"","s1":0,"s2":0,"s3":0},"dl":{"a1":0,"a2":"","a3":"","s1":0,"s2":0,"s3":0},"sortOrder":0,"act":{}}</v>
      </c>
    </row>
    <row r="106" spans="5:54" x14ac:dyDescent="0.25">
      <c r="E106" s="160"/>
      <c r="F106" s="114"/>
      <c r="G106" s="114"/>
      <c r="H106" s="114"/>
      <c r="I106" s="114"/>
      <c r="J106" s="114"/>
      <c r="K106" s="114"/>
      <c r="L106" s="114"/>
      <c r="M106" s="114"/>
      <c r="N106" s="114"/>
      <c r="O106" s="114"/>
      <c r="P106" s="114"/>
      <c r="Q106" s="114"/>
      <c r="R106" s="114"/>
      <c r="S106" s="114"/>
      <c r="T106" s="115"/>
      <c r="U106" s="116"/>
      <c r="V106" s="116"/>
      <c r="W106" s="117"/>
      <c r="Z106" s="15" t="str">
        <f t="shared" si="27"/>
        <v>A</v>
      </c>
      <c r="AA106" s="8">
        <f t="shared" si="39"/>
        <v>0</v>
      </c>
      <c r="AB106" s="9">
        <f t="shared" si="42"/>
        <v>0</v>
      </c>
      <c r="AC106" s="8">
        <f t="shared" si="40"/>
        <v>0</v>
      </c>
      <c r="AD106" s="8">
        <f t="shared" si="41"/>
        <v>0</v>
      </c>
      <c r="AE106" s="8" t="str">
        <f t="shared" si="43"/>
        <v>--</v>
      </c>
      <c r="AF106" s="10">
        <f t="shared" si="44"/>
        <v>0</v>
      </c>
      <c r="AG106" s="8">
        <v>23</v>
      </c>
      <c r="AH106" s="9">
        <f t="shared" si="45"/>
        <v>0</v>
      </c>
      <c r="AI106" s="11">
        <f t="shared" si="46"/>
        <v>0</v>
      </c>
      <c r="AJ106" s="6"/>
      <c r="AK106" s="6"/>
      <c r="AL106" s="6"/>
      <c r="AN106" t="str">
        <f t="shared" si="28"/>
        <v>"23":{</v>
      </c>
      <c r="AO106" t="str">
        <f t="shared" si="29"/>
        <v>"group":"A",</v>
      </c>
      <c r="AP106" t="str">
        <f t="shared" si="47"/>
        <v>"lot":0,</v>
      </c>
      <c r="AQ106" t="str">
        <f t="shared" si="30"/>
        <v>"name":"0",</v>
      </c>
      <c r="AR106" t="str">
        <f t="shared" si="31"/>
        <v>"team":"0",</v>
      </c>
      <c r="AS106" t="str">
        <f t="shared" si="32"/>
        <v>"year":"0",</v>
      </c>
      <c r="AT106" t="str">
        <f t="shared" si="33"/>
        <v>"division":"--",</v>
      </c>
      <c r="AU106" t="str">
        <f t="shared" si="34"/>
        <v>"bw":"0",</v>
      </c>
      <c r="AV106" t="str">
        <f t="shared" si="35"/>
        <v>"idx":"23",</v>
      </c>
      <c r="AW106" t="str">
        <f t="shared" si="36"/>
        <v>"sr":"0",</v>
      </c>
      <c r="AX106" t="str">
        <f t="shared" si="37"/>
        <v>"br":"0",</v>
      </c>
      <c r="AY106" t="str">
        <f t="shared" si="38"/>
        <v>"row":0,</v>
      </c>
      <c r="AZ106" t="s">
        <v>67</v>
      </c>
      <c r="BA106" t="str">
        <f t="shared" si="48"/>
        <v>"sq":{"a1":0,"a2":"","a3":"","s1":0,"s2":0,"s3":0},"bp":{"a1":0,"a2":"","a3":"","s1":0,"s2":0,"s3":0},"dl":{"a1":0,"a2":"","a3":"","s1":0,"s2":0,"s3":0},"sortOrder":0,"act":{}}</v>
      </c>
      <c r="BB106" t="str">
        <f t="shared" si="49"/>
        <v>"23":{"group":"A","lot":0,"name":"0","team":"0","year":"0","division":"--","bw":"0","idx":"23","sr":"0","br":"0","row":0,"sq":{"a1":0,"a2":"","a3":"","s1":0,"s2":0,"s3":0},"bp":{"a1":0,"a2":"","a3":"","s1":0,"s2":0,"s3":0},"dl":{"a1":0,"a2":"","a3":"","s1":0,"s2":0,"s3":0},"sortOrder":0,"act":{}}</v>
      </c>
    </row>
    <row r="107" spans="5:54" x14ac:dyDescent="0.25">
      <c r="E107" s="160"/>
      <c r="F107" s="114"/>
      <c r="G107" s="114"/>
      <c r="H107" s="114"/>
      <c r="I107" s="114"/>
      <c r="J107" s="114"/>
      <c r="K107" s="114"/>
      <c r="L107" s="114"/>
      <c r="M107" s="114"/>
      <c r="N107" s="114"/>
      <c r="O107" s="114"/>
      <c r="P107" s="114"/>
      <c r="Q107" s="114"/>
      <c r="R107" s="114"/>
      <c r="S107" s="114"/>
      <c r="T107" s="115"/>
      <c r="U107" s="116"/>
      <c r="V107" s="116"/>
      <c r="W107" s="117"/>
      <c r="Z107" s="15" t="str">
        <f t="shared" si="27"/>
        <v>A</v>
      </c>
      <c r="AA107" s="8">
        <f t="shared" si="39"/>
        <v>0</v>
      </c>
      <c r="AB107" s="9">
        <f t="shared" si="42"/>
        <v>0</v>
      </c>
      <c r="AC107" s="8">
        <f t="shared" si="40"/>
        <v>0</v>
      </c>
      <c r="AD107" s="8">
        <f t="shared" si="41"/>
        <v>0</v>
      </c>
      <c r="AE107" s="8" t="str">
        <f t="shared" si="43"/>
        <v>--</v>
      </c>
      <c r="AF107" s="10">
        <f t="shared" si="44"/>
        <v>0</v>
      </c>
      <c r="AG107" s="8">
        <v>23</v>
      </c>
      <c r="AH107" s="9">
        <f t="shared" si="45"/>
        <v>0</v>
      </c>
      <c r="AI107" s="11">
        <f t="shared" si="46"/>
        <v>0</v>
      </c>
      <c r="AJ107" s="6"/>
      <c r="AK107" s="6"/>
      <c r="AL107" s="6"/>
      <c r="AN107" t="str">
        <f t="shared" si="28"/>
        <v>"23":{</v>
      </c>
      <c r="AO107" t="str">
        <f t="shared" si="29"/>
        <v>"group":"A",</v>
      </c>
      <c r="AP107" t="str">
        <f t="shared" si="47"/>
        <v>"lot":0,</v>
      </c>
      <c r="AQ107" t="str">
        <f t="shared" si="30"/>
        <v>"name":"0",</v>
      </c>
      <c r="AR107" t="str">
        <f t="shared" si="31"/>
        <v>"team":"0",</v>
      </c>
      <c r="AS107" t="str">
        <f t="shared" si="32"/>
        <v>"year":"0",</v>
      </c>
      <c r="AT107" t="str">
        <f t="shared" si="33"/>
        <v>"division":"--",</v>
      </c>
      <c r="AU107" t="str">
        <f t="shared" si="34"/>
        <v>"bw":"0",</v>
      </c>
      <c r="AV107" t="str">
        <f t="shared" si="35"/>
        <v>"idx":"23",</v>
      </c>
      <c r="AW107" t="str">
        <f t="shared" si="36"/>
        <v>"sr":"0",</v>
      </c>
      <c r="AX107" t="str">
        <f t="shared" si="37"/>
        <v>"br":"0",</v>
      </c>
      <c r="AY107" t="str">
        <f t="shared" si="38"/>
        <v>"row":0,</v>
      </c>
      <c r="AZ107" t="s">
        <v>67</v>
      </c>
      <c r="BA107" t="str">
        <f t="shared" si="48"/>
        <v>"sq":{"a1":0,"a2":"","a3":"","s1":0,"s2":0,"s3":0},"bp":{"a1":0,"a2":"","a3":"","s1":0,"s2":0,"s3":0},"dl":{"a1":0,"a2":"","a3":"","s1":0,"s2":0,"s3":0},"sortOrder":0,"act":{}}</v>
      </c>
      <c r="BB107" t="str">
        <f t="shared" si="49"/>
        <v>"23":{"group":"A","lot":0,"name":"0","team":"0","year":"0","division":"--","bw":"0","idx":"23","sr":"0","br":"0","row":0,"sq":{"a1":0,"a2":"","a3":"","s1":0,"s2":0,"s3":0},"bp":{"a1":0,"a2":"","a3":"","s1":0,"s2":0,"s3":0},"dl":{"a1":0,"a2":"","a3":"","s1":0,"s2":0,"s3":0},"sortOrder":0,"act":{}}</v>
      </c>
    </row>
    <row r="108" spans="5:54" x14ac:dyDescent="0.25">
      <c r="E108" s="160"/>
      <c r="F108" s="114"/>
      <c r="G108" s="114"/>
      <c r="H108" s="114"/>
      <c r="I108" s="114"/>
      <c r="J108" s="114"/>
      <c r="K108" s="114"/>
      <c r="L108" s="114"/>
      <c r="M108" s="114"/>
      <c r="N108" s="114"/>
      <c r="O108" s="114"/>
      <c r="P108" s="114"/>
      <c r="Q108" s="114"/>
      <c r="R108" s="114"/>
      <c r="S108" s="114"/>
      <c r="T108" s="115"/>
      <c r="U108" s="116"/>
      <c r="V108" s="116"/>
      <c r="W108" s="117"/>
      <c r="Z108" s="15" t="str">
        <f t="shared" si="27"/>
        <v>A</v>
      </c>
      <c r="AA108" s="8">
        <f t="shared" si="39"/>
        <v>0</v>
      </c>
      <c r="AB108" s="9">
        <f t="shared" si="42"/>
        <v>0</v>
      </c>
      <c r="AC108" s="8">
        <f t="shared" si="40"/>
        <v>0</v>
      </c>
      <c r="AD108" s="8">
        <f t="shared" si="41"/>
        <v>0</v>
      </c>
      <c r="AE108" s="8" t="str">
        <f t="shared" si="43"/>
        <v>--</v>
      </c>
      <c r="AF108" s="10">
        <f t="shared" si="44"/>
        <v>0</v>
      </c>
      <c r="AG108" s="8">
        <v>23</v>
      </c>
      <c r="AH108" s="9">
        <f t="shared" si="45"/>
        <v>0</v>
      </c>
      <c r="AI108" s="11">
        <f t="shared" si="46"/>
        <v>0</v>
      </c>
      <c r="AJ108" s="6"/>
      <c r="AK108" s="6"/>
      <c r="AL108" s="6"/>
      <c r="AN108" t="str">
        <f t="shared" si="28"/>
        <v>"23":{</v>
      </c>
      <c r="AO108" t="str">
        <f t="shared" si="29"/>
        <v>"group":"A",</v>
      </c>
      <c r="AP108" t="str">
        <f t="shared" si="47"/>
        <v>"lot":0,</v>
      </c>
      <c r="AQ108" t="str">
        <f t="shared" si="30"/>
        <v>"name":"0",</v>
      </c>
      <c r="AR108" t="str">
        <f t="shared" si="31"/>
        <v>"team":"0",</v>
      </c>
      <c r="AS108" t="str">
        <f t="shared" si="32"/>
        <v>"year":"0",</v>
      </c>
      <c r="AT108" t="str">
        <f t="shared" si="33"/>
        <v>"division":"--",</v>
      </c>
      <c r="AU108" t="str">
        <f t="shared" si="34"/>
        <v>"bw":"0",</v>
      </c>
      <c r="AV108" t="str">
        <f t="shared" si="35"/>
        <v>"idx":"23",</v>
      </c>
      <c r="AW108" t="str">
        <f t="shared" si="36"/>
        <v>"sr":"0",</v>
      </c>
      <c r="AX108" t="str">
        <f t="shared" si="37"/>
        <v>"br":"0",</v>
      </c>
      <c r="AY108" t="str">
        <f t="shared" si="38"/>
        <v>"row":0,</v>
      </c>
      <c r="AZ108" t="s">
        <v>67</v>
      </c>
      <c r="BA108" t="str">
        <f t="shared" si="48"/>
        <v>"sq":{"a1":0,"a2":"","a3":"","s1":0,"s2":0,"s3":0},"bp":{"a1":0,"a2":"","a3":"","s1":0,"s2":0,"s3":0},"dl":{"a1":0,"a2":"","a3":"","s1":0,"s2":0,"s3":0},"sortOrder":0,"act":{}}</v>
      </c>
      <c r="BB108" t="str">
        <f t="shared" si="49"/>
        <v>"23":{"group":"A","lot":0,"name":"0","team":"0","year":"0","division":"--","bw":"0","idx":"23","sr":"0","br":"0","row":0,"sq":{"a1":0,"a2":"","a3":"","s1":0,"s2":0,"s3":0},"bp":{"a1":0,"a2":"","a3":"","s1":0,"s2":0,"s3":0},"dl":{"a1":0,"a2":"","a3":"","s1":0,"s2":0,"s3":0},"sortOrder":0,"act":{}}</v>
      </c>
    </row>
    <row r="109" spans="5:54" x14ac:dyDescent="0.25">
      <c r="E109" s="160"/>
      <c r="F109" s="114"/>
      <c r="G109" s="114"/>
      <c r="H109" s="114"/>
      <c r="I109" s="114"/>
      <c r="J109" s="114"/>
      <c r="K109" s="114"/>
      <c r="L109" s="114"/>
      <c r="M109" s="114"/>
      <c r="N109" s="114"/>
      <c r="O109" s="114"/>
      <c r="P109" s="114"/>
      <c r="Q109" s="114"/>
      <c r="R109" s="114"/>
      <c r="S109" s="114"/>
      <c r="T109" s="115"/>
      <c r="U109" s="116"/>
      <c r="V109" s="116"/>
      <c r="W109" s="117"/>
      <c r="Z109" s="15" t="str">
        <f t="shared" si="27"/>
        <v>A</v>
      </c>
      <c r="AA109" s="8">
        <f t="shared" si="39"/>
        <v>0</v>
      </c>
      <c r="AB109" s="9">
        <f t="shared" si="42"/>
        <v>0</v>
      </c>
      <c r="AC109" s="8">
        <f t="shared" si="40"/>
        <v>0</v>
      </c>
      <c r="AD109" s="8">
        <f t="shared" si="41"/>
        <v>0</v>
      </c>
      <c r="AE109" s="8" t="str">
        <f t="shared" si="43"/>
        <v>--</v>
      </c>
      <c r="AF109" s="10">
        <f t="shared" si="44"/>
        <v>0</v>
      </c>
      <c r="AG109" s="8">
        <v>23</v>
      </c>
      <c r="AH109" s="9">
        <f t="shared" si="45"/>
        <v>0</v>
      </c>
      <c r="AI109" s="11">
        <f t="shared" si="46"/>
        <v>0</v>
      </c>
      <c r="AJ109" s="6"/>
      <c r="AK109" s="6"/>
      <c r="AL109" s="6"/>
      <c r="AN109" t="str">
        <f t="shared" si="28"/>
        <v>"23":{</v>
      </c>
      <c r="AO109" t="str">
        <f t="shared" si="29"/>
        <v>"group":"A",</v>
      </c>
      <c r="AP109" t="str">
        <f t="shared" si="47"/>
        <v>"lot":0,</v>
      </c>
      <c r="AQ109" t="str">
        <f t="shared" si="30"/>
        <v>"name":"0",</v>
      </c>
      <c r="AR109" t="str">
        <f t="shared" si="31"/>
        <v>"team":"0",</v>
      </c>
      <c r="AS109" t="str">
        <f t="shared" si="32"/>
        <v>"year":"0",</v>
      </c>
      <c r="AT109" t="str">
        <f t="shared" si="33"/>
        <v>"division":"--",</v>
      </c>
      <c r="AU109" t="str">
        <f t="shared" si="34"/>
        <v>"bw":"0",</v>
      </c>
      <c r="AV109" t="str">
        <f t="shared" si="35"/>
        <v>"idx":"23",</v>
      </c>
      <c r="AW109" t="str">
        <f t="shared" si="36"/>
        <v>"sr":"0",</v>
      </c>
      <c r="AX109" t="str">
        <f t="shared" si="37"/>
        <v>"br":"0",</v>
      </c>
      <c r="AY109" t="str">
        <f t="shared" si="38"/>
        <v>"row":0,</v>
      </c>
      <c r="AZ109" t="s">
        <v>67</v>
      </c>
      <c r="BA109" t="str">
        <f t="shared" si="48"/>
        <v>"sq":{"a1":0,"a2":"","a3":"","s1":0,"s2":0,"s3":0},"bp":{"a1":0,"a2":"","a3":"","s1":0,"s2":0,"s3":0},"dl":{"a1":0,"a2":"","a3":"","s1":0,"s2":0,"s3":0},"sortOrder":0,"act":{}}</v>
      </c>
      <c r="BB109" t="str">
        <f t="shared" si="49"/>
        <v>"23":{"group":"A","lot":0,"name":"0","team":"0","year":"0","division":"--","bw":"0","idx":"23","sr":"0","br":"0","row":0,"sq":{"a1":0,"a2":"","a3":"","s1":0,"s2":0,"s3":0},"bp":{"a1":0,"a2":"","a3":"","s1":0,"s2":0,"s3":0},"dl":{"a1":0,"a2":"","a3":"","s1":0,"s2":0,"s3":0},"sortOrder":0,"act":{}}</v>
      </c>
    </row>
    <row r="110" spans="5:54" x14ac:dyDescent="0.25">
      <c r="E110" s="160"/>
      <c r="F110" s="114"/>
      <c r="G110" s="114"/>
      <c r="H110" s="114"/>
      <c r="I110" s="114"/>
      <c r="J110" s="114"/>
      <c r="K110" s="114"/>
      <c r="L110" s="114"/>
      <c r="M110" s="114"/>
      <c r="N110" s="114"/>
      <c r="O110" s="114"/>
      <c r="P110" s="114"/>
      <c r="Q110" s="114"/>
      <c r="R110" s="114"/>
      <c r="S110" s="114"/>
      <c r="T110" s="115"/>
      <c r="U110" s="116"/>
      <c r="V110" s="116"/>
      <c r="W110" s="117"/>
      <c r="Z110" s="15" t="str">
        <f t="shared" si="27"/>
        <v>A</v>
      </c>
      <c r="AA110" s="8">
        <f t="shared" si="39"/>
        <v>0</v>
      </c>
      <c r="AB110" s="9">
        <f t="shared" si="42"/>
        <v>0</v>
      </c>
      <c r="AC110" s="8">
        <f t="shared" si="40"/>
        <v>0</v>
      </c>
      <c r="AD110" s="8">
        <f t="shared" si="41"/>
        <v>0</v>
      </c>
      <c r="AE110" s="8" t="str">
        <f t="shared" si="43"/>
        <v>--</v>
      </c>
      <c r="AF110" s="10">
        <f t="shared" si="44"/>
        <v>0</v>
      </c>
      <c r="AG110" s="8">
        <v>23</v>
      </c>
      <c r="AH110" s="9">
        <f t="shared" si="45"/>
        <v>0</v>
      </c>
      <c r="AI110" s="11">
        <f t="shared" si="46"/>
        <v>0</v>
      </c>
      <c r="AJ110" s="6"/>
      <c r="AK110" s="6"/>
      <c r="AL110" s="6"/>
      <c r="AN110" t="str">
        <f t="shared" si="28"/>
        <v>"23":{</v>
      </c>
      <c r="AO110" t="str">
        <f t="shared" si="29"/>
        <v>"group":"A",</v>
      </c>
      <c r="AP110" t="str">
        <f t="shared" si="47"/>
        <v>"lot":0,</v>
      </c>
      <c r="AQ110" t="str">
        <f t="shared" si="30"/>
        <v>"name":"0",</v>
      </c>
      <c r="AR110" t="str">
        <f t="shared" si="31"/>
        <v>"team":"0",</v>
      </c>
      <c r="AS110" t="str">
        <f t="shared" si="32"/>
        <v>"year":"0",</v>
      </c>
      <c r="AT110" t="str">
        <f t="shared" si="33"/>
        <v>"division":"--",</v>
      </c>
      <c r="AU110" t="str">
        <f t="shared" si="34"/>
        <v>"bw":"0",</v>
      </c>
      <c r="AV110" t="str">
        <f t="shared" si="35"/>
        <v>"idx":"23",</v>
      </c>
      <c r="AW110" t="str">
        <f t="shared" si="36"/>
        <v>"sr":"0",</v>
      </c>
      <c r="AX110" t="str">
        <f t="shared" si="37"/>
        <v>"br":"0",</v>
      </c>
      <c r="AY110" t="str">
        <f t="shared" si="38"/>
        <v>"row":0,</v>
      </c>
      <c r="AZ110" t="s">
        <v>67</v>
      </c>
      <c r="BA110" t="str">
        <f t="shared" si="48"/>
        <v>"sq":{"a1":0,"a2":"","a3":"","s1":0,"s2":0,"s3":0},"bp":{"a1":0,"a2":"","a3":"","s1":0,"s2":0,"s3":0},"dl":{"a1":0,"a2":"","a3":"","s1":0,"s2":0,"s3":0},"sortOrder":0,"act":{}}</v>
      </c>
      <c r="BB110" t="str">
        <f t="shared" si="49"/>
        <v>"23":{"group":"A","lot":0,"name":"0","team":"0","year":"0","division":"--","bw":"0","idx":"23","sr":"0","br":"0","row":0,"sq":{"a1":0,"a2":"","a3":"","s1":0,"s2":0,"s3":0},"bp":{"a1":0,"a2":"","a3":"","s1":0,"s2":0,"s3":0},"dl":{"a1":0,"a2":"","a3":"","s1":0,"s2":0,"s3":0},"sortOrder":0,"act":{}}</v>
      </c>
    </row>
    <row r="111" spans="5:54" x14ac:dyDescent="0.25">
      <c r="E111" s="160"/>
      <c r="F111" s="114"/>
      <c r="G111" s="114"/>
      <c r="H111" s="114"/>
      <c r="I111" s="114"/>
      <c r="J111" s="114"/>
      <c r="K111" s="114"/>
      <c r="L111" s="114"/>
      <c r="M111" s="114"/>
      <c r="N111" s="114"/>
      <c r="O111" s="114"/>
      <c r="P111" s="114"/>
      <c r="Q111" s="114"/>
      <c r="R111" s="114"/>
      <c r="S111" s="114"/>
      <c r="T111" s="115"/>
      <c r="U111" s="116"/>
      <c r="V111" s="116"/>
      <c r="W111" s="117"/>
      <c r="Z111" s="15" t="str">
        <f t="shared" si="27"/>
        <v>A</v>
      </c>
      <c r="AA111" s="8">
        <f t="shared" si="39"/>
        <v>0</v>
      </c>
      <c r="AB111" s="9">
        <f t="shared" si="42"/>
        <v>0</v>
      </c>
      <c r="AC111" s="8">
        <f t="shared" si="40"/>
        <v>0</v>
      </c>
      <c r="AD111" s="8">
        <f t="shared" si="41"/>
        <v>0</v>
      </c>
      <c r="AE111" s="8" t="str">
        <f t="shared" si="43"/>
        <v>--</v>
      </c>
      <c r="AF111" s="10">
        <f t="shared" si="44"/>
        <v>0</v>
      </c>
      <c r="AG111" s="8">
        <v>23</v>
      </c>
      <c r="AH111" s="9">
        <f t="shared" si="45"/>
        <v>0</v>
      </c>
      <c r="AI111" s="11">
        <f t="shared" si="46"/>
        <v>0</v>
      </c>
      <c r="AJ111" s="6"/>
      <c r="AK111" s="6"/>
      <c r="AL111" s="6"/>
      <c r="AN111" t="str">
        <f t="shared" si="28"/>
        <v>"23":{</v>
      </c>
      <c r="AO111" t="str">
        <f t="shared" si="29"/>
        <v>"group":"A",</v>
      </c>
      <c r="AP111" t="str">
        <f t="shared" si="47"/>
        <v>"lot":0,</v>
      </c>
      <c r="AQ111" t="str">
        <f t="shared" si="30"/>
        <v>"name":"0",</v>
      </c>
      <c r="AR111" t="str">
        <f t="shared" si="31"/>
        <v>"team":"0",</v>
      </c>
      <c r="AS111" t="str">
        <f t="shared" si="32"/>
        <v>"year":"0",</v>
      </c>
      <c r="AT111" t="str">
        <f t="shared" si="33"/>
        <v>"division":"--",</v>
      </c>
      <c r="AU111" t="str">
        <f t="shared" si="34"/>
        <v>"bw":"0",</v>
      </c>
      <c r="AV111" t="str">
        <f t="shared" si="35"/>
        <v>"idx":"23",</v>
      </c>
      <c r="AW111" t="str">
        <f t="shared" si="36"/>
        <v>"sr":"0",</v>
      </c>
      <c r="AX111" t="str">
        <f t="shared" si="37"/>
        <v>"br":"0",</v>
      </c>
      <c r="AY111" t="str">
        <f t="shared" si="38"/>
        <v>"row":0,</v>
      </c>
      <c r="AZ111" t="s">
        <v>67</v>
      </c>
      <c r="BA111" t="str">
        <f t="shared" si="48"/>
        <v>"sq":{"a1":0,"a2":"","a3":"","s1":0,"s2":0,"s3":0},"bp":{"a1":0,"a2":"","a3":"","s1":0,"s2":0,"s3":0},"dl":{"a1":0,"a2":"","a3":"","s1":0,"s2":0,"s3":0},"sortOrder":0,"act":{}}</v>
      </c>
      <c r="BB111" t="str">
        <f t="shared" si="49"/>
        <v>"23":{"group":"A","lot":0,"name":"0","team":"0","year":"0","division":"--","bw":"0","idx":"23","sr":"0","br":"0","row":0,"sq":{"a1":0,"a2":"","a3":"","s1":0,"s2":0,"s3":0},"bp":{"a1":0,"a2":"","a3":"","s1":0,"s2":0,"s3":0},"dl":{"a1":0,"a2":"","a3":"","s1":0,"s2":0,"s3":0},"sortOrder":0,"act":{}}</v>
      </c>
    </row>
    <row r="112" spans="5:54" x14ac:dyDescent="0.25">
      <c r="E112" s="160"/>
      <c r="F112" s="114"/>
      <c r="G112" s="114"/>
      <c r="H112" s="114"/>
      <c r="I112" s="114"/>
      <c r="J112" s="114"/>
      <c r="K112" s="114"/>
      <c r="L112" s="114"/>
      <c r="M112" s="114"/>
      <c r="N112" s="114"/>
      <c r="O112" s="114"/>
      <c r="P112" s="114"/>
      <c r="Q112" s="114"/>
      <c r="R112" s="114"/>
      <c r="S112" s="114"/>
      <c r="T112" s="115"/>
      <c r="U112" s="116"/>
      <c r="V112" s="116"/>
      <c r="W112" s="117"/>
      <c r="Z112" s="15" t="str">
        <f t="shared" si="27"/>
        <v>A</v>
      </c>
      <c r="AA112" s="8">
        <f t="shared" si="39"/>
        <v>0</v>
      </c>
      <c r="AB112" s="9">
        <f t="shared" si="42"/>
        <v>0</v>
      </c>
      <c r="AC112" s="8">
        <f t="shared" si="40"/>
        <v>0</v>
      </c>
      <c r="AD112" s="8">
        <f t="shared" si="41"/>
        <v>0</v>
      </c>
      <c r="AE112" s="8" t="str">
        <f t="shared" si="43"/>
        <v>--</v>
      </c>
      <c r="AF112" s="10">
        <f t="shared" si="44"/>
        <v>0</v>
      </c>
      <c r="AG112" s="8">
        <v>23</v>
      </c>
      <c r="AH112" s="9">
        <f t="shared" si="45"/>
        <v>0</v>
      </c>
      <c r="AI112" s="11">
        <f t="shared" si="46"/>
        <v>0</v>
      </c>
      <c r="AJ112" s="6"/>
      <c r="AK112" s="6"/>
      <c r="AL112" s="6"/>
      <c r="AN112" t="str">
        <f t="shared" si="28"/>
        <v>"23":{</v>
      </c>
      <c r="AO112" t="str">
        <f t="shared" si="29"/>
        <v>"group":"A",</v>
      </c>
      <c r="AP112" t="str">
        <f t="shared" si="47"/>
        <v>"lot":0,</v>
      </c>
      <c r="AQ112" t="str">
        <f t="shared" si="30"/>
        <v>"name":"0",</v>
      </c>
      <c r="AR112" t="str">
        <f t="shared" si="31"/>
        <v>"team":"0",</v>
      </c>
      <c r="AS112" t="str">
        <f t="shared" si="32"/>
        <v>"year":"0",</v>
      </c>
      <c r="AT112" t="str">
        <f t="shared" si="33"/>
        <v>"division":"--",</v>
      </c>
      <c r="AU112" t="str">
        <f t="shared" si="34"/>
        <v>"bw":"0",</v>
      </c>
      <c r="AV112" t="str">
        <f t="shared" si="35"/>
        <v>"idx":"23",</v>
      </c>
      <c r="AW112" t="str">
        <f t="shared" si="36"/>
        <v>"sr":"0",</v>
      </c>
      <c r="AX112" t="str">
        <f t="shared" si="37"/>
        <v>"br":"0",</v>
      </c>
      <c r="AY112" t="str">
        <f t="shared" si="38"/>
        <v>"row":0,</v>
      </c>
      <c r="AZ112" t="s">
        <v>67</v>
      </c>
      <c r="BA112" t="str">
        <f t="shared" si="48"/>
        <v>"sq":{"a1":0,"a2":"","a3":"","s1":0,"s2":0,"s3":0},"bp":{"a1":0,"a2":"","a3":"","s1":0,"s2":0,"s3":0},"dl":{"a1":0,"a2":"","a3":"","s1":0,"s2":0,"s3":0},"sortOrder":0,"act":{}}</v>
      </c>
      <c r="BB112" t="str">
        <f t="shared" si="49"/>
        <v>"23":{"group":"A","lot":0,"name":"0","team":"0","year":"0","division":"--","bw":"0","idx":"23","sr":"0","br":"0","row":0,"sq":{"a1":0,"a2":"","a3":"","s1":0,"s2":0,"s3":0},"bp":{"a1":0,"a2":"","a3":"","s1":0,"s2":0,"s3":0},"dl":{"a1":0,"a2":"","a3":"","s1":0,"s2":0,"s3":0},"sortOrder":0,"act":{}}</v>
      </c>
    </row>
    <row r="113" spans="5:54" x14ac:dyDescent="0.25">
      <c r="E113" s="160"/>
      <c r="F113" s="114"/>
      <c r="G113" s="114"/>
      <c r="H113" s="114"/>
      <c r="I113" s="114"/>
      <c r="J113" s="114"/>
      <c r="K113" s="114"/>
      <c r="L113" s="114"/>
      <c r="M113" s="114"/>
      <c r="N113" s="114"/>
      <c r="O113" s="114"/>
      <c r="P113" s="114"/>
      <c r="Q113" s="114"/>
      <c r="R113" s="114"/>
      <c r="S113" s="114"/>
      <c r="T113" s="115"/>
      <c r="U113" s="116"/>
      <c r="V113" s="116"/>
      <c r="W113" s="117"/>
      <c r="Z113" s="15" t="str">
        <f t="shared" si="27"/>
        <v>A</v>
      </c>
      <c r="AA113" s="8">
        <f t="shared" si="39"/>
        <v>0</v>
      </c>
      <c r="AB113" s="9">
        <f t="shared" si="42"/>
        <v>0</v>
      </c>
      <c r="AC113" s="8">
        <f t="shared" si="40"/>
        <v>0</v>
      </c>
      <c r="AD113" s="8">
        <f t="shared" si="41"/>
        <v>0</v>
      </c>
      <c r="AE113" s="8" t="str">
        <f t="shared" si="43"/>
        <v>--</v>
      </c>
      <c r="AF113" s="10">
        <f t="shared" si="44"/>
        <v>0</v>
      </c>
      <c r="AG113" s="8">
        <v>23</v>
      </c>
      <c r="AH113" s="9">
        <f t="shared" si="45"/>
        <v>0</v>
      </c>
      <c r="AI113" s="11">
        <f t="shared" si="46"/>
        <v>0</v>
      </c>
      <c r="AJ113" s="6"/>
      <c r="AK113" s="6"/>
      <c r="AL113" s="6"/>
      <c r="AN113" t="str">
        <f t="shared" si="28"/>
        <v>"23":{</v>
      </c>
      <c r="AO113" t="str">
        <f t="shared" si="29"/>
        <v>"group":"A",</v>
      </c>
      <c r="AP113" t="str">
        <f t="shared" si="47"/>
        <v>"lot":0,</v>
      </c>
      <c r="AQ113" t="str">
        <f t="shared" si="30"/>
        <v>"name":"0",</v>
      </c>
      <c r="AR113" t="str">
        <f t="shared" si="31"/>
        <v>"team":"0",</v>
      </c>
      <c r="AS113" t="str">
        <f t="shared" si="32"/>
        <v>"year":"0",</v>
      </c>
      <c r="AT113" t="str">
        <f t="shared" si="33"/>
        <v>"division":"--",</v>
      </c>
      <c r="AU113" t="str">
        <f t="shared" si="34"/>
        <v>"bw":"0",</v>
      </c>
      <c r="AV113" t="str">
        <f t="shared" si="35"/>
        <v>"idx":"23",</v>
      </c>
      <c r="AW113" t="str">
        <f t="shared" si="36"/>
        <v>"sr":"0",</v>
      </c>
      <c r="AX113" t="str">
        <f t="shared" si="37"/>
        <v>"br":"0",</v>
      </c>
      <c r="AY113" t="str">
        <f t="shared" si="38"/>
        <v>"row":0,</v>
      </c>
      <c r="AZ113" t="s">
        <v>67</v>
      </c>
      <c r="BA113" t="str">
        <f t="shared" si="48"/>
        <v>"sq":{"a1":0,"a2":"","a3":"","s1":0,"s2":0,"s3":0},"bp":{"a1":0,"a2":"","a3":"","s1":0,"s2":0,"s3":0},"dl":{"a1":0,"a2":"","a3":"","s1":0,"s2":0,"s3":0},"sortOrder":0,"act":{}}</v>
      </c>
      <c r="BB113" t="str">
        <f t="shared" si="49"/>
        <v>"23":{"group":"A","lot":0,"name":"0","team":"0","year":"0","division":"--","bw":"0","idx":"23","sr":"0","br":"0","row":0,"sq":{"a1":0,"a2":"","a3":"","s1":0,"s2":0,"s3":0},"bp":{"a1":0,"a2":"","a3":"","s1":0,"s2":0,"s3":0},"dl":{"a1":0,"a2":"","a3":"","s1":0,"s2":0,"s3":0},"sortOrder":0,"act":{}}</v>
      </c>
    </row>
    <row r="114" spans="5:54" x14ac:dyDescent="0.25">
      <c r="E114" s="160"/>
      <c r="F114" s="114"/>
      <c r="G114" s="114"/>
      <c r="H114" s="114"/>
      <c r="I114" s="114"/>
      <c r="J114" s="114"/>
      <c r="K114" s="114"/>
      <c r="L114" s="114"/>
      <c r="M114" s="114"/>
      <c r="N114" s="114"/>
      <c r="O114" s="114"/>
      <c r="P114" s="114"/>
      <c r="Q114" s="114"/>
      <c r="R114" s="114"/>
      <c r="S114" s="114"/>
      <c r="T114" s="115"/>
      <c r="U114" s="116"/>
      <c r="V114" s="116"/>
      <c r="W114" s="117"/>
      <c r="Z114" s="15" t="str">
        <f t="shared" si="27"/>
        <v>A</v>
      </c>
      <c r="AA114" s="8">
        <f t="shared" si="39"/>
        <v>0</v>
      </c>
      <c r="AB114" s="9">
        <f t="shared" si="42"/>
        <v>0</v>
      </c>
      <c r="AC114" s="8">
        <f t="shared" si="40"/>
        <v>0</v>
      </c>
      <c r="AD114" s="8">
        <f t="shared" si="41"/>
        <v>0</v>
      </c>
      <c r="AE114" s="8" t="str">
        <f t="shared" si="43"/>
        <v>--</v>
      </c>
      <c r="AF114" s="10">
        <f t="shared" si="44"/>
        <v>0</v>
      </c>
      <c r="AG114" s="8">
        <v>23</v>
      </c>
      <c r="AH114" s="9">
        <f t="shared" si="45"/>
        <v>0</v>
      </c>
      <c r="AI114" s="11">
        <f t="shared" si="46"/>
        <v>0</v>
      </c>
      <c r="AJ114" s="6"/>
      <c r="AK114" s="6"/>
      <c r="AL114" s="6"/>
      <c r="AN114" t="str">
        <f t="shared" si="28"/>
        <v>"23":{</v>
      </c>
      <c r="AO114" t="str">
        <f t="shared" si="29"/>
        <v>"group":"A",</v>
      </c>
      <c r="AP114" t="str">
        <f t="shared" si="47"/>
        <v>"lot":0,</v>
      </c>
      <c r="AQ114" t="str">
        <f t="shared" si="30"/>
        <v>"name":"0",</v>
      </c>
      <c r="AR114" t="str">
        <f t="shared" si="31"/>
        <v>"team":"0",</v>
      </c>
      <c r="AS114" t="str">
        <f t="shared" si="32"/>
        <v>"year":"0",</v>
      </c>
      <c r="AT114" t="str">
        <f t="shared" si="33"/>
        <v>"division":"--",</v>
      </c>
      <c r="AU114" t="str">
        <f t="shared" si="34"/>
        <v>"bw":"0",</v>
      </c>
      <c r="AV114" t="str">
        <f t="shared" si="35"/>
        <v>"idx":"23",</v>
      </c>
      <c r="AW114" t="str">
        <f t="shared" si="36"/>
        <v>"sr":"0",</v>
      </c>
      <c r="AX114" t="str">
        <f t="shared" si="37"/>
        <v>"br":"0",</v>
      </c>
      <c r="AY114" t="str">
        <f t="shared" si="38"/>
        <v>"row":0,</v>
      </c>
      <c r="AZ114" t="s">
        <v>67</v>
      </c>
      <c r="BA114" t="str">
        <f t="shared" si="48"/>
        <v>"sq":{"a1":0,"a2":"","a3":"","s1":0,"s2":0,"s3":0},"bp":{"a1":0,"a2":"","a3":"","s1":0,"s2":0,"s3":0},"dl":{"a1":0,"a2":"","a3":"","s1":0,"s2":0,"s3":0},"sortOrder":0,"act":{}}</v>
      </c>
      <c r="BB114" t="str">
        <f t="shared" si="49"/>
        <v>"23":{"group":"A","lot":0,"name":"0","team":"0","year":"0","division":"--","bw":"0","idx":"23","sr":"0","br":"0","row":0,"sq":{"a1":0,"a2":"","a3":"","s1":0,"s2":0,"s3":0},"bp":{"a1":0,"a2":"","a3":"","s1":0,"s2":0,"s3":0},"dl":{"a1":0,"a2":"","a3":"","s1":0,"s2":0,"s3":0},"sortOrder":0,"act":{}}</v>
      </c>
    </row>
    <row r="115" spans="5:54" x14ac:dyDescent="0.25">
      <c r="E115" s="160"/>
      <c r="F115" s="114"/>
      <c r="G115" s="114"/>
      <c r="H115" s="114"/>
      <c r="I115" s="114"/>
      <c r="J115" s="114"/>
      <c r="K115" s="114"/>
      <c r="L115" s="114"/>
      <c r="M115" s="114"/>
      <c r="N115" s="114"/>
      <c r="O115" s="114"/>
      <c r="P115" s="114"/>
      <c r="Q115" s="114"/>
      <c r="R115" s="114"/>
      <c r="S115" s="114"/>
      <c r="T115" s="115"/>
      <c r="U115" s="116"/>
      <c r="V115" s="116"/>
      <c r="W115" s="117"/>
      <c r="Z115" s="15" t="str">
        <f t="shared" si="27"/>
        <v>A</v>
      </c>
      <c r="AA115" s="8">
        <f t="shared" si="39"/>
        <v>0</v>
      </c>
      <c r="AB115" s="9">
        <f t="shared" si="42"/>
        <v>0</v>
      </c>
      <c r="AC115" s="8">
        <f t="shared" si="40"/>
        <v>0</v>
      </c>
      <c r="AD115" s="8">
        <f t="shared" si="41"/>
        <v>0</v>
      </c>
      <c r="AE115" s="8" t="str">
        <f t="shared" si="43"/>
        <v>--</v>
      </c>
      <c r="AF115" s="10">
        <f t="shared" si="44"/>
        <v>0</v>
      </c>
      <c r="AG115" s="8">
        <v>23</v>
      </c>
      <c r="AH115" s="9">
        <f t="shared" si="45"/>
        <v>0</v>
      </c>
      <c r="AI115" s="11">
        <f t="shared" si="46"/>
        <v>0</v>
      </c>
      <c r="AJ115" s="6"/>
      <c r="AK115" s="6"/>
      <c r="AL115" s="6"/>
      <c r="AN115" t="str">
        <f t="shared" si="28"/>
        <v>"23":{</v>
      </c>
      <c r="AO115" t="str">
        <f t="shared" si="29"/>
        <v>"group":"A",</v>
      </c>
      <c r="AP115" t="str">
        <f t="shared" si="47"/>
        <v>"lot":0,</v>
      </c>
      <c r="AQ115" t="str">
        <f t="shared" si="30"/>
        <v>"name":"0",</v>
      </c>
      <c r="AR115" t="str">
        <f t="shared" si="31"/>
        <v>"team":"0",</v>
      </c>
      <c r="AS115" t="str">
        <f t="shared" si="32"/>
        <v>"year":"0",</v>
      </c>
      <c r="AT115" t="str">
        <f t="shared" si="33"/>
        <v>"division":"--",</v>
      </c>
      <c r="AU115" t="str">
        <f t="shared" si="34"/>
        <v>"bw":"0",</v>
      </c>
      <c r="AV115" t="str">
        <f t="shared" si="35"/>
        <v>"idx":"23",</v>
      </c>
      <c r="AW115" t="str">
        <f t="shared" si="36"/>
        <v>"sr":"0",</v>
      </c>
      <c r="AX115" t="str">
        <f t="shared" si="37"/>
        <v>"br":"0",</v>
      </c>
      <c r="AY115" t="str">
        <f t="shared" si="38"/>
        <v>"row":0,</v>
      </c>
      <c r="AZ115" t="s">
        <v>67</v>
      </c>
      <c r="BA115" t="str">
        <f t="shared" si="48"/>
        <v>"sq":{"a1":0,"a2":"","a3":"","s1":0,"s2":0,"s3":0},"bp":{"a1":0,"a2":"","a3":"","s1":0,"s2":0,"s3":0},"dl":{"a1":0,"a2":"","a3":"","s1":0,"s2":0,"s3":0},"sortOrder":0,"act":{}}</v>
      </c>
      <c r="BB115" t="str">
        <f t="shared" si="49"/>
        <v>"23":{"group":"A","lot":0,"name":"0","team":"0","year":"0","division":"--","bw":"0","idx":"23","sr":"0","br":"0","row":0,"sq":{"a1":0,"a2":"","a3":"","s1":0,"s2":0,"s3":0},"bp":{"a1":0,"a2":"","a3":"","s1":0,"s2":0,"s3":0},"dl":{"a1":0,"a2":"","a3":"","s1":0,"s2":0,"s3":0},"sortOrder":0,"act":{}}</v>
      </c>
    </row>
    <row r="116" spans="5:54" x14ac:dyDescent="0.25">
      <c r="E116" s="160"/>
      <c r="F116" s="114"/>
      <c r="G116" s="114"/>
      <c r="H116" s="114"/>
      <c r="I116" s="114"/>
      <c r="J116" s="114"/>
      <c r="K116" s="114"/>
      <c r="L116" s="114"/>
      <c r="M116" s="114"/>
      <c r="N116" s="114"/>
      <c r="O116" s="114"/>
      <c r="P116" s="114"/>
      <c r="Q116" s="114"/>
      <c r="R116" s="114"/>
      <c r="S116" s="114"/>
      <c r="T116" s="115"/>
      <c r="U116" s="116"/>
      <c r="V116" s="116"/>
      <c r="W116" s="117"/>
      <c r="Z116" s="15" t="str">
        <f t="shared" si="27"/>
        <v>A</v>
      </c>
      <c r="AA116" s="8">
        <f t="shared" si="39"/>
        <v>0</v>
      </c>
      <c r="AB116" s="9">
        <f t="shared" si="42"/>
        <v>0</v>
      </c>
      <c r="AC116" s="8">
        <f t="shared" si="40"/>
        <v>0</v>
      </c>
      <c r="AD116" s="8">
        <f t="shared" si="41"/>
        <v>0</v>
      </c>
      <c r="AE116" s="8" t="str">
        <f t="shared" si="43"/>
        <v>--</v>
      </c>
      <c r="AF116" s="10">
        <f t="shared" si="44"/>
        <v>0</v>
      </c>
      <c r="AG116" s="8">
        <v>23</v>
      </c>
      <c r="AH116" s="9">
        <f t="shared" si="45"/>
        <v>0</v>
      </c>
      <c r="AI116" s="11">
        <f t="shared" si="46"/>
        <v>0</v>
      </c>
      <c r="AJ116" s="6"/>
      <c r="AK116" s="6"/>
      <c r="AL116" s="6"/>
      <c r="AN116" t="str">
        <f t="shared" si="28"/>
        <v>"23":{</v>
      </c>
      <c r="AO116" t="str">
        <f t="shared" si="29"/>
        <v>"group":"A",</v>
      </c>
      <c r="AP116" t="str">
        <f t="shared" si="47"/>
        <v>"lot":0,</v>
      </c>
      <c r="AQ116" t="str">
        <f t="shared" si="30"/>
        <v>"name":"0",</v>
      </c>
      <c r="AR116" t="str">
        <f t="shared" si="31"/>
        <v>"team":"0",</v>
      </c>
      <c r="AS116" t="str">
        <f t="shared" si="32"/>
        <v>"year":"0",</v>
      </c>
      <c r="AT116" t="str">
        <f t="shared" si="33"/>
        <v>"division":"--",</v>
      </c>
      <c r="AU116" t="str">
        <f t="shared" si="34"/>
        <v>"bw":"0",</v>
      </c>
      <c r="AV116" t="str">
        <f t="shared" si="35"/>
        <v>"idx":"23",</v>
      </c>
      <c r="AW116" t="str">
        <f t="shared" si="36"/>
        <v>"sr":"0",</v>
      </c>
      <c r="AX116" t="str">
        <f t="shared" si="37"/>
        <v>"br":"0",</v>
      </c>
      <c r="AY116" t="str">
        <f t="shared" si="38"/>
        <v>"row":0,</v>
      </c>
      <c r="AZ116" t="s">
        <v>67</v>
      </c>
      <c r="BA116" t="str">
        <f t="shared" si="48"/>
        <v>"sq":{"a1":0,"a2":"","a3":"","s1":0,"s2":0,"s3":0},"bp":{"a1":0,"a2":"","a3":"","s1":0,"s2":0,"s3":0},"dl":{"a1":0,"a2":"","a3":"","s1":0,"s2":0,"s3":0},"sortOrder":0,"act":{}}</v>
      </c>
      <c r="BB116" t="str">
        <f t="shared" si="49"/>
        <v>"23":{"group":"A","lot":0,"name":"0","team":"0","year":"0","division":"--","bw":"0","idx":"23","sr":"0","br":"0","row":0,"sq":{"a1":0,"a2":"","a3":"","s1":0,"s2":0,"s3":0},"bp":{"a1":0,"a2":"","a3":"","s1":0,"s2":0,"s3":0},"dl":{"a1":0,"a2":"","a3":"","s1":0,"s2":0,"s3":0},"sortOrder":0,"act":{}}</v>
      </c>
    </row>
    <row r="117" spans="5:54" x14ac:dyDescent="0.25">
      <c r="E117" s="161"/>
      <c r="F117" s="118"/>
      <c r="G117" s="118"/>
      <c r="H117" s="118"/>
      <c r="I117" s="118"/>
      <c r="J117" s="118"/>
      <c r="K117" s="118"/>
      <c r="L117" s="118"/>
      <c r="M117" s="118"/>
      <c r="N117" s="118"/>
      <c r="O117" s="118"/>
      <c r="P117" s="118"/>
      <c r="Q117" s="118"/>
      <c r="R117" s="118"/>
      <c r="S117" s="118"/>
      <c r="T117" s="119"/>
      <c r="U117" s="120"/>
      <c r="V117" s="120"/>
      <c r="W117" s="121"/>
      <c r="Z117" s="15" t="str">
        <f t="shared" si="27"/>
        <v>A</v>
      </c>
      <c r="AA117" s="8">
        <f t="shared" si="39"/>
        <v>0</v>
      </c>
      <c r="AB117" s="9">
        <f t="shared" si="42"/>
        <v>0</v>
      </c>
      <c r="AC117" s="8">
        <f t="shared" si="40"/>
        <v>0</v>
      </c>
      <c r="AD117" s="8">
        <f t="shared" si="41"/>
        <v>0</v>
      </c>
      <c r="AE117" s="8" t="str">
        <f t="shared" si="43"/>
        <v>--</v>
      </c>
      <c r="AF117" s="10">
        <f t="shared" si="44"/>
        <v>0</v>
      </c>
      <c r="AG117" s="8">
        <v>23</v>
      </c>
      <c r="AH117" s="9">
        <f t="shared" si="45"/>
        <v>0</v>
      </c>
      <c r="AI117" s="11">
        <f t="shared" si="46"/>
        <v>0</v>
      </c>
      <c r="AJ117" s="6"/>
      <c r="AK117" s="6"/>
      <c r="AL117" s="6"/>
      <c r="AN117" t="str">
        <f t="shared" si="28"/>
        <v>"23":{</v>
      </c>
      <c r="AO117" t="str">
        <f t="shared" si="29"/>
        <v>"group":"A",</v>
      </c>
      <c r="AP117" t="str">
        <f t="shared" si="47"/>
        <v>"lot":0,</v>
      </c>
      <c r="AQ117" t="str">
        <f t="shared" si="30"/>
        <v>"name":"0",</v>
      </c>
      <c r="AR117" t="str">
        <f t="shared" si="31"/>
        <v>"team":"0",</v>
      </c>
      <c r="AS117" t="str">
        <f t="shared" si="32"/>
        <v>"year":"0",</v>
      </c>
      <c r="AT117" t="str">
        <f t="shared" si="33"/>
        <v>"division":"--",</v>
      </c>
      <c r="AU117" t="str">
        <f t="shared" si="34"/>
        <v>"bw":"0",</v>
      </c>
      <c r="AV117" t="str">
        <f t="shared" si="35"/>
        <v>"idx":"23",</v>
      </c>
      <c r="AW117" t="str">
        <f t="shared" si="36"/>
        <v>"sr":"0",</v>
      </c>
      <c r="AX117" t="str">
        <f t="shared" si="37"/>
        <v>"br":"0",</v>
      </c>
      <c r="AY117" t="str">
        <f t="shared" si="38"/>
        <v>"row":0,</v>
      </c>
      <c r="AZ117" t="s">
        <v>67</v>
      </c>
      <c r="BA117" t="str">
        <f t="shared" si="48"/>
        <v>"sq":{"a1":0,"a2":"","a3":"","s1":0,"s2":0,"s3":0},"bp":{"a1":0,"a2":"","a3":"","s1":0,"s2":0,"s3":0},"dl":{"a1":0,"a2":"","a3":"","s1":0,"s2":0,"s3":0},"sortOrder":0,"act":{}}</v>
      </c>
      <c r="BB117" t="str">
        <f t="shared" si="49"/>
        <v>"23":{"group":"A","lot":0,"name":"0","team":"0","year":"0","division":"--","bw":"0","idx":"23","sr":"0","br":"0","row":0,"sq":{"a1":0,"a2":"","a3":"","s1":0,"s2":0,"s3":0},"bp":{"a1":0,"a2":"","a3":"","s1":0,"s2":0,"s3":0},"dl":{"a1":0,"a2":"","a3":"","s1":0,"s2":0,"s3":0},"sortOrder":0,"act":{}}</v>
      </c>
    </row>
    <row r="118" spans="5:54" x14ac:dyDescent="0.25">
      <c r="E118" s="161"/>
      <c r="F118" s="118"/>
      <c r="G118" s="118"/>
      <c r="H118" s="118"/>
      <c r="I118" s="118"/>
      <c r="J118" s="118"/>
      <c r="K118" s="118"/>
      <c r="L118" s="118"/>
      <c r="M118" s="118"/>
      <c r="N118" s="118"/>
      <c r="O118" s="118"/>
      <c r="P118" s="118"/>
      <c r="Q118" s="118"/>
      <c r="R118" s="118"/>
      <c r="S118" s="118"/>
      <c r="T118" s="119"/>
      <c r="U118" s="120"/>
      <c r="V118" s="120"/>
      <c r="W118" s="121"/>
      <c r="Z118" s="15" t="str">
        <f t="shared" ref="Z118:Z181" si="50">IF(Q118="","A",PROPER(Q118))</f>
        <v>A</v>
      </c>
      <c r="AA118" s="8">
        <f t="shared" si="39"/>
        <v>0</v>
      </c>
      <c r="AB118" s="9">
        <f t="shared" si="42"/>
        <v>0</v>
      </c>
      <c r="AC118" s="8">
        <f t="shared" si="40"/>
        <v>0</v>
      </c>
      <c r="AD118" s="8">
        <f t="shared" si="41"/>
        <v>0</v>
      </c>
      <c r="AE118" s="8" t="str">
        <f t="shared" si="43"/>
        <v>--</v>
      </c>
      <c r="AF118" s="10">
        <f t="shared" si="44"/>
        <v>0</v>
      </c>
      <c r="AG118" s="8">
        <v>23</v>
      </c>
      <c r="AH118" s="9">
        <f t="shared" si="45"/>
        <v>0</v>
      </c>
      <c r="AI118" s="11">
        <f t="shared" si="46"/>
        <v>0</v>
      </c>
      <c r="AJ118" s="6"/>
      <c r="AK118" s="6"/>
      <c r="AL118" s="6"/>
      <c r="AN118" t="str">
        <f t="shared" ref="AN118:AN181" si="51">CHAR(34)&amp;AG118&amp;CHAR(34)&amp;":{"</f>
        <v>"23":{</v>
      </c>
      <c r="AO118" t="str">
        <f t="shared" ref="AO118:AO181" si="52">Z$3&amp;":"&amp;CHAR(34)&amp;Z118&amp;CHAR(34)&amp;","</f>
        <v>"group":"A",</v>
      </c>
      <c r="AP118" t="str">
        <f t="shared" si="47"/>
        <v>"lot":0,</v>
      </c>
      <c r="AQ118" t="str">
        <f t="shared" ref="AQ118:AQ181" si="53">AB$3&amp;":"&amp;CHAR(34)&amp;AB118&amp;CHAR(34)&amp;","</f>
        <v>"name":"0",</v>
      </c>
      <c r="AR118" t="str">
        <f t="shared" ref="AR118:AR181" si="54">AC$3&amp;":"&amp;CHAR(34)&amp;AC118&amp;CHAR(34)&amp;","</f>
        <v>"team":"0",</v>
      </c>
      <c r="AS118" t="str">
        <f t="shared" ref="AS118:AS181" si="55">AD$3&amp;":"&amp;CHAR(34)&amp;AD118&amp;CHAR(34)&amp;","</f>
        <v>"year":"0",</v>
      </c>
      <c r="AT118" t="str">
        <f t="shared" ref="AT118:AT181" si="56">AE$3&amp;":"&amp;CHAR(34)&amp;AE118&amp;CHAR(34)&amp;","</f>
        <v>"division":"--",</v>
      </c>
      <c r="AU118" t="str">
        <f t="shared" ref="AU118:AU181" si="57">AF$3&amp;":"&amp;CHAR(34)&amp;AF118&amp;CHAR(34)&amp;","</f>
        <v>"bw":"0",</v>
      </c>
      <c r="AV118" t="str">
        <f t="shared" ref="AV118:AV181" si="58">AG$3&amp;":"&amp;CHAR(34)&amp;AG118&amp;CHAR(34)&amp;","</f>
        <v>"idx":"23",</v>
      </c>
      <c r="AW118" t="str">
        <f t="shared" ref="AW118:AW181" si="59">AH$3&amp;":"&amp;CHAR(34)&amp;AH118&amp;CHAR(34)&amp;","</f>
        <v>"sr":"0",</v>
      </c>
      <c r="AX118" t="str">
        <f t="shared" ref="AX118:AX181" si="60">AI$3&amp;":"&amp;CHAR(34)&amp;AI118&amp;CHAR(34)&amp;","</f>
        <v>"br":"0",</v>
      </c>
      <c r="AY118" t="str">
        <f t="shared" ref="AY118:AY181" si="61">CHAR(34)&amp;"row"&amp;CHAR(34)&amp;":"&amp;AA118&amp;","</f>
        <v>"row":0,</v>
      </c>
      <c r="AZ118" t="s">
        <v>67</v>
      </c>
      <c r="BA118" t="str">
        <f t="shared" si="48"/>
        <v>"sq":{"a1":0,"a2":"","a3":"","s1":0,"s2":0,"s3":0},"bp":{"a1":0,"a2":"","a3":"","s1":0,"s2":0,"s3":0},"dl":{"a1":0,"a2":"","a3":"","s1":0,"s2":0,"s3":0},"sortOrder":0,"act":{}}</v>
      </c>
      <c r="BB118" t="str">
        <f t="shared" si="49"/>
        <v>"23":{"group":"A","lot":0,"name":"0","team":"0","year":"0","division":"--","bw":"0","idx":"23","sr":"0","br":"0","row":0,"sq":{"a1":0,"a2":"","a3":"","s1":0,"s2":0,"s3":0},"bp":{"a1":0,"a2":"","a3":"","s1":0,"s2":0,"s3":0},"dl":{"a1":0,"a2":"","a3":"","s1":0,"s2":0,"s3":0},"sortOrder":0,"act":{}}</v>
      </c>
    </row>
    <row r="119" spans="5:54" x14ac:dyDescent="0.25">
      <c r="E119" s="161"/>
      <c r="F119" s="118"/>
      <c r="G119" s="118"/>
      <c r="H119" s="118"/>
      <c r="I119" s="118"/>
      <c r="J119" s="118"/>
      <c r="K119" s="118"/>
      <c r="L119" s="118"/>
      <c r="M119" s="118"/>
      <c r="N119" s="118"/>
      <c r="O119" s="118"/>
      <c r="P119" s="118"/>
      <c r="Q119" s="118"/>
      <c r="R119" s="118"/>
      <c r="S119" s="118"/>
      <c r="T119" s="119"/>
      <c r="U119" s="120"/>
      <c r="V119" s="120"/>
      <c r="W119" s="121"/>
      <c r="Z119" s="15" t="str">
        <f t="shared" si="50"/>
        <v>A</v>
      </c>
      <c r="AA119" s="8">
        <f t="shared" si="39"/>
        <v>0</v>
      </c>
      <c r="AB119" s="9">
        <f t="shared" si="42"/>
        <v>0</v>
      </c>
      <c r="AC119" s="8">
        <f t="shared" si="40"/>
        <v>0</v>
      </c>
      <c r="AD119" s="8">
        <f t="shared" si="41"/>
        <v>0</v>
      </c>
      <c r="AE119" s="8" t="str">
        <f t="shared" si="43"/>
        <v>--</v>
      </c>
      <c r="AF119" s="10">
        <f t="shared" si="44"/>
        <v>0</v>
      </c>
      <c r="AG119" s="8">
        <v>23</v>
      </c>
      <c r="AH119" s="9">
        <f t="shared" si="45"/>
        <v>0</v>
      </c>
      <c r="AI119" s="11">
        <f t="shared" si="46"/>
        <v>0</v>
      </c>
      <c r="AJ119" s="6"/>
      <c r="AK119" s="6"/>
      <c r="AL119" s="6"/>
      <c r="AN119" t="str">
        <f t="shared" si="51"/>
        <v>"23":{</v>
      </c>
      <c r="AO119" t="str">
        <f t="shared" si="52"/>
        <v>"group":"A",</v>
      </c>
      <c r="AP119" t="str">
        <f t="shared" si="47"/>
        <v>"lot":0,</v>
      </c>
      <c r="AQ119" t="str">
        <f t="shared" si="53"/>
        <v>"name":"0",</v>
      </c>
      <c r="AR119" t="str">
        <f t="shared" si="54"/>
        <v>"team":"0",</v>
      </c>
      <c r="AS119" t="str">
        <f t="shared" si="55"/>
        <v>"year":"0",</v>
      </c>
      <c r="AT119" t="str">
        <f t="shared" si="56"/>
        <v>"division":"--",</v>
      </c>
      <c r="AU119" t="str">
        <f t="shared" si="57"/>
        <v>"bw":"0",</v>
      </c>
      <c r="AV119" t="str">
        <f t="shared" si="58"/>
        <v>"idx":"23",</v>
      </c>
      <c r="AW119" t="str">
        <f t="shared" si="59"/>
        <v>"sr":"0",</v>
      </c>
      <c r="AX119" t="str">
        <f t="shared" si="60"/>
        <v>"br":"0",</v>
      </c>
      <c r="AY119" t="str">
        <f t="shared" si="61"/>
        <v>"row":0,</v>
      </c>
      <c r="AZ119" t="s">
        <v>67</v>
      </c>
      <c r="BA119" t="str">
        <f t="shared" si="48"/>
        <v>"sq":{"a1":0,"a2":"","a3":"","s1":0,"s2":0,"s3":0},"bp":{"a1":0,"a2":"","a3":"","s1":0,"s2":0,"s3":0},"dl":{"a1":0,"a2":"","a3":"","s1":0,"s2":0,"s3":0},"sortOrder":0,"act":{}}</v>
      </c>
      <c r="BB119" t="str">
        <f t="shared" si="49"/>
        <v>"23":{"group":"A","lot":0,"name":"0","team":"0","year":"0","division":"--","bw":"0","idx":"23","sr":"0","br":"0","row":0,"sq":{"a1":0,"a2":"","a3":"","s1":0,"s2":0,"s3":0},"bp":{"a1":0,"a2":"","a3":"","s1":0,"s2":0,"s3":0},"dl":{"a1":0,"a2":"","a3":"","s1":0,"s2":0,"s3":0},"sortOrder":0,"act":{}}</v>
      </c>
    </row>
    <row r="120" spans="5:54" x14ac:dyDescent="0.25">
      <c r="E120" s="161"/>
      <c r="F120" s="118"/>
      <c r="G120" s="118"/>
      <c r="H120" s="118"/>
      <c r="I120" s="118"/>
      <c r="J120" s="118"/>
      <c r="K120" s="118"/>
      <c r="L120" s="118"/>
      <c r="M120" s="118"/>
      <c r="N120" s="118"/>
      <c r="O120" s="118"/>
      <c r="P120" s="118"/>
      <c r="Q120" s="118"/>
      <c r="R120" s="118"/>
      <c r="S120" s="118"/>
      <c r="T120" s="119"/>
      <c r="U120" s="120"/>
      <c r="V120" s="120"/>
      <c r="W120" s="121"/>
      <c r="Z120" s="15" t="str">
        <f t="shared" si="50"/>
        <v>A</v>
      </c>
      <c r="AA120" s="8">
        <f t="shared" si="39"/>
        <v>0</v>
      </c>
      <c r="AB120" s="9">
        <f t="shared" si="42"/>
        <v>0</v>
      </c>
      <c r="AC120" s="8">
        <f t="shared" si="40"/>
        <v>0</v>
      </c>
      <c r="AD120" s="8">
        <f t="shared" si="41"/>
        <v>0</v>
      </c>
      <c r="AE120" s="8" t="str">
        <f t="shared" si="43"/>
        <v>--</v>
      </c>
      <c r="AF120" s="10">
        <f t="shared" si="44"/>
        <v>0</v>
      </c>
      <c r="AG120" s="8">
        <v>23</v>
      </c>
      <c r="AH120" s="9">
        <f t="shared" si="45"/>
        <v>0</v>
      </c>
      <c r="AI120" s="11">
        <f t="shared" si="46"/>
        <v>0</v>
      </c>
      <c r="AJ120" s="6"/>
      <c r="AK120" s="6"/>
      <c r="AL120" s="6"/>
      <c r="AN120" t="str">
        <f t="shared" si="51"/>
        <v>"23":{</v>
      </c>
      <c r="AO120" t="str">
        <f t="shared" si="52"/>
        <v>"group":"A",</v>
      </c>
      <c r="AP120" t="str">
        <f t="shared" si="47"/>
        <v>"lot":0,</v>
      </c>
      <c r="AQ120" t="str">
        <f t="shared" si="53"/>
        <v>"name":"0",</v>
      </c>
      <c r="AR120" t="str">
        <f t="shared" si="54"/>
        <v>"team":"0",</v>
      </c>
      <c r="AS120" t="str">
        <f t="shared" si="55"/>
        <v>"year":"0",</v>
      </c>
      <c r="AT120" t="str">
        <f t="shared" si="56"/>
        <v>"division":"--",</v>
      </c>
      <c r="AU120" t="str">
        <f t="shared" si="57"/>
        <v>"bw":"0",</v>
      </c>
      <c r="AV120" t="str">
        <f t="shared" si="58"/>
        <v>"idx":"23",</v>
      </c>
      <c r="AW120" t="str">
        <f t="shared" si="59"/>
        <v>"sr":"0",</v>
      </c>
      <c r="AX120" t="str">
        <f t="shared" si="60"/>
        <v>"br":"0",</v>
      </c>
      <c r="AY120" t="str">
        <f t="shared" si="61"/>
        <v>"row":0,</v>
      </c>
      <c r="AZ120" t="s">
        <v>67</v>
      </c>
      <c r="BA120" t="str">
        <f t="shared" si="48"/>
        <v>"sq":{"a1":0,"a2":"","a3":"","s1":0,"s2":0,"s3":0},"bp":{"a1":0,"a2":"","a3":"","s1":0,"s2":0,"s3":0},"dl":{"a1":0,"a2":"","a3":"","s1":0,"s2":0,"s3":0},"sortOrder":0,"act":{}}</v>
      </c>
      <c r="BB120" t="str">
        <f t="shared" si="49"/>
        <v>"23":{"group":"A","lot":0,"name":"0","team":"0","year":"0","division":"--","bw":"0","idx":"23","sr":"0","br":"0","row":0,"sq":{"a1":0,"a2":"","a3":"","s1":0,"s2":0,"s3":0},"bp":{"a1":0,"a2":"","a3":"","s1":0,"s2":0,"s3":0},"dl":{"a1":0,"a2":"","a3":"","s1":0,"s2":0,"s3":0},"sortOrder":0,"act":{}}</v>
      </c>
    </row>
    <row r="121" spans="5:54" x14ac:dyDescent="0.25">
      <c r="E121" s="161"/>
      <c r="F121" s="118"/>
      <c r="G121" s="118"/>
      <c r="H121" s="118"/>
      <c r="I121" s="118"/>
      <c r="J121" s="118"/>
      <c r="K121" s="118"/>
      <c r="L121" s="118"/>
      <c r="M121" s="118"/>
      <c r="N121" s="118"/>
      <c r="O121" s="118"/>
      <c r="P121" s="118"/>
      <c r="Q121" s="118"/>
      <c r="R121" s="118"/>
      <c r="S121" s="118"/>
      <c r="T121" s="119"/>
      <c r="U121" s="120"/>
      <c r="V121" s="120"/>
      <c r="W121" s="121"/>
      <c r="Z121" s="15" t="str">
        <f t="shared" si="50"/>
        <v>A</v>
      </c>
      <c r="AA121" s="8">
        <f t="shared" si="39"/>
        <v>0</v>
      </c>
      <c r="AB121" s="9">
        <f t="shared" si="42"/>
        <v>0</v>
      </c>
      <c r="AC121" s="8">
        <f t="shared" si="40"/>
        <v>0</v>
      </c>
      <c r="AD121" s="8">
        <f t="shared" si="41"/>
        <v>0</v>
      </c>
      <c r="AE121" s="8" t="str">
        <f t="shared" si="43"/>
        <v>--</v>
      </c>
      <c r="AF121" s="10">
        <f t="shared" si="44"/>
        <v>0</v>
      </c>
      <c r="AG121" s="8">
        <v>23</v>
      </c>
      <c r="AH121" s="9">
        <f t="shared" si="45"/>
        <v>0</v>
      </c>
      <c r="AI121" s="11">
        <f t="shared" si="46"/>
        <v>0</v>
      </c>
      <c r="AJ121" s="6"/>
      <c r="AK121" s="6"/>
      <c r="AL121" s="6"/>
      <c r="AN121" t="str">
        <f t="shared" si="51"/>
        <v>"23":{</v>
      </c>
      <c r="AO121" t="str">
        <f t="shared" si="52"/>
        <v>"group":"A",</v>
      </c>
      <c r="AP121" t="str">
        <f t="shared" si="47"/>
        <v>"lot":0,</v>
      </c>
      <c r="AQ121" t="str">
        <f t="shared" si="53"/>
        <v>"name":"0",</v>
      </c>
      <c r="AR121" t="str">
        <f t="shared" si="54"/>
        <v>"team":"0",</v>
      </c>
      <c r="AS121" t="str">
        <f t="shared" si="55"/>
        <v>"year":"0",</v>
      </c>
      <c r="AT121" t="str">
        <f t="shared" si="56"/>
        <v>"division":"--",</v>
      </c>
      <c r="AU121" t="str">
        <f t="shared" si="57"/>
        <v>"bw":"0",</v>
      </c>
      <c r="AV121" t="str">
        <f t="shared" si="58"/>
        <v>"idx":"23",</v>
      </c>
      <c r="AW121" t="str">
        <f t="shared" si="59"/>
        <v>"sr":"0",</v>
      </c>
      <c r="AX121" t="str">
        <f t="shared" si="60"/>
        <v>"br":"0",</v>
      </c>
      <c r="AY121" t="str">
        <f t="shared" si="61"/>
        <v>"row":0,</v>
      </c>
      <c r="AZ121" t="s">
        <v>67</v>
      </c>
      <c r="BA121" t="str">
        <f t="shared" si="48"/>
        <v>"sq":{"a1":0,"a2":"","a3":"","s1":0,"s2":0,"s3":0},"bp":{"a1":0,"a2":"","a3":"","s1":0,"s2":0,"s3":0},"dl":{"a1":0,"a2":"","a3":"","s1":0,"s2":0,"s3":0},"sortOrder":0,"act":{}}</v>
      </c>
      <c r="BB121" t="str">
        <f t="shared" si="49"/>
        <v>"23":{"group":"A","lot":0,"name":"0","team":"0","year":"0","division":"--","bw":"0","idx":"23","sr":"0","br":"0","row":0,"sq":{"a1":0,"a2":"","a3":"","s1":0,"s2":0,"s3":0},"bp":{"a1":0,"a2":"","a3":"","s1":0,"s2":0,"s3":0},"dl":{"a1":0,"a2":"","a3":"","s1":0,"s2":0,"s3":0},"sortOrder":0,"act":{}}</v>
      </c>
    </row>
    <row r="122" spans="5:54" x14ac:dyDescent="0.25">
      <c r="E122" s="161"/>
      <c r="F122" s="118"/>
      <c r="G122" s="118"/>
      <c r="H122" s="118"/>
      <c r="I122" s="118"/>
      <c r="J122" s="118"/>
      <c r="K122" s="118"/>
      <c r="L122" s="118"/>
      <c r="M122" s="118"/>
      <c r="N122" s="118"/>
      <c r="O122" s="118"/>
      <c r="P122" s="118"/>
      <c r="Q122" s="118"/>
      <c r="R122" s="118"/>
      <c r="S122" s="118"/>
      <c r="T122" s="119"/>
      <c r="U122" s="120"/>
      <c r="V122" s="120"/>
      <c r="W122" s="121"/>
      <c r="Z122" s="15" t="str">
        <f t="shared" si="50"/>
        <v>A</v>
      </c>
      <c r="AA122" s="8">
        <f t="shared" si="39"/>
        <v>0</v>
      </c>
      <c r="AB122" s="9">
        <f t="shared" si="42"/>
        <v>0</v>
      </c>
      <c r="AC122" s="8">
        <f t="shared" si="40"/>
        <v>0</v>
      </c>
      <c r="AD122" s="8">
        <f t="shared" si="41"/>
        <v>0</v>
      </c>
      <c r="AE122" s="8" t="str">
        <f t="shared" si="43"/>
        <v>--</v>
      </c>
      <c r="AF122" s="10">
        <f t="shared" si="44"/>
        <v>0</v>
      </c>
      <c r="AG122" s="8">
        <v>23</v>
      </c>
      <c r="AH122" s="9">
        <f t="shared" si="45"/>
        <v>0</v>
      </c>
      <c r="AI122" s="11">
        <f t="shared" si="46"/>
        <v>0</v>
      </c>
      <c r="AJ122" s="6"/>
      <c r="AK122" s="6"/>
      <c r="AL122" s="6"/>
      <c r="AN122" t="str">
        <f t="shared" si="51"/>
        <v>"23":{</v>
      </c>
      <c r="AO122" t="str">
        <f t="shared" si="52"/>
        <v>"group":"A",</v>
      </c>
      <c r="AP122" t="str">
        <f t="shared" si="47"/>
        <v>"lot":0,</v>
      </c>
      <c r="AQ122" t="str">
        <f t="shared" si="53"/>
        <v>"name":"0",</v>
      </c>
      <c r="AR122" t="str">
        <f t="shared" si="54"/>
        <v>"team":"0",</v>
      </c>
      <c r="AS122" t="str">
        <f t="shared" si="55"/>
        <v>"year":"0",</v>
      </c>
      <c r="AT122" t="str">
        <f t="shared" si="56"/>
        <v>"division":"--",</v>
      </c>
      <c r="AU122" t="str">
        <f t="shared" si="57"/>
        <v>"bw":"0",</v>
      </c>
      <c r="AV122" t="str">
        <f t="shared" si="58"/>
        <v>"idx":"23",</v>
      </c>
      <c r="AW122" t="str">
        <f t="shared" si="59"/>
        <v>"sr":"0",</v>
      </c>
      <c r="AX122" t="str">
        <f t="shared" si="60"/>
        <v>"br":"0",</v>
      </c>
      <c r="AY122" t="str">
        <f t="shared" si="61"/>
        <v>"row":0,</v>
      </c>
      <c r="AZ122" t="s">
        <v>67</v>
      </c>
      <c r="BA122" t="str">
        <f t="shared" si="48"/>
        <v>"sq":{"a1":0,"a2":"","a3":"","s1":0,"s2":0,"s3":0},"bp":{"a1":0,"a2":"","a3":"","s1":0,"s2":0,"s3":0},"dl":{"a1":0,"a2":"","a3":"","s1":0,"s2":0,"s3":0},"sortOrder":0,"act":{}}</v>
      </c>
      <c r="BB122" t="str">
        <f t="shared" si="49"/>
        <v>"23":{"group":"A","lot":0,"name":"0","team":"0","year":"0","division":"--","bw":"0","idx":"23","sr":"0","br":"0","row":0,"sq":{"a1":0,"a2":"","a3":"","s1":0,"s2":0,"s3":0},"bp":{"a1":0,"a2":"","a3":"","s1":0,"s2":0,"s3":0},"dl":{"a1":0,"a2":"","a3":"","s1":0,"s2":0,"s3":0},"sortOrder":0,"act":{}}</v>
      </c>
    </row>
    <row r="123" spans="5:54" x14ac:dyDescent="0.25">
      <c r="E123" s="161"/>
      <c r="F123" s="118"/>
      <c r="G123" s="118"/>
      <c r="H123" s="118"/>
      <c r="I123" s="118"/>
      <c r="J123" s="118"/>
      <c r="K123" s="118"/>
      <c r="L123" s="118"/>
      <c r="M123" s="118"/>
      <c r="N123" s="118"/>
      <c r="O123" s="118"/>
      <c r="P123" s="118"/>
      <c r="Q123" s="118"/>
      <c r="R123" s="118"/>
      <c r="S123" s="118"/>
      <c r="T123" s="119"/>
      <c r="U123" s="120"/>
      <c r="V123" s="120"/>
      <c r="W123" s="121"/>
      <c r="Z123" s="15" t="str">
        <f t="shared" si="50"/>
        <v>A</v>
      </c>
      <c r="AA123" s="8">
        <f t="shared" si="39"/>
        <v>0</v>
      </c>
      <c r="AB123" s="9">
        <f t="shared" si="42"/>
        <v>0</v>
      </c>
      <c r="AC123" s="8">
        <f t="shared" si="40"/>
        <v>0</v>
      </c>
      <c r="AD123" s="8">
        <f t="shared" si="41"/>
        <v>0</v>
      </c>
      <c r="AE123" s="8" t="str">
        <f t="shared" si="43"/>
        <v>--</v>
      </c>
      <c r="AF123" s="10">
        <f t="shared" si="44"/>
        <v>0</v>
      </c>
      <c r="AG123" s="8">
        <v>23</v>
      </c>
      <c r="AH123" s="9">
        <f t="shared" si="45"/>
        <v>0</v>
      </c>
      <c r="AI123" s="11">
        <f t="shared" si="46"/>
        <v>0</v>
      </c>
      <c r="AJ123" s="6"/>
      <c r="AK123" s="6"/>
      <c r="AL123" s="6"/>
      <c r="AN123" t="str">
        <f t="shared" si="51"/>
        <v>"23":{</v>
      </c>
      <c r="AO123" t="str">
        <f t="shared" si="52"/>
        <v>"group":"A",</v>
      </c>
      <c r="AP123" t="str">
        <f t="shared" si="47"/>
        <v>"lot":0,</v>
      </c>
      <c r="AQ123" t="str">
        <f t="shared" si="53"/>
        <v>"name":"0",</v>
      </c>
      <c r="AR123" t="str">
        <f t="shared" si="54"/>
        <v>"team":"0",</v>
      </c>
      <c r="AS123" t="str">
        <f t="shared" si="55"/>
        <v>"year":"0",</v>
      </c>
      <c r="AT123" t="str">
        <f t="shared" si="56"/>
        <v>"division":"--",</v>
      </c>
      <c r="AU123" t="str">
        <f t="shared" si="57"/>
        <v>"bw":"0",</v>
      </c>
      <c r="AV123" t="str">
        <f t="shared" si="58"/>
        <v>"idx":"23",</v>
      </c>
      <c r="AW123" t="str">
        <f t="shared" si="59"/>
        <v>"sr":"0",</v>
      </c>
      <c r="AX123" t="str">
        <f t="shared" si="60"/>
        <v>"br":"0",</v>
      </c>
      <c r="AY123" t="str">
        <f t="shared" si="61"/>
        <v>"row":0,</v>
      </c>
      <c r="AZ123" t="s">
        <v>67</v>
      </c>
      <c r="BA123" t="str">
        <f t="shared" si="48"/>
        <v>"sq":{"a1":0,"a2":"","a3":"","s1":0,"s2":0,"s3":0},"bp":{"a1":0,"a2":"","a3":"","s1":0,"s2":0,"s3":0},"dl":{"a1":0,"a2":"","a3":"","s1":0,"s2":0,"s3":0},"sortOrder":0,"act":{}}</v>
      </c>
      <c r="BB123" t="str">
        <f t="shared" si="49"/>
        <v>"23":{"group":"A","lot":0,"name":"0","team":"0","year":"0","division":"--","bw":"0","idx":"23","sr":"0","br":"0","row":0,"sq":{"a1":0,"a2":"","a3":"","s1":0,"s2":0,"s3":0},"bp":{"a1":0,"a2":"","a3":"","s1":0,"s2":0,"s3":0},"dl":{"a1":0,"a2":"","a3":"","s1":0,"s2":0,"s3":0},"sortOrder":0,"act":{}}</v>
      </c>
    </row>
    <row r="124" spans="5:54" x14ac:dyDescent="0.25">
      <c r="E124" s="161"/>
      <c r="F124" s="118"/>
      <c r="G124" s="118"/>
      <c r="H124" s="118"/>
      <c r="I124" s="118"/>
      <c r="J124" s="118"/>
      <c r="K124" s="118"/>
      <c r="L124" s="118"/>
      <c r="M124" s="118"/>
      <c r="N124" s="118"/>
      <c r="O124" s="118"/>
      <c r="P124" s="118"/>
      <c r="Q124" s="118"/>
      <c r="R124" s="118"/>
      <c r="S124" s="118"/>
      <c r="T124" s="119"/>
      <c r="U124" s="120"/>
      <c r="V124" s="120"/>
      <c r="W124" s="121"/>
      <c r="Z124" s="15" t="str">
        <f t="shared" si="50"/>
        <v>A</v>
      </c>
      <c r="AA124" s="8">
        <f t="shared" si="39"/>
        <v>0</v>
      </c>
      <c r="AB124" s="9">
        <f t="shared" si="42"/>
        <v>0</v>
      </c>
      <c r="AC124" s="8">
        <f t="shared" si="40"/>
        <v>0</v>
      </c>
      <c r="AD124" s="8">
        <f t="shared" si="41"/>
        <v>0</v>
      </c>
      <c r="AE124" s="8" t="str">
        <f t="shared" si="43"/>
        <v>--</v>
      </c>
      <c r="AF124" s="10">
        <f t="shared" si="44"/>
        <v>0</v>
      </c>
      <c r="AG124" s="8">
        <v>23</v>
      </c>
      <c r="AH124" s="9">
        <f t="shared" si="45"/>
        <v>0</v>
      </c>
      <c r="AI124" s="11">
        <f t="shared" si="46"/>
        <v>0</v>
      </c>
      <c r="AJ124" s="6"/>
      <c r="AK124" s="6"/>
      <c r="AL124" s="6"/>
      <c r="AN124" t="str">
        <f t="shared" si="51"/>
        <v>"23":{</v>
      </c>
      <c r="AO124" t="str">
        <f t="shared" si="52"/>
        <v>"group":"A",</v>
      </c>
      <c r="AP124" t="str">
        <f t="shared" si="47"/>
        <v>"lot":0,</v>
      </c>
      <c r="AQ124" t="str">
        <f t="shared" si="53"/>
        <v>"name":"0",</v>
      </c>
      <c r="AR124" t="str">
        <f t="shared" si="54"/>
        <v>"team":"0",</v>
      </c>
      <c r="AS124" t="str">
        <f t="shared" si="55"/>
        <v>"year":"0",</v>
      </c>
      <c r="AT124" t="str">
        <f t="shared" si="56"/>
        <v>"division":"--",</v>
      </c>
      <c r="AU124" t="str">
        <f t="shared" si="57"/>
        <v>"bw":"0",</v>
      </c>
      <c r="AV124" t="str">
        <f t="shared" si="58"/>
        <v>"idx":"23",</v>
      </c>
      <c r="AW124" t="str">
        <f t="shared" si="59"/>
        <v>"sr":"0",</v>
      </c>
      <c r="AX124" t="str">
        <f t="shared" si="60"/>
        <v>"br":"0",</v>
      </c>
      <c r="AY124" t="str">
        <f t="shared" si="61"/>
        <v>"row":0,</v>
      </c>
      <c r="AZ124" t="s">
        <v>67</v>
      </c>
      <c r="BA124" t="str">
        <f t="shared" si="48"/>
        <v>"sq":{"a1":0,"a2":"","a3":"","s1":0,"s2":0,"s3":0},"bp":{"a1":0,"a2":"","a3":"","s1":0,"s2":0,"s3":0},"dl":{"a1":0,"a2":"","a3":"","s1":0,"s2":0,"s3":0},"sortOrder":0,"act":{}}</v>
      </c>
      <c r="BB124" t="str">
        <f t="shared" si="49"/>
        <v>"23":{"group":"A","lot":0,"name":"0","team":"0","year":"0","division":"--","bw":"0","idx":"23","sr":"0","br":"0","row":0,"sq":{"a1":0,"a2":"","a3":"","s1":0,"s2":0,"s3":0},"bp":{"a1":0,"a2":"","a3":"","s1":0,"s2":0,"s3":0},"dl":{"a1":0,"a2":"","a3":"","s1":0,"s2":0,"s3":0},"sortOrder":0,"act":{}}</v>
      </c>
    </row>
    <row r="125" spans="5:54" x14ac:dyDescent="0.25">
      <c r="E125" s="161"/>
      <c r="F125" s="118"/>
      <c r="G125" s="118"/>
      <c r="H125" s="118"/>
      <c r="I125" s="118"/>
      <c r="J125" s="118"/>
      <c r="K125" s="118"/>
      <c r="L125" s="118"/>
      <c r="M125" s="118"/>
      <c r="N125" s="118"/>
      <c r="O125" s="118"/>
      <c r="P125" s="118"/>
      <c r="Q125" s="118"/>
      <c r="R125" s="118"/>
      <c r="S125" s="118"/>
      <c r="T125" s="119"/>
      <c r="U125" s="120"/>
      <c r="V125" s="120"/>
      <c r="W125" s="121"/>
      <c r="Z125" s="15" t="str">
        <f t="shared" si="50"/>
        <v>A</v>
      </c>
      <c r="AA125" s="8">
        <f t="shared" si="39"/>
        <v>0</v>
      </c>
      <c r="AB125" s="9">
        <f t="shared" si="42"/>
        <v>0</v>
      </c>
      <c r="AC125" s="8">
        <f t="shared" si="40"/>
        <v>0</v>
      </c>
      <c r="AD125" s="8">
        <f t="shared" si="41"/>
        <v>0</v>
      </c>
      <c r="AE125" s="8" t="str">
        <f t="shared" si="43"/>
        <v>--</v>
      </c>
      <c r="AF125" s="10">
        <f t="shared" si="44"/>
        <v>0</v>
      </c>
      <c r="AG125" s="8">
        <v>23</v>
      </c>
      <c r="AH125" s="9">
        <f t="shared" si="45"/>
        <v>0</v>
      </c>
      <c r="AI125" s="11">
        <f t="shared" si="46"/>
        <v>0</v>
      </c>
      <c r="AJ125" s="6"/>
      <c r="AK125" s="6"/>
      <c r="AL125" s="6"/>
      <c r="AN125" t="str">
        <f t="shared" si="51"/>
        <v>"23":{</v>
      </c>
      <c r="AO125" t="str">
        <f t="shared" si="52"/>
        <v>"group":"A",</v>
      </c>
      <c r="AP125" t="str">
        <f t="shared" si="47"/>
        <v>"lot":0,</v>
      </c>
      <c r="AQ125" t="str">
        <f t="shared" si="53"/>
        <v>"name":"0",</v>
      </c>
      <c r="AR125" t="str">
        <f t="shared" si="54"/>
        <v>"team":"0",</v>
      </c>
      <c r="AS125" t="str">
        <f t="shared" si="55"/>
        <v>"year":"0",</v>
      </c>
      <c r="AT125" t="str">
        <f t="shared" si="56"/>
        <v>"division":"--",</v>
      </c>
      <c r="AU125" t="str">
        <f t="shared" si="57"/>
        <v>"bw":"0",</v>
      </c>
      <c r="AV125" t="str">
        <f t="shared" si="58"/>
        <v>"idx":"23",</v>
      </c>
      <c r="AW125" t="str">
        <f t="shared" si="59"/>
        <v>"sr":"0",</v>
      </c>
      <c r="AX125" t="str">
        <f t="shared" si="60"/>
        <v>"br":"0",</v>
      </c>
      <c r="AY125" t="str">
        <f t="shared" si="61"/>
        <v>"row":0,</v>
      </c>
      <c r="AZ125" t="s">
        <v>67</v>
      </c>
      <c r="BA125" t="str">
        <f t="shared" si="48"/>
        <v>"sq":{"a1":0,"a2":"","a3":"","s1":0,"s2":0,"s3":0},"bp":{"a1":0,"a2":"","a3":"","s1":0,"s2":0,"s3":0},"dl":{"a1":0,"a2":"","a3":"","s1":0,"s2":0,"s3":0},"sortOrder":0,"act":{}}</v>
      </c>
      <c r="BB125" t="str">
        <f t="shared" si="49"/>
        <v>"23":{"group":"A","lot":0,"name":"0","team":"0","year":"0","division":"--","bw":"0","idx":"23","sr":"0","br":"0","row":0,"sq":{"a1":0,"a2":"","a3":"","s1":0,"s2":0,"s3":0},"bp":{"a1":0,"a2":"","a3":"","s1":0,"s2":0,"s3":0},"dl":{"a1":0,"a2":"","a3":"","s1":0,"s2":0,"s3":0},"sortOrder":0,"act":{}}</v>
      </c>
    </row>
    <row r="126" spans="5:54" x14ac:dyDescent="0.25">
      <c r="E126" s="161"/>
      <c r="F126" s="118"/>
      <c r="G126" s="118"/>
      <c r="H126" s="118"/>
      <c r="I126" s="118"/>
      <c r="J126" s="118"/>
      <c r="K126" s="118"/>
      <c r="L126" s="118"/>
      <c r="M126" s="118"/>
      <c r="N126" s="118"/>
      <c r="O126" s="118"/>
      <c r="P126" s="118"/>
      <c r="Q126" s="118"/>
      <c r="R126" s="118"/>
      <c r="S126" s="118"/>
      <c r="T126" s="119"/>
      <c r="U126" s="120"/>
      <c r="V126" s="120"/>
      <c r="W126" s="121"/>
      <c r="Z126" s="15" t="str">
        <f t="shared" si="50"/>
        <v>A</v>
      </c>
      <c r="AA126" s="8">
        <f t="shared" si="39"/>
        <v>0</v>
      </c>
      <c r="AB126" s="9">
        <f t="shared" si="42"/>
        <v>0</v>
      </c>
      <c r="AC126" s="8">
        <f t="shared" si="40"/>
        <v>0</v>
      </c>
      <c r="AD126" s="8">
        <f t="shared" si="41"/>
        <v>0</v>
      </c>
      <c r="AE126" s="8" t="str">
        <f t="shared" si="43"/>
        <v>--</v>
      </c>
      <c r="AF126" s="10">
        <f t="shared" si="44"/>
        <v>0</v>
      </c>
      <c r="AG126" s="8">
        <v>23</v>
      </c>
      <c r="AH126" s="9">
        <f t="shared" si="45"/>
        <v>0</v>
      </c>
      <c r="AI126" s="11">
        <f t="shared" si="46"/>
        <v>0</v>
      </c>
      <c r="AJ126" s="6"/>
      <c r="AK126" s="6"/>
      <c r="AL126" s="6"/>
      <c r="AN126" t="str">
        <f t="shared" si="51"/>
        <v>"23":{</v>
      </c>
      <c r="AO126" t="str">
        <f t="shared" si="52"/>
        <v>"group":"A",</v>
      </c>
      <c r="AP126" t="str">
        <f t="shared" si="47"/>
        <v>"lot":0,</v>
      </c>
      <c r="AQ126" t="str">
        <f t="shared" si="53"/>
        <v>"name":"0",</v>
      </c>
      <c r="AR126" t="str">
        <f t="shared" si="54"/>
        <v>"team":"0",</v>
      </c>
      <c r="AS126" t="str">
        <f t="shared" si="55"/>
        <v>"year":"0",</v>
      </c>
      <c r="AT126" t="str">
        <f t="shared" si="56"/>
        <v>"division":"--",</v>
      </c>
      <c r="AU126" t="str">
        <f t="shared" si="57"/>
        <v>"bw":"0",</v>
      </c>
      <c r="AV126" t="str">
        <f t="shared" si="58"/>
        <v>"idx":"23",</v>
      </c>
      <c r="AW126" t="str">
        <f t="shared" si="59"/>
        <v>"sr":"0",</v>
      </c>
      <c r="AX126" t="str">
        <f t="shared" si="60"/>
        <v>"br":"0",</v>
      </c>
      <c r="AY126" t="str">
        <f t="shared" si="61"/>
        <v>"row":0,</v>
      </c>
      <c r="AZ126" t="s">
        <v>67</v>
      </c>
      <c r="BA126" t="str">
        <f t="shared" si="48"/>
        <v>"sq":{"a1":0,"a2":"","a3":"","s1":0,"s2":0,"s3":0},"bp":{"a1":0,"a2":"","a3":"","s1":0,"s2":0,"s3":0},"dl":{"a1":0,"a2":"","a3":"","s1":0,"s2":0,"s3":0},"sortOrder":0,"act":{}}</v>
      </c>
      <c r="BB126" t="str">
        <f t="shared" si="49"/>
        <v>"23":{"group":"A","lot":0,"name":"0","team":"0","year":"0","division":"--","bw":"0","idx":"23","sr":"0","br":"0","row":0,"sq":{"a1":0,"a2":"","a3":"","s1":0,"s2":0,"s3":0},"bp":{"a1":0,"a2":"","a3":"","s1":0,"s2":0,"s3":0},"dl":{"a1":0,"a2":"","a3":"","s1":0,"s2":0,"s3":0},"sortOrder":0,"act":{}}</v>
      </c>
    </row>
    <row r="127" spans="5:54" x14ac:dyDescent="0.25">
      <c r="E127" s="161"/>
      <c r="F127" s="118"/>
      <c r="G127" s="118"/>
      <c r="H127" s="118"/>
      <c r="I127" s="118"/>
      <c r="J127" s="118"/>
      <c r="K127" s="118"/>
      <c r="L127" s="118"/>
      <c r="M127" s="118"/>
      <c r="N127" s="118"/>
      <c r="O127" s="118"/>
      <c r="P127" s="118"/>
      <c r="Q127" s="118"/>
      <c r="R127" s="118"/>
      <c r="S127" s="118"/>
      <c r="T127" s="119"/>
      <c r="U127" s="120"/>
      <c r="V127" s="120"/>
      <c r="W127" s="121"/>
      <c r="Z127" s="15" t="str">
        <f t="shared" si="50"/>
        <v>A</v>
      </c>
      <c r="AA127" s="8">
        <f t="shared" si="39"/>
        <v>0</v>
      </c>
      <c r="AB127" s="9">
        <f t="shared" si="42"/>
        <v>0</v>
      </c>
      <c r="AC127" s="8">
        <f t="shared" si="40"/>
        <v>0</v>
      </c>
      <c r="AD127" s="8">
        <f t="shared" si="41"/>
        <v>0</v>
      </c>
      <c r="AE127" s="8" t="str">
        <f t="shared" si="43"/>
        <v>--</v>
      </c>
      <c r="AF127" s="10">
        <f t="shared" si="44"/>
        <v>0</v>
      </c>
      <c r="AG127" s="8">
        <v>23</v>
      </c>
      <c r="AH127" s="9">
        <f t="shared" si="45"/>
        <v>0</v>
      </c>
      <c r="AI127" s="11">
        <f t="shared" si="46"/>
        <v>0</v>
      </c>
      <c r="AJ127" s="6"/>
      <c r="AK127" s="6"/>
      <c r="AL127" s="6"/>
      <c r="AN127" t="str">
        <f t="shared" si="51"/>
        <v>"23":{</v>
      </c>
      <c r="AO127" t="str">
        <f t="shared" si="52"/>
        <v>"group":"A",</v>
      </c>
      <c r="AP127" t="str">
        <f t="shared" si="47"/>
        <v>"lot":0,</v>
      </c>
      <c r="AQ127" t="str">
        <f t="shared" si="53"/>
        <v>"name":"0",</v>
      </c>
      <c r="AR127" t="str">
        <f t="shared" si="54"/>
        <v>"team":"0",</v>
      </c>
      <c r="AS127" t="str">
        <f t="shared" si="55"/>
        <v>"year":"0",</v>
      </c>
      <c r="AT127" t="str">
        <f t="shared" si="56"/>
        <v>"division":"--",</v>
      </c>
      <c r="AU127" t="str">
        <f t="shared" si="57"/>
        <v>"bw":"0",</v>
      </c>
      <c r="AV127" t="str">
        <f t="shared" si="58"/>
        <v>"idx":"23",</v>
      </c>
      <c r="AW127" t="str">
        <f t="shared" si="59"/>
        <v>"sr":"0",</v>
      </c>
      <c r="AX127" t="str">
        <f t="shared" si="60"/>
        <v>"br":"0",</v>
      </c>
      <c r="AY127" t="str">
        <f t="shared" si="61"/>
        <v>"row":0,</v>
      </c>
      <c r="AZ127" t="s">
        <v>67</v>
      </c>
      <c r="BA127" t="str">
        <f t="shared" si="48"/>
        <v>"sq":{"a1":0,"a2":"","a3":"","s1":0,"s2":0,"s3":0},"bp":{"a1":0,"a2":"","a3":"","s1":0,"s2":0,"s3":0},"dl":{"a1":0,"a2":"","a3":"","s1":0,"s2":0,"s3":0},"sortOrder":0,"act":{}}</v>
      </c>
      <c r="BB127" t="str">
        <f t="shared" si="49"/>
        <v>"23":{"group":"A","lot":0,"name":"0","team":"0","year":"0","division":"--","bw":"0","idx":"23","sr":"0","br":"0","row":0,"sq":{"a1":0,"a2":"","a3":"","s1":0,"s2":0,"s3":0},"bp":{"a1":0,"a2":"","a3":"","s1":0,"s2":0,"s3":0},"dl":{"a1":0,"a2":"","a3":"","s1":0,"s2":0,"s3":0},"sortOrder":0,"act":{}}</v>
      </c>
    </row>
    <row r="128" spans="5:54" x14ac:dyDescent="0.25">
      <c r="E128" s="161"/>
      <c r="F128" s="118"/>
      <c r="G128" s="118"/>
      <c r="H128" s="118"/>
      <c r="I128" s="118"/>
      <c r="J128" s="118"/>
      <c r="K128" s="118"/>
      <c r="L128" s="118"/>
      <c r="M128" s="118"/>
      <c r="N128" s="118"/>
      <c r="O128" s="118"/>
      <c r="P128" s="118"/>
      <c r="Q128" s="118"/>
      <c r="R128" s="118"/>
      <c r="S128" s="118"/>
      <c r="T128" s="119"/>
      <c r="U128" s="120"/>
      <c r="V128" s="120"/>
      <c r="W128" s="121"/>
      <c r="Z128" s="15" t="str">
        <f t="shared" si="50"/>
        <v>A</v>
      </c>
      <c r="AA128" s="8">
        <f t="shared" si="39"/>
        <v>0</v>
      </c>
      <c r="AB128" s="9">
        <f t="shared" si="42"/>
        <v>0</v>
      </c>
      <c r="AC128" s="8">
        <f t="shared" si="40"/>
        <v>0</v>
      </c>
      <c r="AD128" s="8">
        <f t="shared" si="41"/>
        <v>0</v>
      </c>
      <c r="AE128" s="8" t="str">
        <f t="shared" si="43"/>
        <v>--</v>
      </c>
      <c r="AF128" s="10">
        <f t="shared" si="44"/>
        <v>0</v>
      </c>
      <c r="AG128" s="8">
        <v>23</v>
      </c>
      <c r="AH128" s="9">
        <f t="shared" si="45"/>
        <v>0</v>
      </c>
      <c r="AI128" s="11">
        <f t="shared" si="46"/>
        <v>0</v>
      </c>
      <c r="AJ128" s="6"/>
      <c r="AK128" s="6"/>
      <c r="AL128" s="6"/>
      <c r="AN128" t="str">
        <f t="shared" si="51"/>
        <v>"23":{</v>
      </c>
      <c r="AO128" t="str">
        <f t="shared" si="52"/>
        <v>"group":"A",</v>
      </c>
      <c r="AP128" t="str">
        <f t="shared" si="47"/>
        <v>"lot":0,</v>
      </c>
      <c r="AQ128" t="str">
        <f t="shared" si="53"/>
        <v>"name":"0",</v>
      </c>
      <c r="AR128" t="str">
        <f t="shared" si="54"/>
        <v>"team":"0",</v>
      </c>
      <c r="AS128" t="str">
        <f t="shared" si="55"/>
        <v>"year":"0",</v>
      </c>
      <c r="AT128" t="str">
        <f t="shared" si="56"/>
        <v>"division":"--",</v>
      </c>
      <c r="AU128" t="str">
        <f t="shared" si="57"/>
        <v>"bw":"0",</v>
      </c>
      <c r="AV128" t="str">
        <f t="shared" si="58"/>
        <v>"idx":"23",</v>
      </c>
      <c r="AW128" t="str">
        <f t="shared" si="59"/>
        <v>"sr":"0",</v>
      </c>
      <c r="AX128" t="str">
        <f t="shared" si="60"/>
        <v>"br":"0",</v>
      </c>
      <c r="AY128" t="str">
        <f t="shared" si="61"/>
        <v>"row":0,</v>
      </c>
      <c r="AZ128" t="s">
        <v>67</v>
      </c>
      <c r="BA128" t="str">
        <f t="shared" si="48"/>
        <v>"sq":{"a1":0,"a2":"","a3":"","s1":0,"s2":0,"s3":0},"bp":{"a1":0,"a2":"","a3":"","s1":0,"s2":0,"s3":0},"dl":{"a1":0,"a2":"","a3":"","s1":0,"s2":0,"s3":0},"sortOrder":0,"act":{}}</v>
      </c>
      <c r="BB128" t="str">
        <f t="shared" si="49"/>
        <v>"23":{"group":"A","lot":0,"name":"0","team":"0","year":"0","division":"--","bw":"0","idx":"23","sr":"0","br":"0","row":0,"sq":{"a1":0,"a2":"","a3":"","s1":0,"s2":0,"s3":0},"bp":{"a1":0,"a2":"","a3":"","s1":0,"s2":0,"s3":0},"dl":{"a1":0,"a2":"","a3":"","s1":0,"s2":0,"s3":0},"sortOrder":0,"act":{}}</v>
      </c>
    </row>
    <row r="129" spans="5:54" x14ac:dyDescent="0.25">
      <c r="E129" s="161"/>
      <c r="F129" s="118"/>
      <c r="G129" s="118"/>
      <c r="H129" s="118"/>
      <c r="I129" s="118"/>
      <c r="J129" s="118"/>
      <c r="K129" s="118"/>
      <c r="L129" s="118"/>
      <c r="M129" s="118"/>
      <c r="N129" s="118"/>
      <c r="O129" s="118"/>
      <c r="P129" s="118"/>
      <c r="Q129" s="118"/>
      <c r="R129" s="118"/>
      <c r="S129" s="118"/>
      <c r="T129" s="119"/>
      <c r="U129" s="120"/>
      <c r="V129" s="120"/>
      <c r="W129" s="121"/>
      <c r="Z129" s="15" t="str">
        <f t="shared" si="50"/>
        <v>A</v>
      </c>
      <c r="AA129" s="8">
        <f t="shared" si="39"/>
        <v>0</v>
      </c>
      <c r="AB129" s="9">
        <f t="shared" si="42"/>
        <v>0</v>
      </c>
      <c r="AC129" s="8">
        <f t="shared" si="40"/>
        <v>0</v>
      </c>
      <c r="AD129" s="8">
        <f t="shared" si="41"/>
        <v>0</v>
      </c>
      <c r="AE129" s="8" t="str">
        <f t="shared" si="43"/>
        <v>--</v>
      </c>
      <c r="AF129" s="10">
        <f t="shared" si="44"/>
        <v>0</v>
      </c>
      <c r="AG129" s="8">
        <v>23</v>
      </c>
      <c r="AH129" s="9">
        <f t="shared" si="45"/>
        <v>0</v>
      </c>
      <c r="AI129" s="11">
        <f t="shared" si="46"/>
        <v>0</v>
      </c>
      <c r="AJ129" s="6"/>
      <c r="AK129" s="6"/>
      <c r="AL129" s="6"/>
      <c r="AN129" t="str">
        <f t="shared" si="51"/>
        <v>"23":{</v>
      </c>
      <c r="AO129" t="str">
        <f t="shared" si="52"/>
        <v>"group":"A",</v>
      </c>
      <c r="AP129" t="str">
        <f t="shared" si="47"/>
        <v>"lot":0,</v>
      </c>
      <c r="AQ129" t="str">
        <f t="shared" si="53"/>
        <v>"name":"0",</v>
      </c>
      <c r="AR129" t="str">
        <f t="shared" si="54"/>
        <v>"team":"0",</v>
      </c>
      <c r="AS129" t="str">
        <f t="shared" si="55"/>
        <v>"year":"0",</v>
      </c>
      <c r="AT129" t="str">
        <f t="shared" si="56"/>
        <v>"division":"--",</v>
      </c>
      <c r="AU129" t="str">
        <f t="shared" si="57"/>
        <v>"bw":"0",</v>
      </c>
      <c r="AV129" t="str">
        <f t="shared" si="58"/>
        <v>"idx":"23",</v>
      </c>
      <c r="AW129" t="str">
        <f t="shared" si="59"/>
        <v>"sr":"0",</v>
      </c>
      <c r="AX129" t="str">
        <f t="shared" si="60"/>
        <v>"br":"0",</v>
      </c>
      <c r="AY129" t="str">
        <f t="shared" si="61"/>
        <v>"row":0,</v>
      </c>
      <c r="AZ129" t="s">
        <v>67</v>
      </c>
      <c r="BA129" t="str">
        <f t="shared" si="48"/>
        <v>"sq":{"a1":0,"a2":"","a3":"","s1":0,"s2":0,"s3":0},"bp":{"a1":0,"a2":"","a3":"","s1":0,"s2":0,"s3":0},"dl":{"a1":0,"a2":"","a3":"","s1":0,"s2":0,"s3":0},"sortOrder":0,"act":{}}</v>
      </c>
      <c r="BB129" t="str">
        <f t="shared" si="49"/>
        <v>"23":{"group":"A","lot":0,"name":"0","team":"0","year":"0","division":"--","bw":"0","idx":"23","sr":"0","br":"0","row":0,"sq":{"a1":0,"a2":"","a3":"","s1":0,"s2":0,"s3":0},"bp":{"a1":0,"a2":"","a3":"","s1":0,"s2":0,"s3":0},"dl":{"a1":0,"a2":"","a3":"","s1":0,"s2":0,"s3":0},"sortOrder":0,"act":{}}</v>
      </c>
    </row>
    <row r="130" spans="5:54" x14ac:dyDescent="0.25">
      <c r="E130" s="161"/>
      <c r="F130" s="118"/>
      <c r="G130" s="118"/>
      <c r="H130" s="118"/>
      <c r="I130" s="118"/>
      <c r="J130" s="118"/>
      <c r="K130" s="118"/>
      <c r="L130" s="118"/>
      <c r="M130" s="118"/>
      <c r="N130" s="118"/>
      <c r="O130" s="118"/>
      <c r="P130" s="118"/>
      <c r="Q130" s="118"/>
      <c r="R130" s="118"/>
      <c r="S130" s="118"/>
      <c r="T130" s="119"/>
      <c r="U130" s="120"/>
      <c r="V130" s="120"/>
      <c r="W130" s="121"/>
      <c r="Z130" s="15" t="str">
        <f t="shared" si="50"/>
        <v>A</v>
      </c>
      <c r="AA130" s="8">
        <f t="shared" si="39"/>
        <v>0</v>
      </c>
      <c r="AB130" s="9">
        <f t="shared" si="42"/>
        <v>0</v>
      </c>
      <c r="AC130" s="8">
        <f t="shared" si="40"/>
        <v>0</v>
      </c>
      <c r="AD130" s="8">
        <f t="shared" si="41"/>
        <v>0</v>
      </c>
      <c r="AE130" s="8" t="str">
        <f t="shared" si="43"/>
        <v>--</v>
      </c>
      <c r="AF130" s="10">
        <f t="shared" si="44"/>
        <v>0</v>
      </c>
      <c r="AG130" s="8">
        <v>23</v>
      </c>
      <c r="AH130" s="9">
        <f t="shared" si="45"/>
        <v>0</v>
      </c>
      <c r="AI130" s="11">
        <f t="shared" si="46"/>
        <v>0</v>
      </c>
      <c r="AJ130" s="6"/>
      <c r="AK130" s="6"/>
      <c r="AL130" s="6"/>
      <c r="AN130" t="str">
        <f t="shared" si="51"/>
        <v>"23":{</v>
      </c>
      <c r="AO130" t="str">
        <f t="shared" si="52"/>
        <v>"group":"A",</v>
      </c>
      <c r="AP130" t="str">
        <f t="shared" si="47"/>
        <v>"lot":0,</v>
      </c>
      <c r="AQ130" t="str">
        <f t="shared" si="53"/>
        <v>"name":"0",</v>
      </c>
      <c r="AR130" t="str">
        <f t="shared" si="54"/>
        <v>"team":"0",</v>
      </c>
      <c r="AS130" t="str">
        <f t="shared" si="55"/>
        <v>"year":"0",</v>
      </c>
      <c r="AT130" t="str">
        <f t="shared" si="56"/>
        <v>"division":"--",</v>
      </c>
      <c r="AU130" t="str">
        <f t="shared" si="57"/>
        <v>"bw":"0",</v>
      </c>
      <c r="AV130" t="str">
        <f t="shared" si="58"/>
        <v>"idx":"23",</v>
      </c>
      <c r="AW130" t="str">
        <f t="shared" si="59"/>
        <v>"sr":"0",</v>
      </c>
      <c r="AX130" t="str">
        <f t="shared" si="60"/>
        <v>"br":"0",</v>
      </c>
      <c r="AY130" t="str">
        <f t="shared" si="61"/>
        <v>"row":0,</v>
      </c>
      <c r="AZ130" t="s">
        <v>67</v>
      </c>
      <c r="BA130" t="str">
        <f t="shared" si="48"/>
        <v>"sq":{"a1":0,"a2":"","a3":"","s1":0,"s2":0,"s3":0},"bp":{"a1":0,"a2":"","a3":"","s1":0,"s2":0,"s3":0},"dl":{"a1":0,"a2":"","a3":"","s1":0,"s2":0,"s3":0},"sortOrder":0,"act":{}}</v>
      </c>
      <c r="BB130" t="str">
        <f t="shared" si="49"/>
        <v>"23":{"group":"A","lot":0,"name":"0","team":"0","year":"0","division":"--","bw":"0","idx":"23","sr":"0","br":"0","row":0,"sq":{"a1":0,"a2":"","a3":"","s1":0,"s2":0,"s3":0},"bp":{"a1":0,"a2":"","a3":"","s1":0,"s2":0,"s3":0},"dl":{"a1":0,"a2":"","a3":"","s1":0,"s2":0,"s3":0},"sortOrder":0,"act":{}}</v>
      </c>
    </row>
    <row r="131" spans="5:54" x14ac:dyDescent="0.25">
      <c r="E131" s="162"/>
      <c r="F131" s="122"/>
      <c r="G131" s="122"/>
      <c r="H131" s="122"/>
      <c r="I131" s="122"/>
      <c r="J131" s="122"/>
      <c r="K131" s="122"/>
      <c r="L131" s="122"/>
      <c r="M131" s="122"/>
      <c r="N131" s="122"/>
      <c r="O131" s="122"/>
      <c r="P131" s="122"/>
      <c r="Q131" s="122"/>
      <c r="R131" s="122"/>
      <c r="S131" s="122"/>
      <c r="T131" s="123"/>
      <c r="U131" s="124"/>
      <c r="V131" s="124"/>
      <c r="W131" s="125"/>
      <c r="Z131" s="15" t="str">
        <f t="shared" si="50"/>
        <v>A</v>
      </c>
      <c r="AA131" s="8">
        <f t="shared" si="39"/>
        <v>0</v>
      </c>
      <c r="AB131" s="9">
        <f t="shared" si="42"/>
        <v>0</v>
      </c>
      <c r="AC131" s="8">
        <f t="shared" si="40"/>
        <v>0</v>
      </c>
      <c r="AD131" s="8">
        <f t="shared" si="41"/>
        <v>0</v>
      </c>
      <c r="AE131" s="8" t="str">
        <f t="shared" si="43"/>
        <v>--</v>
      </c>
      <c r="AF131" s="10">
        <f t="shared" si="44"/>
        <v>0</v>
      </c>
      <c r="AG131" s="8">
        <v>23</v>
      </c>
      <c r="AH131" s="9">
        <f t="shared" si="45"/>
        <v>0</v>
      </c>
      <c r="AI131" s="11">
        <f t="shared" si="46"/>
        <v>0</v>
      </c>
      <c r="AJ131" s="6"/>
      <c r="AK131" s="6"/>
      <c r="AL131" s="6"/>
      <c r="AN131" t="str">
        <f t="shared" si="51"/>
        <v>"23":{</v>
      </c>
      <c r="AO131" t="str">
        <f t="shared" si="52"/>
        <v>"group":"A",</v>
      </c>
      <c r="AP131" t="str">
        <f t="shared" si="47"/>
        <v>"lot":0,</v>
      </c>
      <c r="AQ131" t="str">
        <f t="shared" si="53"/>
        <v>"name":"0",</v>
      </c>
      <c r="AR131" t="str">
        <f t="shared" si="54"/>
        <v>"team":"0",</v>
      </c>
      <c r="AS131" t="str">
        <f t="shared" si="55"/>
        <v>"year":"0",</v>
      </c>
      <c r="AT131" t="str">
        <f t="shared" si="56"/>
        <v>"division":"--",</v>
      </c>
      <c r="AU131" t="str">
        <f t="shared" si="57"/>
        <v>"bw":"0",</v>
      </c>
      <c r="AV131" t="str">
        <f t="shared" si="58"/>
        <v>"idx":"23",</v>
      </c>
      <c r="AW131" t="str">
        <f t="shared" si="59"/>
        <v>"sr":"0",</v>
      </c>
      <c r="AX131" t="str">
        <f t="shared" si="60"/>
        <v>"br":"0",</v>
      </c>
      <c r="AY131" t="str">
        <f t="shared" si="61"/>
        <v>"row":0,</v>
      </c>
      <c r="AZ131" t="s">
        <v>67</v>
      </c>
      <c r="BA131" t="str">
        <f t="shared" si="48"/>
        <v>"sq":{"a1":0,"a2":"","a3":"","s1":0,"s2":0,"s3":0},"bp":{"a1":0,"a2":"","a3":"","s1":0,"s2":0,"s3":0},"dl":{"a1":0,"a2":"","a3":"","s1":0,"s2":0,"s3":0},"sortOrder":0,"act":{}}</v>
      </c>
      <c r="BB131" t="str">
        <f t="shared" si="49"/>
        <v>"23":{"group":"A","lot":0,"name":"0","team":"0","year":"0","division":"--","bw":"0","idx":"23","sr":"0","br":"0","row":0,"sq":{"a1":0,"a2":"","a3":"","s1":0,"s2":0,"s3":0},"bp":{"a1":0,"a2":"","a3":"","s1":0,"s2":0,"s3":0},"dl":{"a1":0,"a2":"","a3":"","s1":0,"s2":0,"s3":0},"sortOrder":0,"act":{}}</v>
      </c>
    </row>
    <row r="132" spans="5:54" x14ac:dyDescent="0.25">
      <c r="E132" s="162"/>
      <c r="F132" s="122"/>
      <c r="G132" s="122"/>
      <c r="H132" s="122"/>
      <c r="I132" s="122"/>
      <c r="J132" s="122"/>
      <c r="K132" s="122"/>
      <c r="L132" s="122"/>
      <c r="M132" s="122"/>
      <c r="N132" s="122"/>
      <c r="O132" s="122"/>
      <c r="P132" s="122"/>
      <c r="Q132" s="122"/>
      <c r="R132" s="122"/>
      <c r="S132" s="122"/>
      <c r="T132" s="123"/>
      <c r="U132" s="124"/>
      <c r="V132" s="124"/>
      <c r="W132" s="125"/>
      <c r="Z132" s="15" t="str">
        <f t="shared" si="50"/>
        <v>A</v>
      </c>
      <c r="AA132" s="8">
        <f t="shared" ref="AA132:AA195" si="62">G132</f>
        <v>0</v>
      </c>
      <c r="AB132" s="9">
        <f t="shared" si="42"/>
        <v>0</v>
      </c>
      <c r="AC132" s="8">
        <f t="shared" ref="AC132:AC195" si="63">J132</f>
        <v>0</v>
      </c>
      <c r="AD132" s="8">
        <f t="shared" ref="AD132:AD195" si="64">K132</f>
        <v>0</v>
      </c>
      <c r="AE132" s="8" t="str">
        <f t="shared" si="43"/>
        <v>--</v>
      </c>
      <c r="AF132" s="10">
        <f t="shared" si="44"/>
        <v>0</v>
      </c>
      <c r="AG132" s="8">
        <v>23</v>
      </c>
      <c r="AH132" s="9">
        <f t="shared" si="45"/>
        <v>0</v>
      </c>
      <c r="AI132" s="11">
        <f t="shared" si="46"/>
        <v>0</v>
      </c>
      <c r="AJ132" s="6"/>
      <c r="AK132" s="6"/>
      <c r="AL132" s="6"/>
      <c r="AN132" t="str">
        <f t="shared" si="51"/>
        <v>"23":{</v>
      </c>
      <c r="AO132" t="str">
        <f t="shared" si="52"/>
        <v>"group":"A",</v>
      </c>
      <c r="AP132" t="str">
        <f t="shared" si="47"/>
        <v>"lot":0,</v>
      </c>
      <c r="AQ132" t="str">
        <f t="shared" si="53"/>
        <v>"name":"0",</v>
      </c>
      <c r="AR132" t="str">
        <f t="shared" si="54"/>
        <v>"team":"0",</v>
      </c>
      <c r="AS132" t="str">
        <f t="shared" si="55"/>
        <v>"year":"0",</v>
      </c>
      <c r="AT132" t="str">
        <f t="shared" si="56"/>
        <v>"division":"--",</v>
      </c>
      <c r="AU132" t="str">
        <f t="shared" si="57"/>
        <v>"bw":"0",</v>
      </c>
      <c r="AV132" t="str">
        <f t="shared" si="58"/>
        <v>"idx":"23",</v>
      </c>
      <c r="AW132" t="str">
        <f t="shared" si="59"/>
        <v>"sr":"0",</v>
      </c>
      <c r="AX132" t="str">
        <f t="shared" si="60"/>
        <v>"br":"0",</v>
      </c>
      <c r="AY132" t="str">
        <f t="shared" si="61"/>
        <v>"row":0,</v>
      </c>
      <c r="AZ132" t="s">
        <v>67</v>
      </c>
      <c r="BA132" t="str">
        <f t="shared" si="48"/>
        <v>"sq":{"a1":0,"a2":"","a3":"","s1":0,"s2":0,"s3":0},"bp":{"a1":0,"a2":"","a3":"","s1":0,"s2":0,"s3":0},"dl":{"a1":0,"a2":"","a3":"","s1":0,"s2":0,"s3":0},"sortOrder":0,"act":{}}</v>
      </c>
      <c r="BB132" t="str">
        <f t="shared" si="49"/>
        <v>"23":{"group":"A","lot":0,"name":"0","team":"0","year":"0","division":"--","bw":"0","idx":"23","sr":"0","br":"0","row":0,"sq":{"a1":0,"a2":"","a3":"","s1":0,"s2":0,"s3":0},"bp":{"a1":0,"a2":"","a3":"","s1":0,"s2":0,"s3":0},"dl":{"a1":0,"a2":"","a3":"","s1":0,"s2":0,"s3":0},"sortOrder":0,"act":{}}</v>
      </c>
    </row>
    <row r="133" spans="5:54" x14ac:dyDescent="0.25">
      <c r="E133" s="162"/>
      <c r="F133" s="122"/>
      <c r="G133" s="122"/>
      <c r="H133" s="122"/>
      <c r="I133" s="122"/>
      <c r="J133" s="122"/>
      <c r="K133" s="122"/>
      <c r="L133" s="122"/>
      <c r="M133" s="122"/>
      <c r="N133" s="122"/>
      <c r="O133" s="122"/>
      <c r="P133" s="122"/>
      <c r="Q133" s="122"/>
      <c r="R133" s="122"/>
      <c r="S133" s="122"/>
      <c r="T133" s="123"/>
      <c r="U133" s="124"/>
      <c r="V133" s="124"/>
      <c r="W133" s="125"/>
      <c r="Z133" s="15" t="str">
        <f t="shared" si="50"/>
        <v>A</v>
      </c>
      <c r="AA133" s="8">
        <f t="shared" si="62"/>
        <v>0</v>
      </c>
      <c r="AB133" s="9">
        <f t="shared" ref="AB133:AB196" si="65">IF(ISBLANK(H133),I133,H133&amp;" " &amp;I133)</f>
        <v>0</v>
      </c>
      <c r="AC133" s="8">
        <f t="shared" si="63"/>
        <v>0</v>
      </c>
      <c r="AD133" s="8">
        <f t="shared" si="64"/>
        <v>0</v>
      </c>
      <c r="AE133" s="8" t="str">
        <f t="shared" ref="AE133:AE196" si="66">LEFT(N133,1)&amp;"-"&amp;L133&amp;"-"&amp;M133</f>
        <v>--</v>
      </c>
      <c r="AF133" s="10">
        <f t="shared" ref="AF133:AF196" si="67">R133</f>
        <v>0</v>
      </c>
      <c r="AG133" s="8">
        <v>23</v>
      </c>
      <c r="AH133" s="9">
        <f t="shared" ref="AH133:AH196" si="68">S133</f>
        <v>0</v>
      </c>
      <c r="AI133" s="11">
        <f t="shared" ref="AI133:AI196" si="69">T133</f>
        <v>0</v>
      </c>
      <c r="AJ133" s="6"/>
      <c r="AK133" s="6"/>
      <c r="AL133" s="6"/>
      <c r="AN133" t="str">
        <f t="shared" si="51"/>
        <v>"23":{</v>
      </c>
      <c r="AO133" t="str">
        <f t="shared" si="52"/>
        <v>"group":"A",</v>
      </c>
      <c r="AP133" t="str">
        <f t="shared" ref="AP133:AP196" si="70">AA$3&amp;":"&amp;AA133&amp;","</f>
        <v>"lot":0,</v>
      </c>
      <c r="AQ133" t="str">
        <f t="shared" si="53"/>
        <v>"name":"0",</v>
      </c>
      <c r="AR133" t="str">
        <f t="shared" si="54"/>
        <v>"team":"0",</v>
      </c>
      <c r="AS133" t="str">
        <f t="shared" si="55"/>
        <v>"year":"0",</v>
      </c>
      <c r="AT133" t="str">
        <f t="shared" si="56"/>
        <v>"division":"--",</v>
      </c>
      <c r="AU133" t="str">
        <f t="shared" si="57"/>
        <v>"bw":"0",</v>
      </c>
      <c r="AV133" t="str">
        <f t="shared" si="58"/>
        <v>"idx":"23",</v>
      </c>
      <c r="AW133" t="str">
        <f t="shared" si="59"/>
        <v>"sr":"0",</v>
      </c>
      <c r="AX133" t="str">
        <f t="shared" si="60"/>
        <v>"br":"0",</v>
      </c>
      <c r="AY133" t="str">
        <f t="shared" si="61"/>
        <v>"row":0,</v>
      </c>
      <c r="AZ133" t="s">
        <v>67</v>
      </c>
      <c r="BA133" t="str">
        <f t="shared" ref="BA133:BA196" si="71">SUBSTITUTE(SUBSTITUTE(SUBSTITUTE(AZ133,"999.5",IF(ISBLANK(U133),"0",U133)),"888.5",IF(ISBLANK(V133),"0",V133)),"555.5",IF(ISBLANK(W133),"0",W133))</f>
        <v>"sq":{"a1":0,"a2":"","a3":"","s1":0,"s2":0,"s3":0},"bp":{"a1":0,"a2":"","a3":"","s1":0,"s2":0,"s3":0},"dl":{"a1":0,"a2":"","a3":"","s1":0,"s2":0,"s3":0},"sortOrder":0,"act":{}}</v>
      </c>
      <c r="BB133" t="str">
        <f t="shared" ref="BB133:BB196" si="72">AN133&amp;AO133&amp;AP133&amp;AQ133&amp;AR133&amp;AS133&amp;AT133&amp;AU133&amp;AV133&amp;AW133&amp;AX133&amp;AY133&amp;BA133</f>
        <v>"23":{"group":"A","lot":0,"name":"0","team":"0","year":"0","division":"--","bw":"0","idx":"23","sr":"0","br":"0","row":0,"sq":{"a1":0,"a2":"","a3":"","s1":0,"s2":0,"s3":0},"bp":{"a1":0,"a2":"","a3":"","s1":0,"s2":0,"s3":0},"dl":{"a1":0,"a2":"","a3":"","s1":0,"s2":0,"s3":0},"sortOrder":0,"act":{}}</v>
      </c>
    </row>
    <row r="134" spans="5:54" x14ac:dyDescent="0.25">
      <c r="E134" s="162"/>
      <c r="F134" s="122"/>
      <c r="G134" s="122"/>
      <c r="H134" s="122"/>
      <c r="I134" s="122"/>
      <c r="J134" s="122"/>
      <c r="K134" s="122"/>
      <c r="L134" s="122"/>
      <c r="M134" s="122"/>
      <c r="N134" s="122"/>
      <c r="O134" s="122"/>
      <c r="P134" s="122"/>
      <c r="Q134" s="122"/>
      <c r="R134" s="122"/>
      <c r="S134" s="122"/>
      <c r="T134" s="123"/>
      <c r="U134" s="124"/>
      <c r="V134" s="124"/>
      <c r="W134" s="125"/>
      <c r="Z134" s="15" t="str">
        <f t="shared" si="50"/>
        <v>A</v>
      </c>
      <c r="AA134" s="8">
        <f t="shared" si="62"/>
        <v>0</v>
      </c>
      <c r="AB134" s="9">
        <f t="shared" si="65"/>
        <v>0</v>
      </c>
      <c r="AC134" s="8">
        <f t="shared" si="63"/>
        <v>0</v>
      </c>
      <c r="AD134" s="8">
        <f t="shared" si="64"/>
        <v>0</v>
      </c>
      <c r="AE134" s="8" t="str">
        <f t="shared" si="66"/>
        <v>--</v>
      </c>
      <c r="AF134" s="10">
        <f t="shared" si="67"/>
        <v>0</v>
      </c>
      <c r="AG134" s="8">
        <v>23</v>
      </c>
      <c r="AH134" s="9">
        <f t="shared" si="68"/>
        <v>0</v>
      </c>
      <c r="AI134" s="11">
        <f t="shared" si="69"/>
        <v>0</v>
      </c>
      <c r="AJ134" s="6"/>
      <c r="AK134" s="6"/>
      <c r="AL134" s="6"/>
      <c r="AN134" t="str">
        <f t="shared" si="51"/>
        <v>"23":{</v>
      </c>
      <c r="AO134" t="str">
        <f t="shared" si="52"/>
        <v>"group":"A",</v>
      </c>
      <c r="AP134" t="str">
        <f t="shared" si="70"/>
        <v>"lot":0,</v>
      </c>
      <c r="AQ134" t="str">
        <f t="shared" si="53"/>
        <v>"name":"0",</v>
      </c>
      <c r="AR134" t="str">
        <f t="shared" si="54"/>
        <v>"team":"0",</v>
      </c>
      <c r="AS134" t="str">
        <f t="shared" si="55"/>
        <v>"year":"0",</v>
      </c>
      <c r="AT134" t="str">
        <f t="shared" si="56"/>
        <v>"division":"--",</v>
      </c>
      <c r="AU134" t="str">
        <f t="shared" si="57"/>
        <v>"bw":"0",</v>
      </c>
      <c r="AV134" t="str">
        <f t="shared" si="58"/>
        <v>"idx":"23",</v>
      </c>
      <c r="AW134" t="str">
        <f t="shared" si="59"/>
        <v>"sr":"0",</v>
      </c>
      <c r="AX134" t="str">
        <f t="shared" si="60"/>
        <v>"br":"0",</v>
      </c>
      <c r="AY134" t="str">
        <f t="shared" si="61"/>
        <v>"row":0,</v>
      </c>
      <c r="AZ134" t="s">
        <v>67</v>
      </c>
      <c r="BA134" t="str">
        <f t="shared" si="71"/>
        <v>"sq":{"a1":0,"a2":"","a3":"","s1":0,"s2":0,"s3":0},"bp":{"a1":0,"a2":"","a3":"","s1":0,"s2":0,"s3":0},"dl":{"a1":0,"a2":"","a3":"","s1":0,"s2":0,"s3":0},"sortOrder":0,"act":{}}</v>
      </c>
      <c r="BB134" t="str">
        <f t="shared" si="72"/>
        <v>"23":{"group":"A","lot":0,"name":"0","team":"0","year":"0","division":"--","bw":"0","idx":"23","sr":"0","br":"0","row":0,"sq":{"a1":0,"a2":"","a3":"","s1":0,"s2":0,"s3":0},"bp":{"a1":0,"a2":"","a3":"","s1":0,"s2":0,"s3":0},"dl":{"a1":0,"a2":"","a3":"","s1":0,"s2":0,"s3":0},"sortOrder":0,"act":{}}</v>
      </c>
    </row>
    <row r="135" spans="5:54" x14ac:dyDescent="0.25">
      <c r="E135" s="162"/>
      <c r="F135" s="122"/>
      <c r="G135" s="122"/>
      <c r="H135" s="122"/>
      <c r="I135" s="122"/>
      <c r="J135" s="122"/>
      <c r="K135" s="122"/>
      <c r="L135" s="122"/>
      <c r="M135" s="122"/>
      <c r="N135" s="122"/>
      <c r="O135" s="122"/>
      <c r="P135" s="122"/>
      <c r="Q135" s="122"/>
      <c r="R135" s="122"/>
      <c r="S135" s="122"/>
      <c r="T135" s="123"/>
      <c r="U135" s="124"/>
      <c r="V135" s="124"/>
      <c r="W135" s="125"/>
      <c r="Z135" s="15" t="str">
        <f t="shared" si="50"/>
        <v>A</v>
      </c>
      <c r="AA135" s="8">
        <f t="shared" si="62"/>
        <v>0</v>
      </c>
      <c r="AB135" s="9">
        <f t="shared" si="65"/>
        <v>0</v>
      </c>
      <c r="AC135" s="8">
        <f t="shared" si="63"/>
        <v>0</v>
      </c>
      <c r="AD135" s="8">
        <f t="shared" si="64"/>
        <v>0</v>
      </c>
      <c r="AE135" s="8" t="str">
        <f t="shared" si="66"/>
        <v>--</v>
      </c>
      <c r="AF135" s="10">
        <f t="shared" si="67"/>
        <v>0</v>
      </c>
      <c r="AG135" s="8">
        <v>23</v>
      </c>
      <c r="AH135" s="9">
        <f t="shared" si="68"/>
        <v>0</v>
      </c>
      <c r="AI135" s="11">
        <f t="shared" si="69"/>
        <v>0</v>
      </c>
      <c r="AJ135" s="6"/>
      <c r="AK135" s="6"/>
      <c r="AL135" s="6"/>
      <c r="AN135" t="str">
        <f t="shared" si="51"/>
        <v>"23":{</v>
      </c>
      <c r="AO135" t="str">
        <f t="shared" si="52"/>
        <v>"group":"A",</v>
      </c>
      <c r="AP135" t="str">
        <f t="shared" si="70"/>
        <v>"lot":0,</v>
      </c>
      <c r="AQ135" t="str">
        <f t="shared" si="53"/>
        <v>"name":"0",</v>
      </c>
      <c r="AR135" t="str">
        <f t="shared" si="54"/>
        <v>"team":"0",</v>
      </c>
      <c r="AS135" t="str">
        <f t="shared" si="55"/>
        <v>"year":"0",</v>
      </c>
      <c r="AT135" t="str">
        <f t="shared" si="56"/>
        <v>"division":"--",</v>
      </c>
      <c r="AU135" t="str">
        <f t="shared" si="57"/>
        <v>"bw":"0",</v>
      </c>
      <c r="AV135" t="str">
        <f t="shared" si="58"/>
        <v>"idx":"23",</v>
      </c>
      <c r="AW135" t="str">
        <f t="shared" si="59"/>
        <v>"sr":"0",</v>
      </c>
      <c r="AX135" t="str">
        <f t="shared" si="60"/>
        <v>"br":"0",</v>
      </c>
      <c r="AY135" t="str">
        <f t="shared" si="61"/>
        <v>"row":0,</v>
      </c>
      <c r="AZ135" t="s">
        <v>67</v>
      </c>
      <c r="BA135" t="str">
        <f t="shared" si="71"/>
        <v>"sq":{"a1":0,"a2":"","a3":"","s1":0,"s2":0,"s3":0},"bp":{"a1":0,"a2":"","a3":"","s1":0,"s2":0,"s3":0},"dl":{"a1":0,"a2":"","a3":"","s1":0,"s2":0,"s3":0},"sortOrder":0,"act":{}}</v>
      </c>
      <c r="BB135" t="str">
        <f t="shared" si="72"/>
        <v>"23":{"group":"A","lot":0,"name":"0","team":"0","year":"0","division":"--","bw":"0","idx":"23","sr":"0","br":"0","row":0,"sq":{"a1":0,"a2":"","a3":"","s1":0,"s2":0,"s3":0},"bp":{"a1":0,"a2":"","a3":"","s1":0,"s2":0,"s3":0},"dl":{"a1":0,"a2":"","a3":"","s1":0,"s2":0,"s3":0},"sortOrder":0,"act":{}}</v>
      </c>
    </row>
    <row r="136" spans="5:54" x14ac:dyDescent="0.25">
      <c r="E136" s="162"/>
      <c r="F136" s="122"/>
      <c r="G136" s="122"/>
      <c r="H136" s="122"/>
      <c r="I136" s="122"/>
      <c r="J136" s="122"/>
      <c r="K136" s="122"/>
      <c r="L136" s="122"/>
      <c r="M136" s="122"/>
      <c r="N136" s="122"/>
      <c r="O136" s="122"/>
      <c r="P136" s="122"/>
      <c r="Q136" s="122"/>
      <c r="R136" s="122"/>
      <c r="S136" s="122"/>
      <c r="T136" s="123"/>
      <c r="U136" s="124"/>
      <c r="V136" s="124"/>
      <c r="W136" s="125"/>
      <c r="Z136" s="15" t="str">
        <f t="shared" si="50"/>
        <v>A</v>
      </c>
      <c r="AA136" s="8">
        <f t="shared" si="62"/>
        <v>0</v>
      </c>
      <c r="AB136" s="9">
        <f t="shared" si="65"/>
        <v>0</v>
      </c>
      <c r="AC136" s="8">
        <f t="shared" si="63"/>
        <v>0</v>
      </c>
      <c r="AD136" s="8">
        <f t="shared" si="64"/>
        <v>0</v>
      </c>
      <c r="AE136" s="8" t="str">
        <f t="shared" si="66"/>
        <v>--</v>
      </c>
      <c r="AF136" s="10">
        <f t="shared" si="67"/>
        <v>0</v>
      </c>
      <c r="AG136" s="8">
        <v>23</v>
      </c>
      <c r="AH136" s="9">
        <f t="shared" si="68"/>
        <v>0</v>
      </c>
      <c r="AI136" s="11">
        <f t="shared" si="69"/>
        <v>0</v>
      </c>
      <c r="AJ136" s="6"/>
      <c r="AK136" s="6"/>
      <c r="AL136" s="6"/>
      <c r="AN136" t="str">
        <f t="shared" si="51"/>
        <v>"23":{</v>
      </c>
      <c r="AO136" t="str">
        <f t="shared" si="52"/>
        <v>"group":"A",</v>
      </c>
      <c r="AP136" t="str">
        <f t="shared" si="70"/>
        <v>"lot":0,</v>
      </c>
      <c r="AQ136" t="str">
        <f t="shared" si="53"/>
        <v>"name":"0",</v>
      </c>
      <c r="AR136" t="str">
        <f t="shared" si="54"/>
        <v>"team":"0",</v>
      </c>
      <c r="AS136" t="str">
        <f t="shared" si="55"/>
        <v>"year":"0",</v>
      </c>
      <c r="AT136" t="str">
        <f t="shared" si="56"/>
        <v>"division":"--",</v>
      </c>
      <c r="AU136" t="str">
        <f t="shared" si="57"/>
        <v>"bw":"0",</v>
      </c>
      <c r="AV136" t="str">
        <f t="shared" si="58"/>
        <v>"idx":"23",</v>
      </c>
      <c r="AW136" t="str">
        <f t="shared" si="59"/>
        <v>"sr":"0",</v>
      </c>
      <c r="AX136" t="str">
        <f t="shared" si="60"/>
        <v>"br":"0",</v>
      </c>
      <c r="AY136" t="str">
        <f t="shared" si="61"/>
        <v>"row":0,</v>
      </c>
      <c r="AZ136" t="s">
        <v>67</v>
      </c>
      <c r="BA136" t="str">
        <f t="shared" si="71"/>
        <v>"sq":{"a1":0,"a2":"","a3":"","s1":0,"s2":0,"s3":0},"bp":{"a1":0,"a2":"","a3":"","s1":0,"s2":0,"s3":0},"dl":{"a1":0,"a2":"","a3":"","s1":0,"s2":0,"s3":0},"sortOrder":0,"act":{}}</v>
      </c>
      <c r="BB136" t="str">
        <f t="shared" si="72"/>
        <v>"23":{"group":"A","lot":0,"name":"0","team":"0","year":"0","division":"--","bw":"0","idx":"23","sr":"0","br":"0","row":0,"sq":{"a1":0,"a2":"","a3":"","s1":0,"s2":0,"s3":0},"bp":{"a1":0,"a2":"","a3":"","s1":0,"s2":0,"s3":0},"dl":{"a1":0,"a2":"","a3":"","s1":0,"s2":0,"s3":0},"sortOrder":0,"act":{}}</v>
      </c>
    </row>
    <row r="137" spans="5:54" x14ac:dyDescent="0.25">
      <c r="E137" s="162"/>
      <c r="F137" s="122"/>
      <c r="G137" s="122"/>
      <c r="H137" s="122"/>
      <c r="I137" s="122"/>
      <c r="J137" s="122"/>
      <c r="K137" s="122"/>
      <c r="L137" s="122"/>
      <c r="M137" s="122"/>
      <c r="N137" s="122"/>
      <c r="O137" s="122"/>
      <c r="P137" s="122"/>
      <c r="Q137" s="122"/>
      <c r="R137" s="122"/>
      <c r="S137" s="122"/>
      <c r="T137" s="123"/>
      <c r="U137" s="124"/>
      <c r="V137" s="124"/>
      <c r="W137" s="125"/>
      <c r="Z137" s="15" t="str">
        <f t="shared" si="50"/>
        <v>A</v>
      </c>
      <c r="AA137" s="8">
        <f t="shared" si="62"/>
        <v>0</v>
      </c>
      <c r="AB137" s="9">
        <f t="shared" si="65"/>
        <v>0</v>
      </c>
      <c r="AC137" s="8">
        <f t="shared" si="63"/>
        <v>0</v>
      </c>
      <c r="AD137" s="8">
        <f t="shared" si="64"/>
        <v>0</v>
      </c>
      <c r="AE137" s="8" t="str">
        <f t="shared" si="66"/>
        <v>--</v>
      </c>
      <c r="AF137" s="10">
        <f t="shared" si="67"/>
        <v>0</v>
      </c>
      <c r="AG137" s="8">
        <v>23</v>
      </c>
      <c r="AH137" s="9">
        <f t="shared" si="68"/>
        <v>0</v>
      </c>
      <c r="AI137" s="11">
        <f t="shared" si="69"/>
        <v>0</v>
      </c>
      <c r="AJ137" s="6"/>
      <c r="AK137" s="6"/>
      <c r="AL137" s="6"/>
      <c r="AN137" t="str">
        <f t="shared" si="51"/>
        <v>"23":{</v>
      </c>
      <c r="AO137" t="str">
        <f t="shared" si="52"/>
        <v>"group":"A",</v>
      </c>
      <c r="AP137" t="str">
        <f t="shared" si="70"/>
        <v>"lot":0,</v>
      </c>
      <c r="AQ137" t="str">
        <f t="shared" si="53"/>
        <v>"name":"0",</v>
      </c>
      <c r="AR137" t="str">
        <f t="shared" si="54"/>
        <v>"team":"0",</v>
      </c>
      <c r="AS137" t="str">
        <f t="shared" si="55"/>
        <v>"year":"0",</v>
      </c>
      <c r="AT137" t="str">
        <f t="shared" si="56"/>
        <v>"division":"--",</v>
      </c>
      <c r="AU137" t="str">
        <f t="shared" si="57"/>
        <v>"bw":"0",</v>
      </c>
      <c r="AV137" t="str">
        <f t="shared" si="58"/>
        <v>"idx":"23",</v>
      </c>
      <c r="AW137" t="str">
        <f t="shared" si="59"/>
        <v>"sr":"0",</v>
      </c>
      <c r="AX137" t="str">
        <f t="shared" si="60"/>
        <v>"br":"0",</v>
      </c>
      <c r="AY137" t="str">
        <f t="shared" si="61"/>
        <v>"row":0,</v>
      </c>
      <c r="AZ137" t="s">
        <v>67</v>
      </c>
      <c r="BA137" t="str">
        <f t="shared" si="71"/>
        <v>"sq":{"a1":0,"a2":"","a3":"","s1":0,"s2":0,"s3":0},"bp":{"a1":0,"a2":"","a3":"","s1":0,"s2":0,"s3":0},"dl":{"a1":0,"a2":"","a3":"","s1":0,"s2":0,"s3":0},"sortOrder":0,"act":{}}</v>
      </c>
      <c r="BB137" t="str">
        <f t="shared" si="72"/>
        <v>"23":{"group":"A","lot":0,"name":"0","team":"0","year":"0","division":"--","bw":"0","idx":"23","sr":"0","br":"0","row":0,"sq":{"a1":0,"a2":"","a3":"","s1":0,"s2":0,"s3":0},"bp":{"a1":0,"a2":"","a3":"","s1":0,"s2":0,"s3":0},"dl":{"a1":0,"a2":"","a3":"","s1":0,"s2":0,"s3":0},"sortOrder":0,"act":{}}</v>
      </c>
    </row>
    <row r="138" spans="5:54" x14ac:dyDescent="0.25">
      <c r="E138" s="162"/>
      <c r="F138" s="122"/>
      <c r="G138" s="122"/>
      <c r="H138" s="122"/>
      <c r="I138" s="122"/>
      <c r="J138" s="122"/>
      <c r="K138" s="122"/>
      <c r="L138" s="122"/>
      <c r="M138" s="122"/>
      <c r="N138" s="122"/>
      <c r="O138" s="122"/>
      <c r="P138" s="122"/>
      <c r="Q138" s="122"/>
      <c r="R138" s="122"/>
      <c r="S138" s="122"/>
      <c r="T138" s="123"/>
      <c r="U138" s="124"/>
      <c r="V138" s="124"/>
      <c r="W138" s="125"/>
      <c r="Z138" s="15" t="str">
        <f t="shared" si="50"/>
        <v>A</v>
      </c>
      <c r="AA138" s="8">
        <f t="shared" si="62"/>
        <v>0</v>
      </c>
      <c r="AB138" s="9">
        <f t="shared" si="65"/>
        <v>0</v>
      </c>
      <c r="AC138" s="8">
        <f t="shared" si="63"/>
        <v>0</v>
      </c>
      <c r="AD138" s="8">
        <f t="shared" si="64"/>
        <v>0</v>
      </c>
      <c r="AE138" s="8" t="str">
        <f t="shared" si="66"/>
        <v>--</v>
      </c>
      <c r="AF138" s="10">
        <f t="shared" si="67"/>
        <v>0</v>
      </c>
      <c r="AG138" s="8">
        <v>23</v>
      </c>
      <c r="AH138" s="9">
        <f t="shared" si="68"/>
        <v>0</v>
      </c>
      <c r="AI138" s="11">
        <f t="shared" si="69"/>
        <v>0</v>
      </c>
      <c r="AJ138" s="6"/>
      <c r="AK138" s="6"/>
      <c r="AL138" s="6"/>
      <c r="AN138" t="str">
        <f t="shared" si="51"/>
        <v>"23":{</v>
      </c>
      <c r="AO138" t="str">
        <f t="shared" si="52"/>
        <v>"group":"A",</v>
      </c>
      <c r="AP138" t="str">
        <f t="shared" si="70"/>
        <v>"lot":0,</v>
      </c>
      <c r="AQ138" t="str">
        <f t="shared" si="53"/>
        <v>"name":"0",</v>
      </c>
      <c r="AR138" t="str">
        <f t="shared" si="54"/>
        <v>"team":"0",</v>
      </c>
      <c r="AS138" t="str">
        <f t="shared" si="55"/>
        <v>"year":"0",</v>
      </c>
      <c r="AT138" t="str">
        <f t="shared" si="56"/>
        <v>"division":"--",</v>
      </c>
      <c r="AU138" t="str">
        <f t="shared" si="57"/>
        <v>"bw":"0",</v>
      </c>
      <c r="AV138" t="str">
        <f t="shared" si="58"/>
        <v>"idx":"23",</v>
      </c>
      <c r="AW138" t="str">
        <f t="shared" si="59"/>
        <v>"sr":"0",</v>
      </c>
      <c r="AX138" t="str">
        <f t="shared" si="60"/>
        <v>"br":"0",</v>
      </c>
      <c r="AY138" t="str">
        <f t="shared" si="61"/>
        <v>"row":0,</v>
      </c>
      <c r="AZ138" t="s">
        <v>67</v>
      </c>
      <c r="BA138" t="str">
        <f t="shared" si="71"/>
        <v>"sq":{"a1":0,"a2":"","a3":"","s1":0,"s2":0,"s3":0},"bp":{"a1":0,"a2":"","a3":"","s1":0,"s2":0,"s3":0},"dl":{"a1":0,"a2":"","a3":"","s1":0,"s2":0,"s3":0},"sortOrder":0,"act":{}}</v>
      </c>
      <c r="BB138" t="str">
        <f t="shared" si="72"/>
        <v>"23":{"group":"A","lot":0,"name":"0","team":"0","year":"0","division":"--","bw":"0","idx":"23","sr":"0","br":"0","row":0,"sq":{"a1":0,"a2":"","a3":"","s1":0,"s2":0,"s3":0},"bp":{"a1":0,"a2":"","a3":"","s1":0,"s2":0,"s3":0},"dl":{"a1":0,"a2":"","a3":"","s1":0,"s2":0,"s3":0},"sortOrder":0,"act":{}}</v>
      </c>
    </row>
    <row r="139" spans="5:54" x14ac:dyDescent="0.25">
      <c r="E139" s="162"/>
      <c r="F139" s="122"/>
      <c r="G139" s="122"/>
      <c r="H139" s="122"/>
      <c r="I139" s="122"/>
      <c r="J139" s="122"/>
      <c r="K139" s="122"/>
      <c r="L139" s="122"/>
      <c r="M139" s="122"/>
      <c r="N139" s="122"/>
      <c r="O139" s="122"/>
      <c r="P139" s="122"/>
      <c r="Q139" s="122"/>
      <c r="R139" s="122"/>
      <c r="S139" s="122"/>
      <c r="T139" s="123"/>
      <c r="U139" s="124"/>
      <c r="V139" s="124"/>
      <c r="W139" s="125"/>
      <c r="Z139" s="15" t="str">
        <f t="shared" si="50"/>
        <v>A</v>
      </c>
      <c r="AA139" s="8">
        <f t="shared" si="62"/>
        <v>0</v>
      </c>
      <c r="AB139" s="9">
        <f t="shared" si="65"/>
        <v>0</v>
      </c>
      <c r="AC139" s="8">
        <f t="shared" si="63"/>
        <v>0</v>
      </c>
      <c r="AD139" s="8">
        <f t="shared" si="64"/>
        <v>0</v>
      </c>
      <c r="AE139" s="8" t="str">
        <f t="shared" si="66"/>
        <v>--</v>
      </c>
      <c r="AF139" s="10">
        <f t="shared" si="67"/>
        <v>0</v>
      </c>
      <c r="AG139" s="8">
        <v>23</v>
      </c>
      <c r="AH139" s="9">
        <f t="shared" si="68"/>
        <v>0</v>
      </c>
      <c r="AI139" s="11">
        <f t="shared" si="69"/>
        <v>0</v>
      </c>
      <c r="AJ139" s="6"/>
      <c r="AK139" s="6"/>
      <c r="AL139" s="6"/>
      <c r="AN139" t="str">
        <f t="shared" si="51"/>
        <v>"23":{</v>
      </c>
      <c r="AO139" t="str">
        <f t="shared" si="52"/>
        <v>"group":"A",</v>
      </c>
      <c r="AP139" t="str">
        <f t="shared" si="70"/>
        <v>"lot":0,</v>
      </c>
      <c r="AQ139" t="str">
        <f t="shared" si="53"/>
        <v>"name":"0",</v>
      </c>
      <c r="AR139" t="str">
        <f t="shared" si="54"/>
        <v>"team":"0",</v>
      </c>
      <c r="AS139" t="str">
        <f t="shared" si="55"/>
        <v>"year":"0",</v>
      </c>
      <c r="AT139" t="str">
        <f t="shared" si="56"/>
        <v>"division":"--",</v>
      </c>
      <c r="AU139" t="str">
        <f t="shared" si="57"/>
        <v>"bw":"0",</v>
      </c>
      <c r="AV139" t="str">
        <f t="shared" si="58"/>
        <v>"idx":"23",</v>
      </c>
      <c r="AW139" t="str">
        <f t="shared" si="59"/>
        <v>"sr":"0",</v>
      </c>
      <c r="AX139" t="str">
        <f t="shared" si="60"/>
        <v>"br":"0",</v>
      </c>
      <c r="AY139" t="str">
        <f t="shared" si="61"/>
        <v>"row":0,</v>
      </c>
      <c r="AZ139" t="s">
        <v>67</v>
      </c>
      <c r="BA139" t="str">
        <f t="shared" si="71"/>
        <v>"sq":{"a1":0,"a2":"","a3":"","s1":0,"s2":0,"s3":0},"bp":{"a1":0,"a2":"","a3":"","s1":0,"s2":0,"s3":0},"dl":{"a1":0,"a2":"","a3":"","s1":0,"s2":0,"s3":0},"sortOrder":0,"act":{}}</v>
      </c>
      <c r="BB139" t="str">
        <f t="shared" si="72"/>
        <v>"23":{"group":"A","lot":0,"name":"0","team":"0","year":"0","division":"--","bw":"0","idx":"23","sr":"0","br":"0","row":0,"sq":{"a1":0,"a2":"","a3":"","s1":0,"s2":0,"s3":0},"bp":{"a1":0,"a2":"","a3":"","s1":0,"s2":0,"s3":0},"dl":{"a1":0,"a2":"","a3":"","s1":0,"s2":0,"s3":0},"sortOrder":0,"act":{}}</v>
      </c>
    </row>
    <row r="140" spans="5:54" x14ac:dyDescent="0.25">
      <c r="E140" s="162"/>
      <c r="F140" s="122"/>
      <c r="G140" s="122"/>
      <c r="H140" s="122"/>
      <c r="I140" s="122"/>
      <c r="J140" s="122"/>
      <c r="K140" s="122"/>
      <c r="L140" s="122"/>
      <c r="M140" s="122"/>
      <c r="N140" s="122"/>
      <c r="O140" s="122"/>
      <c r="P140" s="122"/>
      <c r="Q140" s="122"/>
      <c r="R140" s="122"/>
      <c r="S140" s="122"/>
      <c r="T140" s="123"/>
      <c r="U140" s="124"/>
      <c r="V140" s="124"/>
      <c r="W140" s="125"/>
      <c r="Z140" s="15" t="str">
        <f t="shared" si="50"/>
        <v>A</v>
      </c>
      <c r="AA140" s="8">
        <f t="shared" si="62"/>
        <v>0</v>
      </c>
      <c r="AB140" s="9">
        <f t="shared" si="65"/>
        <v>0</v>
      </c>
      <c r="AC140" s="8">
        <f t="shared" si="63"/>
        <v>0</v>
      </c>
      <c r="AD140" s="8">
        <f t="shared" si="64"/>
        <v>0</v>
      </c>
      <c r="AE140" s="8" t="str">
        <f t="shared" si="66"/>
        <v>--</v>
      </c>
      <c r="AF140" s="10">
        <f t="shared" si="67"/>
        <v>0</v>
      </c>
      <c r="AG140" s="8">
        <v>23</v>
      </c>
      <c r="AH140" s="9">
        <f t="shared" si="68"/>
        <v>0</v>
      </c>
      <c r="AI140" s="11">
        <f t="shared" si="69"/>
        <v>0</v>
      </c>
      <c r="AJ140" s="6"/>
      <c r="AK140" s="6"/>
      <c r="AL140" s="6"/>
      <c r="AN140" t="str">
        <f t="shared" si="51"/>
        <v>"23":{</v>
      </c>
      <c r="AO140" t="str">
        <f t="shared" si="52"/>
        <v>"group":"A",</v>
      </c>
      <c r="AP140" t="str">
        <f t="shared" si="70"/>
        <v>"lot":0,</v>
      </c>
      <c r="AQ140" t="str">
        <f t="shared" si="53"/>
        <v>"name":"0",</v>
      </c>
      <c r="AR140" t="str">
        <f t="shared" si="54"/>
        <v>"team":"0",</v>
      </c>
      <c r="AS140" t="str">
        <f t="shared" si="55"/>
        <v>"year":"0",</v>
      </c>
      <c r="AT140" t="str">
        <f t="shared" si="56"/>
        <v>"division":"--",</v>
      </c>
      <c r="AU140" t="str">
        <f t="shared" si="57"/>
        <v>"bw":"0",</v>
      </c>
      <c r="AV140" t="str">
        <f t="shared" si="58"/>
        <v>"idx":"23",</v>
      </c>
      <c r="AW140" t="str">
        <f t="shared" si="59"/>
        <v>"sr":"0",</v>
      </c>
      <c r="AX140" t="str">
        <f t="shared" si="60"/>
        <v>"br":"0",</v>
      </c>
      <c r="AY140" t="str">
        <f t="shared" si="61"/>
        <v>"row":0,</v>
      </c>
      <c r="AZ140" t="s">
        <v>67</v>
      </c>
      <c r="BA140" t="str">
        <f t="shared" si="71"/>
        <v>"sq":{"a1":0,"a2":"","a3":"","s1":0,"s2":0,"s3":0},"bp":{"a1":0,"a2":"","a3":"","s1":0,"s2":0,"s3":0},"dl":{"a1":0,"a2":"","a3":"","s1":0,"s2":0,"s3":0},"sortOrder":0,"act":{}}</v>
      </c>
      <c r="BB140" t="str">
        <f t="shared" si="72"/>
        <v>"23":{"group":"A","lot":0,"name":"0","team":"0","year":"0","division":"--","bw":"0","idx":"23","sr":"0","br":"0","row":0,"sq":{"a1":0,"a2":"","a3":"","s1":0,"s2":0,"s3":0},"bp":{"a1":0,"a2":"","a3":"","s1":0,"s2":0,"s3":0},"dl":{"a1":0,"a2":"","a3":"","s1":0,"s2":0,"s3":0},"sortOrder":0,"act":{}}</v>
      </c>
    </row>
    <row r="141" spans="5:54" x14ac:dyDescent="0.25">
      <c r="E141" s="162"/>
      <c r="F141" s="122"/>
      <c r="G141" s="122"/>
      <c r="H141" s="122"/>
      <c r="I141" s="122"/>
      <c r="J141" s="122"/>
      <c r="K141" s="122"/>
      <c r="L141" s="122"/>
      <c r="M141" s="122"/>
      <c r="N141" s="122"/>
      <c r="O141" s="122"/>
      <c r="P141" s="122"/>
      <c r="Q141" s="122"/>
      <c r="R141" s="122"/>
      <c r="S141" s="122"/>
      <c r="T141" s="123"/>
      <c r="U141" s="124"/>
      <c r="V141" s="124"/>
      <c r="W141" s="125"/>
      <c r="Z141" s="15" t="str">
        <f t="shared" si="50"/>
        <v>A</v>
      </c>
      <c r="AA141" s="8">
        <f t="shared" si="62"/>
        <v>0</v>
      </c>
      <c r="AB141" s="9">
        <f t="shared" si="65"/>
        <v>0</v>
      </c>
      <c r="AC141" s="8">
        <f t="shared" si="63"/>
        <v>0</v>
      </c>
      <c r="AD141" s="8">
        <f t="shared" si="64"/>
        <v>0</v>
      </c>
      <c r="AE141" s="8" t="str">
        <f t="shared" si="66"/>
        <v>--</v>
      </c>
      <c r="AF141" s="10">
        <f t="shared" si="67"/>
        <v>0</v>
      </c>
      <c r="AG141" s="8">
        <v>23</v>
      </c>
      <c r="AH141" s="9">
        <f t="shared" si="68"/>
        <v>0</v>
      </c>
      <c r="AI141" s="11">
        <f t="shared" si="69"/>
        <v>0</v>
      </c>
      <c r="AJ141" s="6"/>
      <c r="AK141" s="6"/>
      <c r="AL141" s="6"/>
      <c r="AN141" t="str">
        <f t="shared" si="51"/>
        <v>"23":{</v>
      </c>
      <c r="AO141" t="str">
        <f t="shared" si="52"/>
        <v>"group":"A",</v>
      </c>
      <c r="AP141" t="str">
        <f t="shared" si="70"/>
        <v>"lot":0,</v>
      </c>
      <c r="AQ141" t="str">
        <f t="shared" si="53"/>
        <v>"name":"0",</v>
      </c>
      <c r="AR141" t="str">
        <f t="shared" si="54"/>
        <v>"team":"0",</v>
      </c>
      <c r="AS141" t="str">
        <f t="shared" si="55"/>
        <v>"year":"0",</v>
      </c>
      <c r="AT141" t="str">
        <f t="shared" si="56"/>
        <v>"division":"--",</v>
      </c>
      <c r="AU141" t="str">
        <f t="shared" si="57"/>
        <v>"bw":"0",</v>
      </c>
      <c r="AV141" t="str">
        <f t="shared" si="58"/>
        <v>"idx":"23",</v>
      </c>
      <c r="AW141" t="str">
        <f t="shared" si="59"/>
        <v>"sr":"0",</v>
      </c>
      <c r="AX141" t="str">
        <f t="shared" si="60"/>
        <v>"br":"0",</v>
      </c>
      <c r="AY141" t="str">
        <f t="shared" si="61"/>
        <v>"row":0,</v>
      </c>
      <c r="AZ141" t="s">
        <v>67</v>
      </c>
      <c r="BA141" t="str">
        <f t="shared" si="71"/>
        <v>"sq":{"a1":0,"a2":"","a3":"","s1":0,"s2":0,"s3":0},"bp":{"a1":0,"a2":"","a3":"","s1":0,"s2":0,"s3":0},"dl":{"a1":0,"a2":"","a3":"","s1":0,"s2":0,"s3":0},"sortOrder":0,"act":{}}</v>
      </c>
      <c r="BB141" t="str">
        <f t="shared" si="72"/>
        <v>"23":{"group":"A","lot":0,"name":"0","team":"0","year":"0","division":"--","bw":"0","idx":"23","sr":"0","br":"0","row":0,"sq":{"a1":0,"a2":"","a3":"","s1":0,"s2":0,"s3":0},"bp":{"a1":0,"a2":"","a3":"","s1":0,"s2":0,"s3":0},"dl":{"a1":0,"a2":"","a3":"","s1":0,"s2":0,"s3":0},"sortOrder":0,"act":{}}</v>
      </c>
    </row>
    <row r="142" spans="5:54" x14ac:dyDescent="0.25">
      <c r="E142" s="162"/>
      <c r="F142" s="122"/>
      <c r="G142" s="122"/>
      <c r="H142" s="122"/>
      <c r="I142" s="122"/>
      <c r="J142" s="122"/>
      <c r="K142" s="122"/>
      <c r="L142" s="122"/>
      <c r="M142" s="122"/>
      <c r="N142" s="122"/>
      <c r="O142" s="122"/>
      <c r="P142" s="122"/>
      <c r="Q142" s="122"/>
      <c r="R142" s="122"/>
      <c r="S142" s="122"/>
      <c r="T142" s="123"/>
      <c r="U142" s="124"/>
      <c r="V142" s="124"/>
      <c r="W142" s="125"/>
      <c r="Z142" s="15" t="str">
        <f t="shared" si="50"/>
        <v>A</v>
      </c>
      <c r="AA142" s="8">
        <f t="shared" si="62"/>
        <v>0</v>
      </c>
      <c r="AB142" s="9">
        <f t="shared" si="65"/>
        <v>0</v>
      </c>
      <c r="AC142" s="8">
        <f t="shared" si="63"/>
        <v>0</v>
      </c>
      <c r="AD142" s="8">
        <f t="shared" si="64"/>
        <v>0</v>
      </c>
      <c r="AE142" s="8" t="str">
        <f t="shared" si="66"/>
        <v>--</v>
      </c>
      <c r="AF142" s="10">
        <f t="shared" si="67"/>
        <v>0</v>
      </c>
      <c r="AG142" s="8">
        <v>23</v>
      </c>
      <c r="AH142" s="9">
        <f t="shared" si="68"/>
        <v>0</v>
      </c>
      <c r="AI142" s="11">
        <f t="shared" si="69"/>
        <v>0</v>
      </c>
      <c r="AJ142" s="6"/>
      <c r="AK142" s="6"/>
      <c r="AL142" s="6"/>
      <c r="AN142" t="str">
        <f t="shared" si="51"/>
        <v>"23":{</v>
      </c>
      <c r="AO142" t="str">
        <f t="shared" si="52"/>
        <v>"group":"A",</v>
      </c>
      <c r="AP142" t="str">
        <f t="shared" si="70"/>
        <v>"lot":0,</v>
      </c>
      <c r="AQ142" t="str">
        <f t="shared" si="53"/>
        <v>"name":"0",</v>
      </c>
      <c r="AR142" t="str">
        <f t="shared" si="54"/>
        <v>"team":"0",</v>
      </c>
      <c r="AS142" t="str">
        <f t="shared" si="55"/>
        <v>"year":"0",</v>
      </c>
      <c r="AT142" t="str">
        <f t="shared" si="56"/>
        <v>"division":"--",</v>
      </c>
      <c r="AU142" t="str">
        <f t="shared" si="57"/>
        <v>"bw":"0",</v>
      </c>
      <c r="AV142" t="str">
        <f t="shared" si="58"/>
        <v>"idx":"23",</v>
      </c>
      <c r="AW142" t="str">
        <f t="shared" si="59"/>
        <v>"sr":"0",</v>
      </c>
      <c r="AX142" t="str">
        <f t="shared" si="60"/>
        <v>"br":"0",</v>
      </c>
      <c r="AY142" t="str">
        <f t="shared" si="61"/>
        <v>"row":0,</v>
      </c>
      <c r="AZ142" t="s">
        <v>67</v>
      </c>
      <c r="BA142" t="str">
        <f t="shared" si="71"/>
        <v>"sq":{"a1":0,"a2":"","a3":"","s1":0,"s2":0,"s3":0},"bp":{"a1":0,"a2":"","a3":"","s1":0,"s2":0,"s3":0},"dl":{"a1":0,"a2":"","a3":"","s1":0,"s2":0,"s3":0},"sortOrder":0,"act":{}}</v>
      </c>
      <c r="BB142" t="str">
        <f t="shared" si="72"/>
        <v>"23":{"group":"A","lot":0,"name":"0","team":"0","year":"0","division":"--","bw":"0","idx":"23","sr":"0","br":"0","row":0,"sq":{"a1":0,"a2":"","a3":"","s1":0,"s2":0,"s3":0},"bp":{"a1":0,"a2":"","a3":"","s1":0,"s2":0,"s3":0},"dl":{"a1":0,"a2":"","a3":"","s1":0,"s2":0,"s3":0},"sortOrder":0,"act":{}}</v>
      </c>
    </row>
    <row r="143" spans="5:54" x14ac:dyDescent="0.25">
      <c r="E143" s="162"/>
      <c r="F143" s="122"/>
      <c r="G143" s="122"/>
      <c r="H143" s="122"/>
      <c r="I143" s="122"/>
      <c r="J143" s="122"/>
      <c r="K143" s="122"/>
      <c r="L143" s="122"/>
      <c r="M143" s="122"/>
      <c r="N143" s="122"/>
      <c r="O143" s="122"/>
      <c r="P143" s="122"/>
      <c r="Q143" s="122"/>
      <c r="R143" s="122"/>
      <c r="S143" s="122"/>
      <c r="T143" s="123"/>
      <c r="U143" s="124"/>
      <c r="V143" s="124"/>
      <c r="W143" s="125"/>
      <c r="Z143" s="15" t="str">
        <f t="shared" si="50"/>
        <v>A</v>
      </c>
      <c r="AA143" s="8">
        <f t="shared" si="62"/>
        <v>0</v>
      </c>
      <c r="AB143" s="9">
        <f t="shared" si="65"/>
        <v>0</v>
      </c>
      <c r="AC143" s="8">
        <f t="shared" si="63"/>
        <v>0</v>
      </c>
      <c r="AD143" s="8">
        <f t="shared" si="64"/>
        <v>0</v>
      </c>
      <c r="AE143" s="8" t="str">
        <f t="shared" si="66"/>
        <v>--</v>
      </c>
      <c r="AF143" s="10">
        <f t="shared" si="67"/>
        <v>0</v>
      </c>
      <c r="AG143" s="8">
        <v>23</v>
      </c>
      <c r="AH143" s="9">
        <f t="shared" si="68"/>
        <v>0</v>
      </c>
      <c r="AI143" s="11">
        <f t="shared" si="69"/>
        <v>0</v>
      </c>
      <c r="AJ143" s="6"/>
      <c r="AK143" s="6"/>
      <c r="AL143" s="6"/>
      <c r="AN143" t="str">
        <f t="shared" si="51"/>
        <v>"23":{</v>
      </c>
      <c r="AO143" t="str">
        <f t="shared" si="52"/>
        <v>"group":"A",</v>
      </c>
      <c r="AP143" t="str">
        <f t="shared" si="70"/>
        <v>"lot":0,</v>
      </c>
      <c r="AQ143" t="str">
        <f t="shared" si="53"/>
        <v>"name":"0",</v>
      </c>
      <c r="AR143" t="str">
        <f t="shared" si="54"/>
        <v>"team":"0",</v>
      </c>
      <c r="AS143" t="str">
        <f t="shared" si="55"/>
        <v>"year":"0",</v>
      </c>
      <c r="AT143" t="str">
        <f t="shared" si="56"/>
        <v>"division":"--",</v>
      </c>
      <c r="AU143" t="str">
        <f t="shared" si="57"/>
        <v>"bw":"0",</v>
      </c>
      <c r="AV143" t="str">
        <f t="shared" si="58"/>
        <v>"idx":"23",</v>
      </c>
      <c r="AW143" t="str">
        <f t="shared" si="59"/>
        <v>"sr":"0",</v>
      </c>
      <c r="AX143" t="str">
        <f t="shared" si="60"/>
        <v>"br":"0",</v>
      </c>
      <c r="AY143" t="str">
        <f t="shared" si="61"/>
        <v>"row":0,</v>
      </c>
      <c r="AZ143" t="s">
        <v>67</v>
      </c>
      <c r="BA143" t="str">
        <f t="shared" si="71"/>
        <v>"sq":{"a1":0,"a2":"","a3":"","s1":0,"s2":0,"s3":0},"bp":{"a1":0,"a2":"","a3":"","s1":0,"s2":0,"s3":0},"dl":{"a1":0,"a2":"","a3":"","s1":0,"s2":0,"s3":0},"sortOrder":0,"act":{}}</v>
      </c>
      <c r="BB143" t="str">
        <f t="shared" si="72"/>
        <v>"23":{"group":"A","lot":0,"name":"0","team":"0","year":"0","division":"--","bw":"0","idx":"23","sr":"0","br":"0","row":0,"sq":{"a1":0,"a2":"","a3":"","s1":0,"s2":0,"s3":0},"bp":{"a1":0,"a2":"","a3":"","s1":0,"s2":0,"s3":0},"dl":{"a1":0,"a2":"","a3":"","s1":0,"s2":0,"s3":0},"sortOrder":0,"act":{}}</v>
      </c>
    </row>
    <row r="144" spans="5:54" x14ac:dyDescent="0.25">
      <c r="E144" s="162"/>
      <c r="F144" s="122"/>
      <c r="G144" s="122"/>
      <c r="H144" s="122"/>
      <c r="I144" s="122"/>
      <c r="J144" s="122"/>
      <c r="K144" s="122"/>
      <c r="L144" s="122"/>
      <c r="M144" s="122"/>
      <c r="N144" s="122"/>
      <c r="O144" s="122"/>
      <c r="P144" s="122"/>
      <c r="Q144" s="122"/>
      <c r="R144" s="122"/>
      <c r="S144" s="122"/>
      <c r="T144" s="123"/>
      <c r="U144" s="124"/>
      <c r="V144" s="124"/>
      <c r="W144" s="125"/>
      <c r="Z144" s="15" t="str">
        <f t="shared" si="50"/>
        <v>A</v>
      </c>
      <c r="AA144" s="8">
        <f t="shared" si="62"/>
        <v>0</v>
      </c>
      <c r="AB144" s="9">
        <f t="shared" si="65"/>
        <v>0</v>
      </c>
      <c r="AC144" s="8">
        <f t="shared" si="63"/>
        <v>0</v>
      </c>
      <c r="AD144" s="8">
        <f t="shared" si="64"/>
        <v>0</v>
      </c>
      <c r="AE144" s="8" t="str">
        <f t="shared" si="66"/>
        <v>--</v>
      </c>
      <c r="AF144" s="10">
        <f t="shared" si="67"/>
        <v>0</v>
      </c>
      <c r="AG144" s="8">
        <v>23</v>
      </c>
      <c r="AH144" s="9">
        <f t="shared" si="68"/>
        <v>0</v>
      </c>
      <c r="AI144" s="11">
        <f t="shared" si="69"/>
        <v>0</v>
      </c>
      <c r="AJ144" s="6"/>
      <c r="AK144" s="6"/>
      <c r="AL144" s="6"/>
      <c r="AN144" t="str">
        <f t="shared" si="51"/>
        <v>"23":{</v>
      </c>
      <c r="AO144" t="str">
        <f t="shared" si="52"/>
        <v>"group":"A",</v>
      </c>
      <c r="AP144" t="str">
        <f t="shared" si="70"/>
        <v>"lot":0,</v>
      </c>
      <c r="AQ144" t="str">
        <f t="shared" si="53"/>
        <v>"name":"0",</v>
      </c>
      <c r="AR144" t="str">
        <f t="shared" si="54"/>
        <v>"team":"0",</v>
      </c>
      <c r="AS144" t="str">
        <f t="shared" si="55"/>
        <v>"year":"0",</v>
      </c>
      <c r="AT144" t="str">
        <f t="shared" si="56"/>
        <v>"division":"--",</v>
      </c>
      <c r="AU144" t="str">
        <f t="shared" si="57"/>
        <v>"bw":"0",</v>
      </c>
      <c r="AV144" t="str">
        <f t="shared" si="58"/>
        <v>"idx":"23",</v>
      </c>
      <c r="AW144" t="str">
        <f t="shared" si="59"/>
        <v>"sr":"0",</v>
      </c>
      <c r="AX144" t="str">
        <f t="shared" si="60"/>
        <v>"br":"0",</v>
      </c>
      <c r="AY144" t="str">
        <f t="shared" si="61"/>
        <v>"row":0,</v>
      </c>
      <c r="AZ144" t="s">
        <v>67</v>
      </c>
      <c r="BA144" t="str">
        <f t="shared" si="71"/>
        <v>"sq":{"a1":0,"a2":"","a3":"","s1":0,"s2":0,"s3":0},"bp":{"a1":0,"a2":"","a3":"","s1":0,"s2":0,"s3":0},"dl":{"a1":0,"a2":"","a3":"","s1":0,"s2":0,"s3":0},"sortOrder":0,"act":{}}</v>
      </c>
      <c r="BB144" t="str">
        <f t="shared" si="72"/>
        <v>"23":{"group":"A","lot":0,"name":"0","team":"0","year":"0","division":"--","bw":"0","idx":"23","sr":"0","br":"0","row":0,"sq":{"a1":0,"a2":"","a3":"","s1":0,"s2":0,"s3":0},"bp":{"a1":0,"a2":"","a3":"","s1":0,"s2":0,"s3":0},"dl":{"a1":0,"a2":"","a3":"","s1":0,"s2":0,"s3":0},"sortOrder":0,"act":{}}</v>
      </c>
    </row>
    <row r="145" spans="5:54" x14ac:dyDescent="0.25">
      <c r="E145" s="163"/>
      <c r="F145" s="126"/>
      <c r="G145" s="126"/>
      <c r="H145" s="126"/>
      <c r="I145" s="126"/>
      <c r="J145" s="126"/>
      <c r="K145" s="126"/>
      <c r="L145" s="126"/>
      <c r="M145" s="126"/>
      <c r="N145" s="126"/>
      <c r="O145" s="126"/>
      <c r="P145" s="126"/>
      <c r="Q145" s="126"/>
      <c r="R145" s="126"/>
      <c r="S145" s="126"/>
      <c r="T145" s="127"/>
      <c r="U145" s="128"/>
      <c r="V145" s="128"/>
      <c r="W145" s="129"/>
      <c r="Z145" s="15" t="str">
        <f t="shared" si="50"/>
        <v>A</v>
      </c>
      <c r="AA145" s="8">
        <f t="shared" si="62"/>
        <v>0</v>
      </c>
      <c r="AB145" s="9">
        <f t="shared" si="65"/>
        <v>0</v>
      </c>
      <c r="AC145" s="8">
        <f t="shared" si="63"/>
        <v>0</v>
      </c>
      <c r="AD145" s="8">
        <f t="shared" si="64"/>
        <v>0</v>
      </c>
      <c r="AE145" s="8" t="str">
        <f t="shared" si="66"/>
        <v>--</v>
      </c>
      <c r="AF145" s="10">
        <f t="shared" si="67"/>
        <v>0</v>
      </c>
      <c r="AG145" s="8">
        <v>23</v>
      </c>
      <c r="AH145" s="9">
        <f t="shared" si="68"/>
        <v>0</v>
      </c>
      <c r="AI145" s="11">
        <f t="shared" si="69"/>
        <v>0</v>
      </c>
      <c r="AJ145" s="6"/>
      <c r="AK145" s="6"/>
      <c r="AL145" s="6"/>
      <c r="AN145" t="str">
        <f t="shared" si="51"/>
        <v>"23":{</v>
      </c>
      <c r="AO145" t="str">
        <f t="shared" si="52"/>
        <v>"group":"A",</v>
      </c>
      <c r="AP145" t="str">
        <f t="shared" si="70"/>
        <v>"lot":0,</v>
      </c>
      <c r="AQ145" t="str">
        <f t="shared" si="53"/>
        <v>"name":"0",</v>
      </c>
      <c r="AR145" t="str">
        <f t="shared" si="54"/>
        <v>"team":"0",</v>
      </c>
      <c r="AS145" t="str">
        <f t="shared" si="55"/>
        <v>"year":"0",</v>
      </c>
      <c r="AT145" t="str">
        <f t="shared" si="56"/>
        <v>"division":"--",</v>
      </c>
      <c r="AU145" t="str">
        <f t="shared" si="57"/>
        <v>"bw":"0",</v>
      </c>
      <c r="AV145" t="str">
        <f t="shared" si="58"/>
        <v>"idx":"23",</v>
      </c>
      <c r="AW145" t="str">
        <f t="shared" si="59"/>
        <v>"sr":"0",</v>
      </c>
      <c r="AX145" t="str">
        <f t="shared" si="60"/>
        <v>"br":"0",</v>
      </c>
      <c r="AY145" t="str">
        <f t="shared" si="61"/>
        <v>"row":0,</v>
      </c>
      <c r="AZ145" t="s">
        <v>67</v>
      </c>
      <c r="BA145" t="str">
        <f t="shared" si="71"/>
        <v>"sq":{"a1":0,"a2":"","a3":"","s1":0,"s2":0,"s3":0},"bp":{"a1":0,"a2":"","a3":"","s1":0,"s2":0,"s3":0},"dl":{"a1":0,"a2":"","a3":"","s1":0,"s2":0,"s3":0},"sortOrder":0,"act":{}}</v>
      </c>
      <c r="BB145" t="str">
        <f t="shared" si="72"/>
        <v>"23":{"group":"A","lot":0,"name":"0","team":"0","year":"0","division":"--","bw":"0","idx":"23","sr":"0","br":"0","row":0,"sq":{"a1":0,"a2":"","a3":"","s1":0,"s2":0,"s3":0},"bp":{"a1":0,"a2":"","a3":"","s1":0,"s2":0,"s3":0},"dl":{"a1":0,"a2":"","a3":"","s1":0,"s2":0,"s3":0},"sortOrder":0,"act":{}}</v>
      </c>
    </row>
    <row r="146" spans="5:54" x14ac:dyDescent="0.25">
      <c r="E146" s="163"/>
      <c r="F146" s="126"/>
      <c r="G146" s="126"/>
      <c r="H146" s="126"/>
      <c r="I146" s="126"/>
      <c r="J146" s="126"/>
      <c r="K146" s="126"/>
      <c r="L146" s="126"/>
      <c r="M146" s="126"/>
      <c r="N146" s="126"/>
      <c r="O146" s="126"/>
      <c r="P146" s="126"/>
      <c r="Q146" s="126"/>
      <c r="R146" s="126"/>
      <c r="S146" s="126"/>
      <c r="T146" s="127"/>
      <c r="U146" s="128"/>
      <c r="V146" s="128"/>
      <c r="W146" s="129"/>
      <c r="Z146" s="15" t="str">
        <f t="shared" si="50"/>
        <v>A</v>
      </c>
      <c r="AA146" s="8">
        <f t="shared" si="62"/>
        <v>0</v>
      </c>
      <c r="AB146" s="9">
        <f t="shared" si="65"/>
        <v>0</v>
      </c>
      <c r="AC146" s="8">
        <f t="shared" si="63"/>
        <v>0</v>
      </c>
      <c r="AD146" s="8">
        <f t="shared" si="64"/>
        <v>0</v>
      </c>
      <c r="AE146" s="8" t="str">
        <f t="shared" si="66"/>
        <v>--</v>
      </c>
      <c r="AF146" s="10">
        <f t="shared" si="67"/>
        <v>0</v>
      </c>
      <c r="AG146" s="8">
        <v>23</v>
      </c>
      <c r="AH146" s="9">
        <f t="shared" si="68"/>
        <v>0</v>
      </c>
      <c r="AI146" s="11">
        <f t="shared" si="69"/>
        <v>0</v>
      </c>
      <c r="AJ146" s="6"/>
      <c r="AK146" s="6"/>
      <c r="AL146" s="6"/>
      <c r="AN146" t="str">
        <f t="shared" si="51"/>
        <v>"23":{</v>
      </c>
      <c r="AO146" t="str">
        <f t="shared" si="52"/>
        <v>"group":"A",</v>
      </c>
      <c r="AP146" t="str">
        <f t="shared" si="70"/>
        <v>"lot":0,</v>
      </c>
      <c r="AQ146" t="str">
        <f t="shared" si="53"/>
        <v>"name":"0",</v>
      </c>
      <c r="AR146" t="str">
        <f t="shared" si="54"/>
        <v>"team":"0",</v>
      </c>
      <c r="AS146" t="str">
        <f t="shared" si="55"/>
        <v>"year":"0",</v>
      </c>
      <c r="AT146" t="str">
        <f t="shared" si="56"/>
        <v>"division":"--",</v>
      </c>
      <c r="AU146" t="str">
        <f t="shared" si="57"/>
        <v>"bw":"0",</v>
      </c>
      <c r="AV146" t="str">
        <f t="shared" si="58"/>
        <v>"idx":"23",</v>
      </c>
      <c r="AW146" t="str">
        <f t="shared" si="59"/>
        <v>"sr":"0",</v>
      </c>
      <c r="AX146" t="str">
        <f t="shared" si="60"/>
        <v>"br":"0",</v>
      </c>
      <c r="AY146" t="str">
        <f t="shared" si="61"/>
        <v>"row":0,</v>
      </c>
      <c r="AZ146" t="s">
        <v>67</v>
      </c>
      <c r="BA146" t="str">
        <f t="shared" si="71"/>
        <v>"sq":{"a1":0,"a2":"","a3":"","s1":0,"s2":0,"s3":0},"bp":{"a1":0,"a2":"","a3":"","s1":0,"s2":0,"s3":0},"dl":{"a1":0,"a2":"","a3":"","s1":0,"s2":0,"s3":0},"sortOrder":0,"act":{}}</v>
      </c>
      <c r="BB146" t="str">
        <f t="shared" si="72"/>
        <v>"23":{"group":"A","lot":0,"name":"0","team":"0","year":"0","division":"--","bw":"0","idx":"23","sr":"0","br":"0","row":0,"sq":{"a1":0,"a2":"","a3":"","s1":0,"s2":0,"s3":0},"bp":{"a1":0,"a2":"","a3":"","s1":0,"s2":0,"s3":0},"dl":{"a1":0,"a2":"","a3":"","s1":0,"s2":0,"s3":0},"sortOrder":0,"act":{}}</v>
      </c>
    </row>
    <row r="147" spans="5:54" x14ac:dyDescent="0.25">
      <c r="E147" s="163"/>
      <c r="F147" s="126"/>
      <c r="G147" s="126"/>
      <c r="H147" s="126"/>
      <c r="I147" s="126"/>
      <c r="J147" s="126"/>
      <c r="K147" s="126"/>
      <c r="L147" s="126"/>
      <c r="M147" s="126"/>
      <c r="N147" s="126"/>
      <c r="O147" s="126"/>
      <c r="P147" s="126"/>
      <c r="Q147" s="126"/>
      <c r="R147" s="126"/>
      <c r="S147" s="126"/>
      <c r="T147" s="127"/>
      <c r="U147" s="128"/>
      <c r="V147" s="128"/>
      <c r="W147" s="129"/>
      <c r="Z147" s="15" t="str">
        <f t="shared" si="50"/>
        <v>A</v>
      </c>
      <c r="AA147" s="8">
        <f t="shared" si="62"/>
        <v>0</v>
      </c>
      <c r="AB147" s="9">
        <f t="shared" si="65"/>
        <v>0</v>
      </c>
      <c r="AC147" s="8">
        <f t="shared" si="63"/>
        <v>0</v>
      </c>
      <c r="AD147" s="8">
        <f t="shared" si="64"/>
        <v>0</v>
      </c>
      <c r="AE147" s="8" t="str">
        <f t="shared" si="66"/>
        <v>--</v>
      </c>
      <c r="AF147" s="10">
        <f t="shared" si="67"/>
        <v>0</v>
      </c>
      <c r="AG147" s="8">
        <v>23</v>
      </c>
      <c r="AH147" s="9">
        <f t="shared" si="68"/>
        <v>0</v>
      </c>
      <c r="AI147" s="11">
        <f t="shared" si="69"/>
        <v>0</v>
      </c>
      <c r="AJ147" s="6"/>
      <c r="AK147" s="6"/>
      <c r="AL147" s="6"/>
      <c r="AN147" t="str">
        <f t="shared" si="51"/>
        <v>"23":{</v>
      </c>
      <c r="AO147" t="str">
        <f t="shared" si="52"/>
        <v>"group":"A",</v>
      </c>
      <c r="AP147" t="str">
        <f t="shared" si="70"/>
        <v>"lot":0,</v>
      </c>
      <c r="AQ147" t="str">
        <f t="shared" si="53"/>
        <v>"name":"0",</v>
      </c>
      <c r="AR147" t="str">
        <f t="shared" si="54"/>
        <v>"team":"0",</v>
      </c>
      <c r="AS147" t="str">
        <f t="shared" si="55"/>
        <v>"year":"0",</v>
      </c>
      <c r="AT147" t="str">
        <f t="shared" si="56"/>
        <v>"division":"--",</v>
      </c>
      <c r="AU147" t="str">
        <f t="shared" si="57"/>
        <v>"bw":"0",</v>
      </c>
      <c r="AV147" t="str">
        <f t="shared" si="58"/>
        <v>"idx":"23",</v>
      </c>
      <c r="AW147" t="str">
        <f t="shared" si="59"/>
        <v>"sr":"0",</v>
      </c>
      <c r="AX147" t="str">
        <f t="shared" si="60"/>
        <v>"br":"0",</v>
      </c>
      <c r="AY147" t="str">
        <f t="shared" si="61"/>
        <v>"row":0,</v>
      </c>
      <c r="AZ147" t="s">
        <v>67</v>
      </c>
      <c r="BA147" t="str">
        <f t="shared" si="71"/>
        <v>"sq":{"a1":0,"a2":"","a3":"","s1":0,"s2":0,"s3":0},"bp":{"a1":0,"a2":"","a3":"","s1":0,"s2":0,"s3":0},"dl":{"a1":0,"a2":"","a3":"","s1":0,"s2":0,"s3":0},"sortOrder":0,"act":{}}</v>
      </c>
      <c r="BB147" t="str">
        <f t="shared" si="72"/>
        <v>"23":{"group":"A","lot":0,"name":"0","team":"0","year":"0","division":"--","bw":"0","idx":"23","sr":"0","br":"0","row":0,"sq":{"a1":0,"a2":"","a3":"","s1":0,"s2":0,"s3":0},"bp":{"a1":0,"a2":"","a3":"","s1":0,"s2":0,"s3":0},"dl":{"a1":0,"a2":"","a3":"","s1":0,"s2":0,"s3":0},"sortOrder":0,"act":{}}</v>
      </c>
    </row>
    <row r="148" spans="5:54" x14ac:dyDescent="0.25">
      <c r="E148" s="163"/>
      <c r="F148" s="126"/>
      <c r="G148" s="126"/>
      <c r="H148" s="126"/>
      <c r="I148" s="126"/>
      <c r="J148" s="126"/>
      <c r="K148" s="126"/>
      <c r="L148" s="126"/>
      <c r="M148" s="126"/>
      <c r="N148" s="126"/>
      <c r="O148" s="126"/>
      <c r="P148" s="126"/>
      <c r="Q148" s="126"/>
      <c r="R148" s="126"/>
      <c r="S148" s="126"/>
      <c r="T148" s="127"/>
      <c r="U148" s="128"/>
      <c r="V148" s="128"/>
      <c r="W148" s="129"/>
      <c r="Z148" s="15" t="str">
        <f t="shared" si="50"/>
        <v>A</v>
      </c>
      <c r="AA148" s="8">
        <f t="shared" si="62"/>
        <v>0</v>
      </c>
      <c r="AB148" s="9">
        <f t="shared" si="65"/>
        <v>0</v>
      </c>
      <c r="AC148" s="8">
        <f t="shared" si="63"/>
        <v>0</v>
      </c>
      <c r="AD148" s="8">
        <f t="shared" si="64"/>
        <v>0</v>
      </c>
      <c r="AE148" s="8" t="str">
        <f t="shared" si="66"/>
        <v>--</v>
      </c>
      <c r="AF148" s="10">
        <f t="shared" si="67"/>
        <v>0</v>
      </c>
      <c r="AG148" s="8">
        <v>23</v>
      </c>
      <c r="AH148" s="9">
        <f t="shared" si="68"/>
        <v>0</v>
      </c>
      <c r="AI148" s="11">
        <f t="shared" si="69"/>
        <v>0</v>
      </c>
      <c r="AJ148" s="6"/>
      <c r="AK148" s="6"/>
      <c r="AL148" s="6"/>
      <c r="AN148" t="str">
        <f t="shared" si="51"/>
        <v>"23":{</v>
      </c>
      <c r="AO148" t="str">
        <f t="shared" si="52"/>
        <v>"group":"A",</v>
      </c>
      <c r="AP148" t="str">
        <f t="shared" si="70"/>
        <v>"lot":0,</v>
      </c>
      <c r="AQ148" t="str">
        <f t="shared" si="53"/>
        <v>"name":"0",</v>
      </c>
      <c r="AR148" t="str">
        <f t="shared" si="54"/>
        <v>"team":"0",</v>
      </c>
      <c r="AS148" t="str">
        <f t="shared" si="55"/>
        <v>"year":"0",</v>
      </c>
      <c r="AT148" t="str">
        <f t="shared" si="56"/>
        <v>"division":"--",</v>
      </c>
      <c r="AU148" t="str">
        <f t="shared" si="57"/>
        <v>"bw":"0",</v>
      </c>
      <c r="AV148" t="str">
        <f t="shared" si="58"/>
        <v>"idx":"23",</v>
      </c>
      <c r="AW148" t="str">
        <f t="shared" si="59"/>
        <v>"sr":"0",</v>
      </c>
      <c r="AX148" t="str">
        <f t="shared" si="60"/>
        <v>"br":"0",</v>
      </c>
      <c r="AY148" t="str">
        <f t="shared" si="61"/>
        <v>"row":0,</v>
      </c>
      <c r="AZ148" t="s">
        <v>67</v>
      </c>
      <c r="BA148" t="str">
        <f t="shared" si="71"/>
        <v>"sq":{"a1":0,"a2":"","a3":"","s1":0,"s2":0,"s3":0},"bp":{"a1":0,"a2":"","a3":"","s1":0,"s2":0,"s3":0},"dl":{"a1":0,"a2":"","a3":"","s1":0,"s2":0,"s3":0},"sortOrder":0,"act":{}}</v>
      </c>
      <c r="BB148" t="str">
        <f t="shared" si="72"/>
        <v>"23":{"group":"A","lot":0,"name":"0","team":"0","year":"0","division":"--","bw":"0","idx":"23","sr":"0","br":"0","row":0,"sq":{"a1":0,"a2":"","a3":"","s1":0,"s2":0,"s3":0},"bp":{"a1":0,"a2":"","a3":"","s1":0,"s2":0,"s3":0},"dl":{"a1":0,"a2":"","a3":"","s1":0,"s2":0,"s3":0},"sortOrder":0,"act":{}}</v>
      </c>
    </row>
    <row r="149" spans="5:54" x14ac:dyDescent="0.25">
      <c r="E149" s="163"/>
      <c r="F149" s="126"/>
      <c r="G149" s="126"/>
      <c r="H149" s="126"/>
      <c r="I149" s="126"/>
      <c r="J149" s="126"/>
      <c r="K149" s="126"/>
      <c r="L149" s="126"/>
      <c r="M149" s="126"/>
      <c r="N149" s="126"/>
      <c r="O149" s="126"/>
      <c r="P149" s="126"/>
      <c r="Q149" s="126"/>
      <c r="R149" s="126"/>
      <c r="S149" s="126"/>
      <c r="T149" s="127"/>
      <c r="U149" s="128"/>
      <c r="V149" s="128"/>
      <c r="W149" s="129"/>
      <c r="Z149" s="15" t="str">
        <f t="shared" si="50"/>
        <v>A</v>
      </c>
      <c r="AA149" s="8">
        <f t="shared" si="62"/>
        <v>0</v>
      </c>
      <c r="AB149" s="9">
        <f t="shared" si="65"/>
        <v>0</v>
      </c>
      <c r="AC149" s="8">
        <f t="shared" si="63"/>
        <v>0</v>
      </c>
      <c r="AD149" s="8">
        <f t="shared" si="64"/>
        <v>0</v>
      </c>
      <c r="AE149" s="8" t="str">
        <f t="shared" si="66"/>
        <v>--</v>
      </c>
      <c r="AF149" s="10">
        <f t="shared" si="67"/>
        <v>0</v>
      </c>
      <c r="AG149" s="8">
        <v>23</v>
      </c>
      <c r="AH149" s="9">
        <f t="shared" si="68"/>
        <v>0</v>
      </c>
      <c r="AI149" s="11">
        <f t="shared" si="69"/>
        <v>0</v>
      </c>
      <c r="AJ149" s="6"/>
      <c r="AK149" s="6"/>
      <c r="AL149" s="6"/>
      <c r="AN149" t="str">
        <f t="shared" si="51"/>
        <v>"23":{</v>
      </c>
      <c r="AO149" t="str">
        <f t="shared" si="52"/>
        <v>"group":"A",</v>
      </c>
      <c r="AP149" t="str">
        <f t="shared" si="70"/>
        <v>"lot":0,</v>
      </c>
      <c r="AQ149" t="str">
        <f t="shared" si="53"/>
        <v>"name":"0",</v>
      </c>
      <c r="AR149" t="str">
        <f t="shared" si="54"/>
        <v>"team":"0",</v>
      </c>
      <c r="AS149" t="str">
        <f t="shared" si="55"/>
        <v>"year":"0",</v>
      </c>
      <c r="AT149" t="str">
        <f t="shared" si="56"/>
        <v>"division":"--",</v>
      </c>
      <c r="AU149" t="str">
        <f t="shared" si="57"/>
        <v>"bw":"0",</v>
      </c>
      <c r="AV149" t="str">
        <f t="shared" si="58"/>
        <v>"idx":"23",</v>
      </c>
      <c r="AW149" t="str">
        <f t="shared" si="59"/>
        <v>"sr":"0",</v>
      </c>
      <c r="AX149" t="str">
        <f t="shared" si="60"/>
        <v>"br":"0",</v>
      </c>
      <c r="AY149" t="str">
        <f t="shared" si="61"/>
        <v>"row":0,</v>
      </c>
      <c r="AZ149" t="s">
        <v>67</v>
      </c>
      <c r="BA149" t="str">
        <f t="shared" si="71"/>
        <v>"sq":{"a1":0,"a2":"","a3":"","s1":0,"s2":0,"s3":0},"bp":{"a1":0,"a2":"","a3":"","s1":0,"s2":0,"s3":0},"dl":{"a1":0,"a2":"","a3":"","s1":0,"s2":0,"s3":0},"sortOrder":0,"act":{}}</v>
      </c>
      <c r="BB149" t="str">
        <f t="shared" si="72"/>
        <v>"23":{"group":"A","lot":0,"name":"0","team":"0","year":"0","division":"--","bw":"0","idx":"23","sr":"0","br":"0","row":0,"sq":{"a1":0,"a2":"","a3":"","s1":0,"s2":0,"s3":0},"bp":{"a1":0,"a2":"","a3":"","s1":0,"s2":0,"s3":0},"dl":{"a1":0,"a2":"","a3":"","s1":0,"s2":0,"s3":0},"sortOrder":0,"act":{}}</v>
      </c>
    </row>
    <row r="150" spans="5:54" x14ac:dyDescent="0.25">
      <c r="E150" s="163"/>
      <c r="F150" s="126"/>
      <c r="G150" s="126"/>
      <c r="H150" s="126"/>
      <c r="I150" s="126"/>
      <c r="J150" s="126"/>
      <c r="K150" s="126"/>
      <c r="L150" s="126"/>
      <c r="M150" s="126"/>
      <c r="N150" s="126"/>
      <c r="O150" s="126"/>
      <c r="P150" s="126"/>
      <c r="Q150" s="126"/>
      <c r="R150" s="126"/>
      <c r="S150" s="126"/>
      <c r="T150" s="127"/>
      <c r="U150" s="128"/>
      <c r="V150" s="128"/>
      <c r="W150" s="129"/>
      <c r="Z150" s="15" t="str">
        <f t="shared" si="50"/>
        <v>A</v>
      </c>
      <c r="AA150" s="8">
        <f t="shared" si="62"/>
        <v>0</v>
      </c>
      <c r="AB150" s="9">
        <f t="shared" si="65"/>
        <v>0</v>
      </c>
      <c r="AC150" s="8">
        <f t="shared" si="63"/>
        <v>0</v>
      </c>
      <c r="AD150" s="8">
        <f t="shared" si="64"/>
        <v>0</v>
      </c>
      <c r="AE150" s="8" t="str">
        <f t="shared" si="66"/>
        <v>--</v>
      </c>
      <c r="AF150" s="10">
        <f t="shared" si="67"/>
        <v>0</v>
      </c>
      <c r="AG150" s="8">
        <v>23</v>
      </c>
      <c r="AH150" s="9">
        <f t="shared" si="68"/>
        <v>0</v>
      </c>
      <c r="AI150" s="11">
        <f t="shared" si="69"/>
        <v>0</v>
      </c>
      <c r="AJ150" s="6"/>
      <c r="AK150" s="6"/>
      <c r="AL150" s="6"/>
      <c r="AN150" t="str">
        <f t="shared" si="51"/>
        <v>"23":{</v>
      </c>
      <c r="AO150" t="str">
        <f t="shared" si="52"/>
        <v>"group":"A",</v>
      </c>
      <c r="AP150" t="str">
        <f t="shared" si="70"/>
        <v>"lot":0,</v>
      </c>
      <c r="AQ150" t="str">
        <f t="shared" si="53"/>
        <v>"name":"0",</v>
      </c>
      <c r="AR150" t="str">
        <f t="shared" si="54"/>
        <v>"team":"0",</v>
      </c>
      <c r="AS150" t="str">
        <f t="shared" si="55"/>
        <v>"year":"0",</v>
      </c>
      <c r="AT150" t="str">
        <f t="shared" si="56"/>
        <v>"division":"--",</v>
      </c>
      <c r="AU150" t="str">
        <f t="shared" si="57"/>
        <v>"bw":"0",</v>
      </c>
      <c r="AV150" t="str">
        <f t="shared" si="58"/>
        <v>"idx":"23",</v>
      </c>
      <c r="AW150" t="str">
        <f t="shared" si="59"/>
        <v>"sr":"0",</v>
      </c>
      <c r="AX150" t="str">
        <f t="shared" si="60"/>
        <v>"br":"0",</v>
      </c>
      <c r="AY150" t="str">
        <f t="shared" si="61"/>
        <v>"row":0,</v>
      </c>
      <c r="AZ150" t="s">
        <v>67</v>
      </c>
      <c r="BA150" t="str">
        <f t="shared" si="71"/>
        <v>"sq":{"a1":0,"a2":"","a3":"","s1":0,"s2":0,"s3":0},"bp":{"a1":0,"a2":"","a3":"","s1":0,"s2":0,"s3":0},"dl":{"a1":0,"a2":"","a3":"","s1":0,"s2":0,"s3":0},"sortOrder":0,"act":{}}</v>
      </c>
      <c r="BB150" t="str">
        <f t="shared" si="72"/>
        <v>"23":{"group":"A","lot":0,"name":"0","team":"0","year":"0","division":"--","bw":"0","idx":"23","sr":"0","br":"0","row":0,"sq":{"a1":0,"a2":"","a3":"","s1":0,"s2":0,"s3":0},"bp":{"a1":0,"a2":"","a3":"","s1":0,"s2":0,"s3":0},"dl":{"a1":0,"a2":"","a3":"","s1":0,"s2":0,"s3":0},"sortOrder":0,"act":{}}</v>
      </c>
    </row>
    <row r="151" spans="5:54" x14ac:dyDescent="0.25">
      <c r="E151" s="163"/>
      <c r="F151" s="126"/>
      <c r="G151" s="126"/>
      <c r="H151" s="126"/>
      <c r="I151" s="126"/>
      <c r="J151" s="126"/>
      <c r="K151" s="126"/>
      <c r="L151" s="126"/>
      <c r="M151" s="126"/>
      <c r="N151" s="126"/>
      <c r="O151" s="126"/>
      <c r="P151" s="126"/>
      <c r="Q151" s="126"/>
      <c r="R151" s="126"/>
      <c r="S151" s="126"/>
      <c r="T151" s="127"/>
      <c r="U151" s="128"/>
      <c r="V151" s="128"/>
      <c r="W151" s="129"/>
      <c r="Z151" s="15" t="str">
        <f t="shared" si="50"/>
        <v>A</v>
      </c>
      <c r="AA151" s="8">
        <f t="shared" si="62"/>
        <v>0</v>
      </c>
      <c r="AB151" s="9">
        <f t="shared" si="65"/>
        <v>0</v>
      </c>
      <c r="AC151" s="8">
        <f t="shared" si="63"/>
        <v>0</v>
      </c>
      <c r="AD151" s="8">
        <f t="shared" si="64"/>
        <v>0</v>
      </c>
      <c r="AE151" s="8" t="str">
        <f t="shared" si="66"/>
        <v>--</v>
      </c>
      <c r="AF151" s="10">
        <f t="shared" si="67"/>
        <v>0</v>
      </c>
      <c r="AG151" s="8">
        <v>23</v>
      </c>
      <c r="AH151" s="9">
        <f t="shared" si="68"/>
        <v>0</v>
      </c>
      <c r="AI151" s="11">
        <f t="shared" si="69"/>
        <v>0</v>
      </c>
      <c r="AJ151" s="6"/>
      <c r="AK151" s="6"/>
      <c r="AL151" s="6"/>
      <c r="AN151" t="str">
        <f t="shared" si="51"/>
        <v>"23":{</v>
      </c>
      <c r="AO151" t="str">
        <f t="shared" si="52"/>
        <v>"group":"A",</v>
      </c>
      <c r="AP151" t="str">
        <f t="shared" si="70"/>
        <v>"lot":0,</v>
      </c>
      <c r="AQ151" t="str">
        <f t="shared" si="53"/>
        <v>"name":"0",</v>
      </c>
      <c r="AR151" t="str">
        <f t="shared" si="54"/>
        <v>"team":"0",</v>
      </c>
      <c r="AS151" t="str">
        <f t="shared" si="55"/>
        <v>"year":"0",</v>
      </c>
      <c r="AT151" t="str">
        <f t="shared" si="56"/>
        <v>"division":"--",</v>
      </c>
      <c r="AU151" t="str">
        <f t="shared" si="57"/>
        <v>"bw":"0",</v>
      </c>
      <c r="AV151" t="str">
        <f t="shared" si="58"/>
        <v>"idx":"23",</v>
      </c>
      <c r="AW151" t="str">
        <f t="shared" si="59"/>
        <v>"sr":"0",</v>
      </c>
      <c r="AX151" t="str">
        <f t="shared" si="60"/>
        <v>"br":"0",</v>
      </c>
      <c r="AY151" t="str">
        <f t="shared" si="61"/>
        <v>"row":0,</v>
      </c>
      <c r="AZ151" t="s">
        <v>67</v>
      </c>
      <c r="BA151" t="str">
        <f t="shared" si="71"/>
        <v>"sq":{"a1":0,"a2":"","a3":"","s1":0,"s2":0,"s3":0},"bp":{"a1":0,"a2":"","a3":"","s1":0,"s2":0,"s3":0},"dl":{"a1":0,"a2":"","a3":"","s1":0,"s2":0,"s3":0},"sortOrder":0,"act":{}}</v>
      </c>
      <c r="BB151" t="str">
        <f t="shared" si="72"/>
        <v>"23":{"group":"A","lot":0,"name":"0","team":"0","year":"0","division":"--","bw":"0","idx":"23","sr":"0","br":"0","row":0,"sq":{"a1":0,"a2":"","a3":"","s1":0,"s2":0,"s3":0},"bp":{"a1":0,"a2":"","a3":"","s1":0,"s2":0,"s3":0},"dl":{"a1":0,"a2":"","a3":"","s1":0,"s2":0,"s3":0},"sortOrder":0,"act":{}}</v>
      </c>
    </row>
    <row r="152" spans="5:54" x14ac:dyDescent="0.25">
      <c r="E152" s="163"/>
      <c r="F152" s="126"/>
      <c r="G152" s="126"/>
      <c r="H152" s="126"/>
      <c r="I152" s="126"/>
      <c r="J152" s="126"/>
      <c r="K152" s="126"/>
      <c r="L152" s="126"/>
      <c r="M152" s="126"/>
      <c r="N152" s="126"/>
      <c r="O152" s="126"/>
      <c r="P152" s="126"/>
      <c r="Q152" s="126"/>
      <c r="R152" s="126"/>
      <c r="S152" s="126"/>
      <c r="T152" s="127"/>
      <c r="U152" s="128"/>
      <c r="V152" s="128"/>
      <c r="W152" s="129"/>
      <c r="Z152" s="15" t="str">
        <f t="shared" si="50"/>
        <v>A</v>
      </c>
      <c r="AA152" s="8">
        <f t="shared" si="62"/>
        <v>0</v>
      </c>
      <c r="AB152" s="9">
        <f t="shared" si="65"/>
        <v>0</v>
      </c>
      <c r="AC152" s="8">
        <f t="shared" si="63"/>
        <v>0</v>
      </c>
      <c r="AD152" s="8">
        <f t="shared" si="64"/>
        <v>0</v>
      </c>
      <c r="AE152" s="8" t="str">
        <f t="shared" si="66"/>
        <v>--</v>
      </c>
      <c r="AF152" s="10">
        <f t="shared" si="67"/>
        <v>0</v>
      </c>
      <c r="AG152" s="8">
        <v>23</v>
      </c>
      <c r="AH152" s="9">
        <f t="shared" si="68"/>
        <v>0</v>
      </c>
      <c r="AI152" s="11">
        <f t="shared" si="69"/>
        <v>0</v>
      </c>
      <c r="AJ152" s="6"/>
      <c r="AK152" s="6"/>
      <c r="AL152" s="6"/>
      <c r="AN152" t="str">
        <f t="shared" si="51"/>
        <v>"23":{</v>
      </c>
      <c r="AO152" t="str">
        <f t="shared" si="52"/>
        <v>"group":"A",</v>
      </c>
      <c r="AP152" t="str">
        <f t="shared" si="70"/>
        <v>"lot":0,</v>
      </c>
      <c r="AQ152" t="str">
        <f t="shared" si="53"/>
        <v>"name":"0",</v>
      </c>
      <c r="AR152" t="str">
        <f t="shared" si="54"/>
        <v>"team":"0",</v>
      </c>
      <c r="AS152" t="str">
        <f t="shared" si="55"/>
        <v>"year":"0",</v>
      </c>
      <c r="AT152" t="str">
        <f t="shared" si="56"/>
        <v>"division":"--",</v>
      </c>
      <c r="AU152" t="str">
        <f t="shared" si="57"/>
        <v>"bw":"0",</v>
      </c>
      <c r="AV152" t="str">
        <f t="shared" si="58"/>
        <v>"idx":"23",</v>
      </c>
      <c r="AW152" t="str">
        <f t="shared" si="59"/>
        <v>"sr":"0",</v>
      </c>
      <c r="AX152" t="str">
        <f t="shared" si="60"/>
        <v>"br":"0",</v>
      </c>
      <c r="AY152" t="str">
        <f t="shared" si="61"/>
        <v>"row":0,</v>
      </c>
      <c r="AZ152" t="s">
        <v>67</v>
      </c>
      <c r="BA152" t="str">
        <f t="shared" si="71"/>
        <v>"sq":{"a1":0,"a2":"","a3":"","s1":0,"s2":0,"s3":0},"bp":{"a1":0,"a2":"","a3":"","s1":0,"s2":0,"s3":0},"dl":{"a1":0,"a2":"","a3":"","s1":0,"s2":0,"s3":0},"sortOrder":0,"act":{}}</v>
      </c>
      <c r="BB152" t="str">
        <f t="shared" si="72"/>
        <v>"23":{"group":"A","lot":0,"name":"0","team":"0","year":"0","division":"--","bw":"0","idx":"23","sr":"0","br":"0","row":0,"sq":{"a1":0,"a2":"","a3":"","s1":0,"s2":0,"s3":0},"bp":{"a1":0,"a2":"","a3":"","s1":0,"s2":0,"s3":0},"dl":{"a1":0,"a2":"","a3":"","s1":0,"s2":0,"s3":0},"sortOrder":0,"act":{}}</v>
      </c>
    </row>
    <row r="153" spans="5:54" x14ac:dyDescent="0.25">
      <c r="E153" s="163"/>
      <c r="F153" s="126"/>
      <c r="G153" s="126"/>
      <c r="H153" s="126"/>
      <c r="I153" s="126"/>
      <c r="J153" s="126"/>
      <c r="K153" s="126"/>
      <c r="L153" s="126"/>
      <c r="M153" s="126"/>
      <c r="N153" s="126"/>
      <c r="O153" s="126"/>
      <c r="P153" s="126"/>
      <c r="Q153" s="126"/>
      <c r="R153" s="126"/>
      <c r="S153" s="126"/>
      <c r="T153" s="127"/>
      <c r="U153" s="128"/>
      <c r="V153" s="128"/>
      <c r="W153" s="129"/>
      <c r="Z153" s="15" t="str">
        <f t="shared" si="50"/>
        <v>A</v>
      </c>
      <c r="AA153" s="8">
        <f t="shared" si="62"/>
        <v>0</v>
      </c>
      <c r="AB153" s="9">
        <f t="shared" si="65"/>
        <v>0</v>
      </c>
      <c r="AC153" s="8">
        <f t="shared" si="63"/>
        <v>0</v>
      </c>
      <c r="AD153" s="8">
        <f t="shared" si="64"/>
        <v>0</v>
      </c>
      <c r="AE153" s="8" t="str">
        <f t="shared" si="66"/>
        <v>--</v>
      </c>
      <c r="AF153" s="10">
        <f t="shared" si="67"/>
        <v>0</v>
      </c>
      <c r="AG153" s="8">
        <v>23</v>
      </c>
      <c r="AH153" s="9">
        <f t="shared" si="68"/>
        <v>0</v>
      </c>
      <c r="AI153" s="11">
        <f t="shared" si="69"/>
        <v>0</v>
      </c>
      <c r="AJ153" s="6"/>
      <c r="AK153" s="6"/>
      <c r="AL153" s="6"/>
      <c r="AN153" t="str">
        <f t="shared" si="51"/>
        <v>"23":{</v>
      </c>
      <c r="AO153" t="str">
        <f t="shared" si="52"/>
        <v>"group":"A",</v>
      </c>
      <c r="AP153" t="str">
        <f t="shared" si="70"/>
        <v>"lot":0,</v>
      </c>
      <c r="AQ153" t="str">
        <f t="shared" si="53"/>
        <v>"name":"0",</v>
      </c>
      <c r="AR153" t="str">
        <f t="shared" si="54"/>
        <v>"team":"0",</v>
      </c>
      <c r="AS153" t="str">
        <f t="shared" si="55"/>
        <v>"year":"0",</v>
      </c>
      <c r="AT153" t="str">
        <f t="shared" si="56"/>
        <v>"division":"--",</v>
      </c>
      <c r="AU153" t="str">
        <f t="shared" si="57"/>
        <v>"bw":"0",</v>
      </c>
      <c r="AV153" t="str">
        <f t="shared" si="58"/>
        <v>"idx":"23",</v>
      </c>
      <c r="AW153" t="str">
        <f t="shared" si="59"/>
        <v>"sr":"0",</v>
      </c>
      <c r="AX153" t="str">
        <f t="shared" si="60"/>
        <v>"br":"0",</v>
      </c>
      <c r="AY153" t="str">
        <f t="shared" si="61"/>
        <v>"row":0,</v>
      </c>
      <c r="AZ153" t="s">
        <v>67</v>
      </c>
      <c r="BA153" t="str">
        <f t="shared" si="71"/>
        <v>"sq":{"a1":0,"a2":"","a3":"","s1":0,"s2":0,"s3":0},"bp":{"a1":0,"a2":"","a3":"","s1":0,"s2":0,"s3":0},"dl":{"a1":0,"a2":"","a3":"","s1":0,"s2":0,"s3":0},"sortOrder":0,"act":{}}</v>
      </c>
      <c r="BB153" t="str">
        <f t="shared" si="72"/>
        <v>"23":{"group":"A","lot":0,"name":"0","team":"0","year":"0","division":"--","bw":"0","idx":"23","sr":"0","br":"0","row":0,"sq":{"a1":0,"a2":"","a3":"","s1":0,"s2":0,"s3":0},"bp":{"a1":0,"a2":"","a3":"","s1":0,"s2":0,"s3":0},"dl":{"a1":0,"a2":"","a3":"","s1":0,"s2":0,"s3":0},"sortOrder":0,"act":{}}</v>
      </c>
    </row>
    <row r="154" spans="5:54" x14ac:dyDescent="0.25">
      <c r="E154" s="163"/>
      <c r="F154" s="126"/>
      <c r="G154" s="126"/>
      <c r="H154" s="126"/>
      <c r="I154" s="126"/>
      <c r="J154" s="126"/>
      <c r="K154" s="126"/>
      <c r="L154" s="126"/>
      <c r="M154" s="126"/>
      <c r="N154" s="126"/>
      <c r="O154" s="126"/>
      <c r="P154" s="126"/>
      <c r="Q154" s="126"/>
      <c r="R154" s="126"/>
      <c r="S154" s="126"/>
      <c r="T154" s="127"/>
      <c r="U154" s="128"/>
      <c r="V154" s="128"/>
      <c r="W154" s="129"/>
      <c r="Z154" s="15" t="str">
        <f t="shared" si="50"/>
        <v>A</v>
      </c>
      <c r="AA154" s="8">
        <f t="shared" si="62"/>
        <v>0</v>
      </c>
      <c r="AB154" s="9">
        <f t="shared" si="65"/>
        <v>0</v>
      </c>
      <c r="AC154" s="8">
        <f t="shared" si="63"/>
        <v>0</v>
      </c>
      <c r="AD154" s="8">
        <f t="shared" si="64"/>
        <v>0</v>
      </c>
      <c r="AE154" s="8" t="str">
        <f t="shared" si="66"/>
        <v>--</v>
      </c>
      <c r="AF154" s="10">
        <f t="shared" si="67"/>
        <v>0</v>
      </c>
      <c r="AG154" s="8">
        <v>23</v>
      </c>
      <c r="AH154" s="9">
        <f t="shared" si="68"/>
        <v>0</v>
      </c>
      <c r="AI154" s="11">
        <f t="shared" si="69"/>
        <v>0</v>
      </c>
      <c r="AJ154" s="6"/>
      <c r="AK154" s="6"/>
      <c r="AL154" s="6"/>
      <c r="AN154" t="str">
        <f t="shared" si="51"/>
        <v>"23":{</v>
      </c>
      <c r="AO154" t="str">
        <f t="shared" si="52"/>
        <v>"group":"A",</v>
      </c>
      <c r="AP154" t="str">
        <f t="shared" si="70"/>
        <v>"lot":0,</v>
      </c>
      <c r="AQ154" t="str">
        <f t="shared" si="53"/>
        <v>"name":"0",</v>
      </c>
      <c r="AR154" t="str">
        <f t="shared" si="54"/>
        <v>"team":"0",</v>
      </c>
      <c r="AS154" t="str">
        <f t="shared" si="55"/>
        <v>"year":"0",</v>
      </c>
      <c r="AT154" t="str">
        <f t="shared" si="56"/>
        <v>"division":"--",</v>
      </c>
      <c r="AU154" t="str">
        <f t="shared" si="57"/>
        <v>"bw":"0",</v>
      </c>
      <c r="AV154" t="str">
        <f t="shared" si="58"/>
        <v>"idx":"23",</v>
      </c>
      <c r="AW154" t="str">
        <f t="shared" si="59"/>
        <v>"sr":"0",</v>
      </c>
      <c r="AX154" t="str">
        <f t="shared" si="60"/>
        <v>"br":"0",</v>
      </c>
      <c r="AY154" t="str">
        <f t="shared" si="61"/>
        <v>"row":0,</v>
      </c>
      <c r="AZ154" t="s">
        <v>67</v>
      </c>
      <c r="BA154" t="str">
        <f t="shared" si="71"/>
        <v>"sq":{"a1":0,"a2":"","a3":"","s1":0,"s2":0,"s3":0},"bp":{"a1":0,"a2":"","a3":"","s1":0,"s2":0,"s3":0},"dl":{"a1":0,"a2":"","a3":"","s1":0,"s2":0,"s3":0},"sortOrder":0,"act":{}}</v>
      </c>
      <c r="BB154" t="str">
        <f t="shared" si="72"/>
        <v>"23":{"group":"A","lot":0,"name":"0","team":"0","year":"0","division":"--","bw":"0","idx":"23","sr":"0","br":"0","row":0,"sq":{"a1":0,"a2":"","a3":"","s1":0,"s2":0,"s3":0},"bp":{"a1":0,"a2":"","a3":"","s1":0,"s2":0,"s3":0},"dl":{"a1":0,"a2":"","a3":"","s1":0,"s2":0,"s3":0},"sortOrder":0,"act":{}}</v>
      </c>
    </row>
    <row r="155" spans="5:54" x14ac:dyDescent="0.25">
      <c r="E155" s="163"/>
      <c r="F155" s="126"/>
      <c r="G155" s="126"/>
      <c r="H155" s="126"/>
      <c r="I155" s="126"/>
      <c r="J155" s="126"/>
      <c r="K155" s="126"/>
      <c r="L155" s="126"/>
      <c r="M155" s="126"/>
      <c r="N155" s="126"/>
      <c r="O155" s="126"/>
      <c r="P155" s="126"/>
      <c r="Q155" s="126"/>
      <c r="R155" s="126"/>
      <c r="S155" s="126"/>
      <c r="T155" s="127"/>
      <c r="U155" s="128"/>
      <c r="V155" s="128"/>
      <c r="W155" s="129"/>
      <c r="Z155" s="15" t="str">
        <f t="shared" si="50"/>
        <v>A</v>
      </c>
      <c r="AA155" s="8">
        <f t="shared" si="62"/>
        <v>0</v>
      </c>
      <c r="AB155" s="9">
        <f t="shared" si="65"/>
        <v>0</v>
      </c>
      <c r="AC155" s="8">
        <f t="shared" si="63"/>
        <v>0</v>
      </c>
      <c r="AD155" s="8">
        <f t="shared" si="64"/>
        <v>0</v>
      </c>
      <c r="AE155" s="8" t="str">
        <f t="shared" si="66"/>
        <v>--</v>
      </c>
      <c r="AF155" s="10">
        <f t="shared" si="67"/>
        <v>0</v>
      </c>
      <c r="AG155" s="8">
        <v>23</v>
      </c>
      <c r="AH155" s="9">
        <f t="shared" si="68"/>
        <v>0</v>
      </c>
      <c r="AI155" s="11">
        <f t="shared" si="69"/>
        <v>0</v>
      </c>
      <c r="AJ155" s="6"/>
      <c r="AK155" s="6"/>
      <c r="AL155" s="6"/>
      <c r="AN155" t="str">
        <f t="shared" si="51"/>
        <v>"23":{</v>
      </c>
      <c r="AO155" t="str">
        <f t="shared" si="52"/>
        <v>"group":"A",</v>
      </c>
      <c r="AP155" t="str">
        <f t="shared" si="70"/>
        <v>"lot":0,</v>
      </c>
      <c r="AQ155" t="str">
        <f t="shared" si="53"/>
        <v>"name":"0",</v>
      </c>
      <c r="AR155" t="str">
        <f t="shared" si="54"/>
        <v>"team":"0",</v>
      </c>
      <c r="AS155" t="str">
        <f t="shared" si="55"/>
        <v>"year":"0",</v>
      </c>
      <c r="AT155" t="str">
        <f t="shared" si="56"/>
        <v>"division":"--",</v>
      </c>
      <c r="AU155" t="str">
        <f t="shared" si="57"/>
        <v>"bw":"0",</v>
      </c>
      <c r="AV155" t="str">
        <f t="shared" si="58"/>
        <v>"idx":"23",</v>
      </c>
      <c r="AW155" t="str">
        <f t="shared" si="59"/>
        <v>"sr":"0",</v>
      </c>
      <c r="AX155" t="str">
        <f t="shared" si="60"/>
        <v>"br":"0",</v>
      </c>
      <c r="AY155" t="str">
        <f t="shared" si="61"/>
        <v>"row":0,</v>
      </c>
      <c r="AZ155" t="s">
        <v>67</v>
      </c>
      <c r="BA155" t="str">
        <f t="shared" si="71"/>
        <v>"sq":{"a1":0,"a2":"","a3":"","s1":0,"s2":0,"s3":0},"bp":{"a1":0,"a2":"","a3":"","s1":0,"s2":0,"s3":0},"dl":{"a1":0,"a2":"","a3":"","s1":0,"s2":0,"s3":0},"sortOrder":0,"act":{}}</v>
      </c>
      <c r="BB155" t="str">
        <f t="shared" si="72"/>
        <v>"23":{"group":"A","lot":0,"name":"0","team":"0","year":"0","division":"--","bw":"0","idx":"23","sr":"0","br":"0","row":0,"sq":{"a1":0,"a2":"","a3":"","s1":0,"s2":0,"s3":0},"bp":{"a1":0,"a2":"","a3":"","s1":0,"s2":0,"s3":0},"dl":{"a1":0,"a2":"","a3":"","s1":0,"s2":0,"s3":0},"sortOrder":0,"act":{}}</v>
      </c>
    </row>
    <row r="156" spans="5:54" x14ac:dyDescent="0.25">
      <c r="E156" s="163"/>
      <c r="F156" s="126"/>
      <c r="G156" s="126"/>
      <c r="H156" s="126"/>
      <c r="I156" s="126"/>
      <c r="J156" s="126"/>
      <c r="K156" s="126"/>
      <c r="L156" s="126"/>
      <c r="M156" s="126"/>
      <c r="N156" s="126"/>
      <c r="O156" s="126"/>
      <c r="P156" s="126"/>
      <c r="Q156" s="126"/>
      <c r="R156" s="126"/>
      <c r="S156" s="126"/>
      <c r="T156" s="127"/>
      <c r="U156" s="128"/>
      <c r="V156" s="128"/>
      <c r="W156" s="129"/>
      <c r="Z156" s="15" t="str">
        <f t="shared" si="50"/>
        <v>A</v>
      </c>
      <c r="AA156" s="8">
        <f t="shared" si="62"/>
        <v>0</v>
      </c>
      <c r="AB156" s="9">
        <f t="shared" si="65"/>
        <v>0</v>
      </c>
      <c r="AC156" s="8">
        <f t="shared" si="63"/>
        <v>0</v>
      </c>
      <c r="AD156" s="8">
        <f t="shared" si="64"/>
        <v>0</v>
      </c>
      <c r="AE156" s="8" t="str">
        <f t="shared" si="66"/>
        <v>--</v>
      </c>
      <c r="AF156" s="10">
        <f t="shared" si="67"/>
        <v>0</v>
      </c>
      <c r="AG156" s="8">
        <v>23</v>
      </c>
      <c r="AH156" s="9">
        <f t="shared" si="68"/>
        <v>0</v>
      </c>
      <c r="AI156" s="11">
        <f t="shared" si="69"/>
        <v>0</v>
      </c>
      <c r="AJ156" s="6"/>
      <c r="AK156" s="6"/>
      <c r="AL156" s="6"/>
      <c r="AN156" t="str">
        <f t="shared" si="51"/>
        <v>"23":{</v>
      </c>
      <c r="AO156" t="str">
        <f t="shared" si="52"/>
        <v>"group":"A",</v>
      </c>
      <c r="AP156" t="str">
        <f t="shared" si="70"/>
        <v>"lot":0,</v>
      </c>
      <c r="AQ156" t="str">
        <f t="shared" si="53"/>
        <v>"name":"0",</v>
      </c>
      <c r="AR156" t="str">
        <f t="shared" si="54"/>
        <v>"team":"0",</v>
      </c>
      <c r="AS156" t="str">
        <f t="shared" si="55"/>
        <v>"year":"0",</v>
      </c>
      <c r="AT156" t="str">
        <f t="shared" si="56"/>
        <v>"division":"--",</v>
      </c>
      <c r="AU156" t="str">
        <f t="shared" si="57"/>
        <v>"bw":"0",</v>
      </c>
      <c r="AV156" t="str">
        <f t="shared" si="58"/>
        <v>"idx":"23",</v>
      </c>
      <c r="AW156" t="str">
        <f t="shared" si="59"/>
        <v>"sr":"0",</v>
      </c>
      <c r="AX156" t="str">
        <f t="shared" si="60"/>
        <v>"br":"0",</v>
      </c>
      <c r="AY156" t="str">
        <f t="shared" si="61"/>
        <v>"row":0,</v>
      </c>
      <c r="AZ156" t="s">
        <v>67</v>
      </c>
      <c r="BA156" t="str">
        <f t="shared" si="71"/>
        <v>"sq":{"a1":0,"a2":"","a3":"","s1":0,"s2":0,"s3":0},"bp":{"a1":0,"a2":"","a3":"","s1":0,"s2":0,"s3":0},"dl":{"a1":0,"a2":"","a3":"","s1":0,"s2":0,"s3":0},"sortOrder":0,"act":{}}</v>
      </c>
      <c r="BB156" t="str">
        <f t="shared" si="72"/>
        <v>"23":{"group":"A","lot":0,"name":"0","team":"0","year":"0","division":"--","bw":"0","idx":"23","sr":"0","br":"0","row":0,"sq":{"a1":0,"a2":"","a3":"","s1":0,"s2":0,"s3":0},"bp":{"a1":0,"a2":"","a3":"","s1":0,"s2":0,"s3":0},"dl":{"a1":0,"a2":"","a3":"","s1":0,"s2":0,"s3":0},"sortOrder":0,"act":{}}</v>
      </c>
    </row>
    <row r="157" spans="5:54" x14ac:dyDescent="0.25">
      <c r="E157" s="163"/>
      <c r="F157" s="126"/>
      <c r="G157" s="126"/>
      <c r="H157" s="126"/>
      <c r="I157" s="126"/>
      <c r="J157" s="126"/>
      <c r="K157" s="126"/>
      <c r="L157" s="126"/>
      <c r="M157" s="126"/>
      <c r="N157" s="126"/>
      <c r="O157" s="126"/>
      <c r="P157" s="126"/>
      <c r="Q157" s="126"/>
      <c r="R157" s="126"/>
      <c r="S157" s="126"/>
      <c r="T157" s="127"/>
      <c r="U157" s="128"/>
      <c r="V157" s="128"/>
      <c r="W157" s="129"/>
      <c r="Z157" s="15" t="str">
        <f t="shared" si="50"/>
        <v>A</v>
      </c>
      <c r="AA157" s="8">
        <f t="shared" si="62"/>
        <v>0</v>
      </c>
      <c r="AB157" s="9">
        <f t="shared" si="65"/>
        <v>0</v>
      </c>
      <c r="AC157" s="8">
        <f t="shared" si="63"/>
        <v>0</v>
      </c>
      <c r="AD157" s="8">
        <f t="shared" si="64"/>
        <v>0</v>
      </c>
      <c r="AE157" s="8" t="str">
        <f t="shared" si="66"/>
        <v>--</v>
      </c>
      <c r="AF157" s="10">
        <f t="shared" si="67"/>
        <v>0</v>
      </c>
      <c r="AG157" s="8">
        <v>23</v>
      </c>
      <c r="AH157" s="9">
        <f t="shared" si="68"/>
        <v>0</v>
      </c>
      <c r="AI157" s="11">
        <f t="shared" si="69"/>
        <v>0</v>
      </c>
      <c r="AJ157" s="6"/>
      <c r="AK157" s="6"/>
      <c r="AL157" s="6"/>
      <c r="AN157" t="str">
        <f t="shared" si="51"/>
        <v>"23":{</v>
      </c>
      <c r="AO157" t="str">
        <f t="shared" si="52"/>
        <v>"group":"A",</v>
      </c>
      <c r="AP157" t="str">
        <f t="shared" si="70"/>
        <v>"lot":0,</v>
      </c>
      <c r="AQ157" t="str">
        <f t="shared" si="53"/>
        <v>"name":"0",</v>
      </c>
      <c r="AR157" t="str">
        <f t="shared" si="54"/>
        <v>"team":"0",</v>
      </c>
      <c r="AS157" t="str">
        <f t="shared" si="55"/>
        <v>"year":"0",</v>
      </c>
      <c r="AT157" t="str">
        <f t="shared" si="56"/>
        <v>"division":"--",</v>
      </c>
      <c r="AU157" t="str">
        <f t="shared" si="57"/>
        <v>"bw":"0",</v>
      </c>
      <c r="AV157" t="str">
        <f t="shared" si="58"/>
        <v>"idx":"23",</v>
      </c>
      <c r="AW157" t="str">
        <f t="shared" si="59"/>
        <v>"sr":"0",</v>
      </c>
      <c r="AX157" t="str">
        <f t="shared" si="60"/>
        <v>"br":"0",</v>
      </c>
      <c r="AY157" t="str">
        <f t="shared" si="61"/>
        <v>"row":0,</v>
      </c>
      <c r="AZ157" t="s">
        <v>67</v>
      </c>
      <c r="BA157" t="str">
        <f t="shared" si="71"/>
        <v>"sq":{"a1":0,"a2":"","a3":"","s1":0,"s2":0,"s3":0},"bp":{"a1":0,"a2":"","a3":"","s1":0,"s2":0,"s3":0},"dl":{"a1":0,"a2":"","a3":"","s1":0,"s2":0,"s3":0},"sortOrder":0,"act":{}}</v>
      </c>
      <c r="BB157" t="str">
        <f t="shared" si="72"/>
        <v>"23":{"group":"A","lot":0,"name":"0","team":"0","year":"0","division":"--","bw":"0","idx":"23","sr":"0","br":"0","row":0,"sq":{"a1":0,"a2":"","a3":"","s1":0,"s2":0,"s3":0},"bp":{"a1":0,"a2":"","a3":"","s1":0,"s2":0,"s3":0},"dl":{"a1":0,"a2":"","a3":"","s1":0,"s2":0,"s3":0},"sortOrder":0,"act":{}}</v>
      </c>
    </row>
    <row r="158" spans="5:54" x14ac:dyDescent="0.25">
      <c r="E158" s="163"/>
      <c r="F158" s="126"/>
      <c r="G158" s="126"/>
      <c r="H158" s="126"/>
      <c r="I158" s="126"/>
      <c r="J158" s="126"/>
      <c r="K158" s="126"/>
      <c r="L158" s="126"/>
      <c r="M158" s="126"/>
      <c r="N158" s="126"/>
      <c r="O158" s="126"/>
      <c r="P158" s="126"/>
      <c r="Q158" s="126"/>
      <c r="R158" s="126"/>
      <c r="S158" s="126"/>
      <c r="T158" s="127"/>
      <c r="U158" s="128"/>
      <c r="V158" s="128"/>
      <c r="W158" s="129"/>
      <c r="Z158" s="15" t="str">
        <f t="shared" si="50"/>
        <v>A</v>
      </c>
      <c r="AA158" s="8">
        <f t="shared" si="62"/>
        <v>0</v>
      </c>
      <c r="AB158" s="9">
        <f t="shared" si="65"/>
        <v>0</v>
      </c>
      <c r="AC158" s="8">
        <f t="shared" si="63"/>
        <v>0</v>
      </c>
      <c r="AD158" s="8">
        <f t="shared" si="64"/>
        <v>0</v>
      </c>
      <c r="AE158" s="8" t="str">
        <f t="shared" si="66"/>
        <v>--</v>
      </c>
      <c r="AF158" s="10">
        <f t="shared" si="67"/>
        <v>0</v>
      </c>
      <c r="AG158" s="8">
        <v>23</v>
      </c>
      <c r="AH158" s="9">
        <f t="shared" si="68"/>
        <v>0</v>
      </c>
      <c r="AI158" s="11">
        <f t="shared" si="69"/>
        <v>0</v>
      </c>
      <c r="AJ158" s="6"/>
      <c r="AK158" s="6"/>
      <c r="AL158" s="6"/>
      <c r="AN158" t="str">
        <f t="shared" si="51"/>
        <v>"23":{</v>
      </c>
      <c r="AO158" t="str">
        <f t="shared" si="52"/>
        <v>"group":"A",</v>
      </c>
      <c r="AP158" t="str">
        <f t="shared" si="70"/>
        <v>"lot":0,</v>
      </c>
      <c r="AQ158" t="str">
        <f t="shared" si="53"/>
        <v>"name":"0",</v>
      </c>
      <c r="AR158" t="str">
        <f t="shared" si="54"/>
        <v>"team":"0",</v>
      </c>
      <c r="AS158" t="str">
        <f t="shared" si="55"/>
        <v>"year":"0",</v>
      </c>
      <c r="AT158" t="str">
        <f t="shared" si="56"/>
        <v>"division":"--",</v>
      </c>
      <c r="AU158" t="str">
        <f t="shared" si="57"/>
        <v>"bw":"0",</v>
      </c>
      <c r="AV158" t="str">
        <f t="shared" si="58"/>
        <v>"idx":"23",</v>
      </c>
      <c r="AW158" t="str">
        <f t="shared" si="59"/>
        <v>"sr":"0",</v>
      </c>
      <c r="AX158" t="str">
        <f t="shared" si="60"/>
        <v>"br":"0",</v>
      </c>
      <c r="AY158" t="str">
        <f t="shared" si="61"/>
        <v>"row":0,</v>
      </c>
      <c r="AZ158" t="s">
        <v>67</v>
      </c>
      <c r="BA158" t="str">
        <f t="shared" si="71"/>
        <v>"sq":{"a1":0,"a2":"","a3":"","s1":0,"s2":0,"s3":0},"bp":{"a1":0,"a2":"","a3":"","s1":0,"s2":0,"s3":0},"dl":{"a1":0,"a2":"","a3":"","s1":0,"s2":0,"s3":0},"sortOrder":0,"act":{}}</v>
      </c>
      <c r="BB158" t="str">
        <f t="shared" si="72"/>
        <v>"23":{"group":"A","lot":0,"name":"0","team":"0","year":"0","division":"--","bw":"0","idx":"23","sr":"0","br":"0","row":0,"sq":{"a1":0,"a2":"","a3":"","s1":0,"s2":0,"s3":0},"bp":{"a1":0,"a2":"","a3":"","s1":0,"s2":0,"s3":0},"dl":{"a1":0,"a2":"","a3":"","s1":0,"s2":0,"s3":0},"sortOrder":0,"act":{}}</v>
      </c>
    </row>
    <row r="159" spans="5:54" x14ac:dyDescent="0.25">
      <c r="E159" s="163"/>
      <c r="F159" s="126"/>
      <c r="G159" s="126"/>
      <c r="H159" s="126"/>
      <c r="I159" s="126"/>
      <c r="J159" s="126"/>
      <c r="K159" s="126"/>
      <c r="L159" s="126"/>
      <c r="M159" s="126"/>
      <c r="N159" s="126"/>
      <c r="O159" s="126"/>
      <c r="P159" s="126"/>
      <c r="Q159" s="126"/>
      <c r="R159" s="126"/>
      <c r="S159" s="126"/>
      <c r="T159" s="127"/>
      <c r="U159" s="128"/>
      <c r="V159" s="128"/>
      <c r="W159" s="129"/>
      <c r="Z159" s="15" t="str">
        <f t="shared" si="50"/>
        <v>A</v>
      </c>
      <c r="AA159" s="8">
        <f t="shared" si="62"/>
        <v>0</v>
      </c>
      <c r="AB159" s="9">
        <f t="shared" si="65"/>
        <v>0</v>
      </c>
      <c r="AC159" s="8">
        <f t="shared" si="63"/>
        <v>0</v>
      </c>
      <c r="AD159" s="8">
        <f t="shared" si="64"/>
        <v>0</v>
      </c>
      <c r="AE159" s="8" t="str">
        <f t="shared" si="66"/>
        <v>--</v>
      </c>
      <c r="AF159" s="10">
        <f t="shared" si="67"/>
        <v>0</v>
      </c>
      <c r="AG159" s="8">
        <v>23</v>
      </c>
      <c r="AH159" s="9">
        <f t="shared" si="68"/>
        <v>0</v>
      </c>
      <c r="AI159" s="11">
        <f t="shared" si="69"/>
        <v>0</v>
      </c>
      <c r="AJ159" s="6"/>
      <c r="AK159" s="6"/>
      <c r="AL159" s="6"/>
      <c r="AN159" t="str">
        <f t="shared" si="51"/>
        <v>"23":{</v>
      </c>
      <c r="AO159" t="str">
        <f t="shared" si="52"/>
        <v>"group":"A",</v>
      </c>
      <c r="AP159" t="str">
        <f t="shared" si="70"/>
        <v>"lot":0,</v>
      </c>
      <c r="AQ159" t="str">
        <f t="shared" si="53"/>
        <v>"name":"0",</v>
      </c>
      <c r="AR159" t="str">
        <f t="shared" si="54"/>
        <v>"team":"0",</v>
      </c>
      <c r="AS159" t="str">
        <f t="shared" si="55"/>
        <v>"year":"0",</v>
      </c>
      <c r="AT159" t="str">
        <f t="shared" si="56"/>
        <v>"division":"--",</v>
      </c>
      <c r="AU159" t="str">
        <f t="shared" si="57"/>
        <v>"bw":"0",</v>
      </c>
      <c r="AV159" t="str">
        <f t="shared" si="58"/>
        <v>"idx":"23",</v>
      </c>
      <c r="AW159" t="str">
        <f t="shared" si="59"/>
        <v>"sr":"0",</v>
      </c>
      <c r="AX159" t="str">
        <f t="shared" si="60"/>
        <v>"br":"0",</v>
      </c>
      <c r="AY159" t="str">
        <f t="shared" si="61"/>
        <v>"row":0,</v>
      </c>
      <c r="AZ159" t="s">
        <v>67</v>
      </c>
      <c r="BA159" t="str">
        <f t="shared" si="71"/>
        <v>"sq":{"a1":0,"a2":"","a3":"","s1":0,"s2":0,"s3":0},"bp":{"a1":0,"a2":"","a3":"","s1":0,"s2":0,"s3":0},"dl":{"a1":0,"a2":"","a3":"","s1":0,"s2":0,"s3":0},"sortOrder":0,"act":{}}</v>
      </c>
      <c r="BB159" t="str">
        <f t="shared" si="72"/>
        <v>"23":{"group":"A","lot":0,"name":"0","team":"0","year":"0","division":"--","bw":"0","idx":"23","sr":"0","br":"0","row":0,"sq":{"a1":0,"a2":"","a3":"","s1":0,"s2":0,"s3":0},"bp":{"a1":0,"a2":"","a3":"","s1":0,"s2":0,"s3":0},"dl":{"a1":0,"a2":"","a3":"","s1":0,"s2":0,"s3":0},"sortOrder":0,"act":{}}</v>
      </c>
    </row>
    <row r="160" spans="5:54" x14ac:dyDescent="0.25">
      <c r="E160" s="163"/>
      <c r="F160" s="126"/>
      <c r="G160" s="126"/>
      <c r="H160" s="126"/>
      <c r="I160" s="126"/>
      <c r="J160" s="126"/>
      <c r="K160" s="126"/>
      <c r="L160" s="126"/>
      <c r="M160" s="126"/>
      <c r="N160" s="126"/>
      <c r="O160" s="126"/>
      <c r="P160" s="126"/>
      <c r="Q160" s="126"/>
      <c r="R160" s="126"/>
      <c r="S160" s="126"/>
      <c r="T160" s="127"/>
      <c r="U160" s="128"/>
      <c r="V160" s="128"/>
      <c r="W160" s="129"/>
      <c r="Z160" s="15" t="str">
        <f t="shared" si="50"/>
        <v>A</v>
      </c>
      <c r="AA160" s="8">
        <f t="shared" si="62"/>
        <v>0</v>
      </c>
      <c r="AB160" s="9">
        <f t="shared" si="65"/>
        <v>0</v>
      </c>
      <c r="AC160" s="8">
        <f t="shared" si="63"/>
        <v>0</v>
      </c>
      <c r="AD160" s="8">
        <f t="shared" si="64"/>
        <v>0</v>
      </c>
      <c r="AE160" s="8" t="str">
        <f t="shared" si="66"/>
        <v>--</v>
      </c>
      <c r="AF160" s="10">
        <f t="shared" si="67"/>
        <v>0</v>
      </c>
      <c r="AG160" s="8">
        <v>23</v>
      </c>
      <c r="AH160" s="9">
        <f t="shared" si="68"/>
        <v>0</v>
      </c>
      <c r="AI160" s="11">
        <f t="shared" si="69"/>
        <v>0</v>
      </c>
      <c r="AJ160" s="6"/>
      <c r="AK160" s="6"/>
      <c r="AL160" s="6"/>
      <c r="AN160" t="str">
        <f t="shared" si="51"/>
        <v>"23":{</v>
      </c>
      <c r="AO160" t="str">
        <f t="shared" si="52"/>
        <v>"group":"A",</v>
      </c>
      <c r="AP160" t="str">
        <f t="shared" si="70"/>
        <v>"lot":0,</v>
      </c>
      <c r="AQ160" t="str">
        <f t="shared" si="53"/>
        <v>"name":"0",</v>
      </c>
      <c r="AR160" t="str">
        <f t="shared" si="54"/>
        <v>"team":"0",</v>
      </c>
      <c r="AS160" t="str">
        <f t="shared" si="55"/>
        <v>"year":"0",</v>
      </c>
      <c r="AT160" t="str">
        <f t="shared" si="56"/>
        <v>"division":"--",</v>
      </c>
      <c r="AU160" t="str">
        <f t="shared" si="57"/>
        <v>"bw":"0",</v>
      </c>
      <c r="AV160" t="str">
        <f t="shared" si="58"/>
        <v>"idx":"23",</v>
      </c>
      <c r="AW160" t="str">
        <f t="shared" si="59"/>
        <v>"sr":"0",</v>
      </c>
      <c r="AX160" t="str">
        <f t="shared" si="60"/>
        <v>"br":"0",</v>
      </c>
      <c r="AY160" t="str">
        <f t="shared" si="61"/>
        <v>"row":0,</v>
      </c>
      <c r="AZ160" t="s">
        <v>67</v>
      </c>
      <c r="BA160" t="str">
        <f t="shared" si="71"/>
        <v>"sq":{"a1":0,"a2":"","a3":"","s1":0,"s2":0,"s3":0},"bp":{"a1":0,"a2":"","a3":"","s1":0,"s2":0,"s3":0},"dl":{"a1":0,"a2":"","a3":"","s1":0,"s2":0,"s3":0},"sortOrder":0,"act":{}}</v>
      </c>
      <c r="BB160" t="str">
        <f t="shared" si="72"/>
        <v>"23":{"group":"A","lot":0,"name":"0","team":"0","year":"0","division":"--","bw":"0","idx":"23","sr":"0","br":"0","row":0,"sq":{"a1":0,"a2":"","a3":"","s1":0,"s2":0,"s3":0},"bp":{"a1":0,"a2":"","a3":"","s1":0,"s2":0,"s3":0},"dl":{"a1":0,"a2":"","a3":"","s1":0,"s2":0,"s3":0},"sortOrder":0,"act":{}}</v>
      </c>
    </row>
    <row r="161" spans="5:54" x14ac:dyDescent="0.25">
      <c r="E161" s="163"/>
      <c r="F161" s="126"/>
      <c r="G161" s="126"/>
      <c r="H161" s="126"/>
      <c r="I161" s="126"/>
      <c r="J161" s="126"/>
      <c r="K161" s="126"/>
      <c r="L161" s="126"/>
      <c r="M161" s="126"/>
      <c r="N161" s="126"/>
      <c r="O161" s="126"/>
      <c r="P161" s="126"/>
      <c r="Q161" s="126"/>
      <c r="R161" s="126"/>
      <c r="S161" s="126"/>
      <c r="T161" s="127"/>
      <c r="U161" s="128"/>
      <c r="V161" s="128"/>
      <c r="W161" s="129"/>
      <c r="Z161" s="15" t="str">
        <f t="shared" si="50"/>
        <v>A</v>
      </c>
      <c r="AA161" s="8">
        <f t="shared" si="62"/>
        <v>0</v>
      </c>
      <c r="AB161" s="9">
        <f t="shared" si="65"/>
        <v>0</v>
      </c>
      <c r="AC161" s="8">
        <f t="shared" si="63"/>
        <v>0</v>
      </c>
      <c r="AD161" s="8">
        <f t="shared" si="64"/>
        <v>0</v>
      </c>
      <c r="AE161" s="8" t="str">
        <f t="shared" si="66"/>
        <v>--</v>
      </c>
      <c r="AF161" s="10">
        <f t="shared" si="67"/>
        <v>0</v>
      </c>
      <c r="AG161" s="8">
        <v>23</v>
      </c>
      <c r="AH161" s="9">
        <f t="shared" si="68"/>
        <v>0</v>
      </c>
      <c r="AI161" s="11">
        <f t="shared" si="69"/>
        <v>0</v>
      </c>
      <c r="AJ161" s="6"/>
      <c r="AK161" s="6"/>
      <c r="AL161" s="6"/>
      <c r="AN161" t="str">
        <f t="shared" si="51"/>
        <v>"23":{</v>
      </c>
      <c r="AO161" t="str">
        <f t="shared" si="52"/>
        <v>"group":"A",</v>
      </c>
      <c r="AP161" t="str">
        <f t="shared" si="70"/>
        <v>"lot":0,</v>
      </c>
      <c r="AQ161" t="str">
        <f t="shared" si="53"/>
        <v>"name":"0",</v>
      </c>
      <c r="AR161" t="str">
        <f t="shared" si="54"/>
        <v>"team":"0",</v>
      </c>
      <c r="AS161" t="str">
        <f t="shared" si="55"/>
        <v>"year":"0",</v>
      </c>
      <c r="AT161" t="str">
        <f t="shared" si="56"/>
        <v>"division":"--",</v>
      </c>
      <c r="AU161" t="str">
        <f t="shared" si="57"/>
        <v>"bw":"0",</v>
      </c>
      <c r="AV161" t="str">
        <f t="shared" si="58"/>
        <v>"idx":"23",</v>
      </c>
      <c r="AW161" t="str">
        <f t="shared" si="59"/>
        <v>"sr":"0",</v>
      </c>
      <c r="AX161" t="str">
        <f t="shared" si="60"/>
        <v>"br":"0",</v>
      </c>
      <c r="AY161" t="str">
        <f t="shared" si="61"/>
        <v>"row":0,</v>
      </c>
      <c r="AZ161" t="s">
        <v>67</v>
      </c>
      <c r="BA161" t="str">
        <f t="shared" si="71"/>
        <v>"sq":{"a1":0,"a2":"","a3":"","s1":0,"s2":0,"s3":0},"bp":{"a1":0,"a2":"","a3":"","s1":0,"s2":0,"s3":0},"dl":{"a1":0,"a2":"","a3":"","s1":0,"s2":0,"s3":0},"sortOrder":0,"act":{}}</v>
      </c>
      <c r="BB161" t="str">
        <f t="shared" si="72"/>
        <v>"23":{"group":"A","lot":0,"name":"0","team":"0","year":"0","division":"--","bw":"0","idx":"23","sr":"0","br":"0","row":0,"sq":{"a1":0,"a2":"","a3":"","s1":0,"s2":0,"s3":0},"bp":{"a1":0,"a2":"","a3":"","s1":0,"s2":0,"s3":0},"dl":{"a1":0,"a2":"","a3":"","s1":0,"s2":0,"s3":0},"sortOrder":0,"act":{}}</v>
      </c>
    </row>
    <row r="162" spans="5:54" x14ac:dyDescent="0.25">
      <c r="E162" s="163"/>
      <c r="F162" s="126"/>
      <c r="G162" s="126"/>
      <c r="H162" s="126"/>
      <c r="I162" s="126"/>
      <c r="J162" s="126"/>
      <c r="K162" s="126"/>
      <c r="L162" s="126"/>
      <c r="M162" s="126"/>
      <c r="N162" s="126"/>
      <c r="O162" s="126"/>
      <c r="P162" s="126"/>
      <c r="Q162" s="126"/>
      <c r="R162" s="126"/>
      <c r="S162" s="126"/>
      <c r="T162" s="127"/>
      <c r="U162" s="128"/>
      <c r="V162" s="128"/>
      <c r="W162" s="129"/>
      <c r="Z162" s="15" t="str">
        <f t="shared" si="50"/>
        <v>A</v>
      </c>
      <c r="AA162" s="8">
        <f t="shared" si="62"/>
        <v>0</v>
      </c>
      <c r="AB162" s="9">
        <f t="shared" si="65"/>
        <v>0</v>
      </c>
      <c r="AC162" s="8">
        <f t="shared" si="63"/>
        <v>0</v>
      </c>
      <c r="AD162" s="8">
        <f t="shared" si="64"/>
        <v>0</v>
      </c>
      <c r="AE162" s="8" t="str">
        <f t="shared" si="66"/>
        <v>--</v>
      </c>
      <c r="AF162" s="10">
        <f t="shared" si="67"/>
        <v>0</v>
      </c>
      <c r="AG162" s="8">
        <v>23</v>
      </c>
      <c r="AH162" s="9">
        <f t="shared" si="68"/>
        <v>0</v>
      </c>
      <c r="AI162" s="11">
        <f t="shared" si="69"/>
        <v>0</v>
      </c>
      <c r="AJ162" s="6"/>
      <c r="AK162" s="6"/>
      <c r="AL162" s="6"/>
      <c r="AN162" t="str">
        <f t="shared" si="51"/>
        <v>"23":{</v>
      </c>
      <c r="AO162" t="str">
        <f t="shared" si="52"/>
        <v>"group":"A",</v>
      </c>
      <c r="AP162" t="str">
        <f t="shared" si="70"/>
        <v>"lot":0,</v>
      </c>
      <c r="AQ162" t="str">
        <f t="shared" si="53"/>
        <v>"name":"0",</v>
      </c>
      <c r="AR162" t="str">
        <f t="shared" si="54"/>
        <v>"team":"0",</v>
      </c>
      <c r="AS162" t="str">
        <f t="shared" si="55"/>
        <v>"year":"0",</v>
      </c>
      <c r="AT162" t="str">
        <f t="shared" si="56"/>
        <v>"division":"--",</v>
      </c>
      <c r="AU162" t="str">
        <f t="shared" si="57"/>
        <v>"bw":"0",</v>
      </c>
      <c r="AV162" t="str">
        <f t="shared" si="58"/>
        <v>"idx":"23",</v>
      </c>
      <c r="AW162" t="str">
        <f t="shared" si="59"/>
        <v>"sr":"0",</v>
      </c>
      <c r="AX162" t="str">
        <f t="shared" si="60"/>
        <v>"br":"0",</v>
      </c>
      <c r="AY162" t="str">
        <f t="shared" si="61"/>
        <v>"row":0,</v>
      </c>
      <c r="AZ162" t="s">
        <v>67</v>
      </c>
      <c r="BA162" t="str">
        <f t="shared" si="71"/>
        <v>"sq":{"a1":0,"a2":"","a3":"","s1":0,"s2":0,"s3":0},"bp":{"a1":0,"a2":"","a3":"","s1":0,"s2":0,"s3":0},"dl":{"a1":0,"a2":"","a3":"","s1":0,"s2":0,"s3":0},"sortOrder":0,"act":{}}</v>
      </c>
      <c r="BB162" t="str">
        <f t="shared" si="72"/>
        <v>"23":{"group":"A","lot":0,"name":"0","team":"0","year":"0","division":"--","bw":"0","idx":"23","sr":"0","br":"0","row":0,"sq":{"a1":0,"a2":"","a3":"","s1":0,"s2":0,"s3":0},"bp":{"a1":0,"a2":"","a3":"","s1":0,"s2":0,"s3":0},"dl":{"a1":0,"a2":"","a3":"","s1":0,"s2":0,"s3":0},"sortOrder":0,"act":{}}</v>
      </c>
    </row>
    <row r="163" spans="5:54" x14ac:dyDescent="0.25">
      <c r="E163" s="163"/>
      <c r="F163" s="126"/>
      <c r="G163" s="126"/>
      <c r="H163" s="126"/>
      <c r="I163" s="126"/>
      <c r="J163" s="126"/>
      <c r="K163" s="126"/>
      <c r="L163" s="126"/>
      <c r="M163" s="126"/>
      <c r="N163" s="126"/>
      <c r="O163" s="126"/>
      <c r="P163" s="126"/>
      <c r="Q163" s="126"/>
      <c r="R163" s="126"/>
      <c r="S163" s="126"/>
      <c r="T163" s="127"/>
      <c r="U163" s="128"/>
      <c r="V163" s="128"/>
      <c r="W163" s="129"/>
      <c r="Z163" s="15" t="str">
        <f t="shared" si="50"/>
        <v>A</v>
      </c>
      <c r="AA163" s="8">
        <f t="shared" si="62"/>
        <v>0</v>
      </c>
      <c r="AB163" s="9">
        <f t="shared" si="65"/>
        <v>0</v>
      </c>
      <c r="AC163" s="8">
        <f t="shared" si="63"/>
        <v>0</v>
      </c>
      <c r="AD163" s="8">
        <f t="shared" si="64"/>
        <v>0</v>
      </c>
      <c r="AE163" s="8" t="str">
        <f t="shared" si="66"/>
        <v>--</v>
      </c>
      <c r="AF163" s="10">
        <f t="shared" si="67"/>
        <v>0</v>
      </c>
      <c r="AG163" s="8">
        <v>23</v>
      </c>
      <c r="AH163" s="9">
        <f t="shared" si="68"/>
        <v>0</v>
      </c>
      <c r="AI163" s="11">
        <f t="shared" si="69"/>
        <v>0</v>
      </c>
      <c r="AJ163" s="6"/>
      <c r="AK163" s="6"/>
      <c r="AL163" s="6"/>
      <c r="AN163" t="str">
        <f t="shared" si="51"/>
        <v>"23":{</v>
      </c>
      <c r="AO163" t="str">
        <f t="shared" si="52"/>
        <v>"group":"A",</v>
      </c>
      <c r="AP163" t="str">
        <f t="shared" si="70"/>
        <v>"lot":0,</v>
      </c>
      <c r="AQ163" t="str">
        <f t="shared" si="53"/>
        <v>"name":"0",</v>
      </c>
      <c r="AR163" t="str">
        <f t="shared" si="54"/>
        <v>"team":"0",</v>
      </c>
      <c r="AS163" t="str">
        <f t="shared" si="55"/>
        <v>"year":"0",</v>
      </c>
      <c r="AT163" t="str">
        <f t="shared" si="56"/>
        <v>"division":"--",</v>
      </c>
      <c r="AU163" t="str">
        <f t="shared" si="57"/>
        <v>"bw":"0",</v>
      </c>
      <c r="AV163" t="str">
        <f t="shared" si="58"/>
        <v>"idx":"23",</v>
      </c>
      <c r="AW163" t="str">
        <f t="shared" si="59"/>
        <v>"sr":"0",</v>
      </c>
      <c r="AX163" t="str">
        <f t="shared" si="60"/>
        <v>"br":"0",</v>
      </c>
      <c r="AY163" t="str">
        <f t="shared" si="61"/>
        <v>"row":0,</v>
      </c>
      <c r="AZ163" t="s">
        <v>67</v>
      </c>
      <c r="BA163" t="str">
        <f t="shared" si="71"/>
        <v>"sq":{"a1":0,"a2":"","a3":"","s1":0,"s2":0,"s3":0},"bp":{"a1":0,"a2":"","a3":"","s1":0,"s2":0,"s3":0},"dl":{"a1":0,"a2":"","a3":"","s1":0,"s2":0,"s3":0},"sortOrder":0,"act":{}}</v>
      </c>
      <c r="BB163" t="str">
        <f t="shared" si="72"/>
        <v>"23":{"group":"A","lot":0,"name":"0","team":"0","year":"0","division":"--","bw":"0","idx":"23","sr":"0","br":"0","row":0,"sq":{"a1":0,"a2":"","a3":"","s1":0,"s2":0,"s3":0},"bp":{"a1":0,"a2":"","a3":"","s1":0,"s2":0,"s3":0},"dl":{"a1":0,"a2":"","a3":"","s1":0,"s2":0,"s3":0},"sortOrder":0,"act":{}}</v>
      </c>
    </row>
    <row r="164" spans="5:54" x14ac:dyDescent="0.25">
      <c r="E164" s="163"/>
      <c r="F164" s="126"/>
      <c r="G164" s="126"/>
      <c r="H164" s="126"/>
      <c r="I164" s="126"/>
      <c r="J164" s="126"/>
      <c r="K164" s="126"/>
      <c r="L164" s="126"/>
      <c r="M164" s="126"/>
      <c r="N164" s="126"/>
      <c r="O164" s="126"/>
      <c r="P164" s="126"/>
      <c r="Q164" s="126"/>
      <c r="R164" s="126"/>
      <c r="S164" s="126"/>
      <c r="T164" s="127"/>
      <c r="U164" s="128"/>
      <c r="V164" s="128"/>
      <c r="W164" s="129"/>
      <c r="Z164" s="15" t="str">
        <f t="shared" si="50"/>
        <v>A</v>
      </c>
      <c r="AA164" s="8">
        <f t="shared" si="62"/>
        <v>0</v>
      </c>
      <c r="AB164" s="9">
        <f t="shared" si="65"/>
        <v>0</v>
      </c>
      <c r="AC164" s="8">
        <f t="shared" si="63"/>
        <v>0</v>
      </c>
      <c r="AD164" s="8">
        <f t="shared" si="64"/>
        <v>0</v>
      </c>
      <c r="AE164" s="8" t="str">
        <f t="shared" si="66"/>
        <v>--</v>
      </c>
      <c r="AF164" s="10">
        <f t="shared" si="67"/>
        <v>0</v>
      </c>
      <c r="AG164" s="8">
        <v>23</v>
      </c>
      <c r="AH164" s="9">
        <f t="shared" si="68"/>
        <v>0</v>
      </c>
      <c r="AI164" s="11">
        <f t="shared" si="69"/>
        <v>0</v>
      </c>
      <c r="AJ164" s="6"/>
      <c r="AK164" s="6"/>
      <c r="AL164" s="6"/>
      <c r="AN164" t="str">
        <f t="shared" si="51"/>
        <v>"23":{</v>
      </c>
      <c r="AO164" t="str">
        <f t="shared" si="52"/>
        <v>"group":"A",</v>
      </c>
      <c r="AP164" t="str">
        <f t="shared" si="70"/>
        <v>"lot":0,</v>
      </c>
      <c r="AQ164" t="str">
        <f t="shared" si="53"/>
        <v>"name":"0",</v>
      </c>
      <c r="AR164" t="str">
        <f t="shared" si="54"/>
        <v>"team":"0",</v>
      </c>
      <c r="AS164" t="str">
        <f t="shared" si="55"/>
        <v>"year":"0",</v>
      </c>
      <c r="AT164" t="str">
        <f t="shared" si="56"/>
        <v>"division":"--",</v>
      </c>
      <c r="AU164" t="str">
        <f t="shared" si="57"/>
        <v>"bw":"0",</v>
      </c>
      <c r="AV164" t="str">
        <f t="shared" si="58"/>
        <v>"idx":"23",</v>
      </c>
      <c r="AW164" t="str">
        <f t="shared" si="59"/>
        <v>"sr":"0",</v>
      </c>
      <c r="AX164" t="str">
        <f t="shared" si="60"/>
        <v>"br":"0",</v>
      </c>
      <c r="AY164" t="str">
        <f t="shared" si="61"/>
        <v>"row":0,</v>
      </c>
      <c r="AZ164" t="s">
        <v>67</v>
      </c>
      <c r="BA164" t="str">
        <f t="shared" si="71"/>
        <v>"sq":{"a1":0,"a2":"","a3":"","s1":0,"s2":0,"s3":0},"bp":{"a1":0,"a2":"","a3":"","s1":0,"s2":0,"s3":0},"dl":{"a1":0,"a2":"","a3":"","s1":0,"s2":0,"s3":0},"sortOrder":0,"act":{}}</v>
      </c>
      <c r="BB164" t="str">
        <f t="shared" si="72"/>
        <v>"23":{"group":"A","lot":0,"name":"0","team":"0","year":"0","division":"--","bw":"0","idx":"23","sr":"0","br":"0","row":0,"sq":{"a1":0,"a2":"","a3":"","s1":0,"s2":0,"s3":0},"bp":{"a1":0,"a2":"","a3":"","s1":0,"s2":0,"s3":0},"dl":{"a1":0,"a2":"","a3":"","s1":0,"s2":0,"s3":0},"sortOrder":0,"act":{}}</v>
      </c>
    </row>
    <row r="165" spans="5:54" x14ac:dyDescent="0.25">
      <c r="E165" s="163"/>
      <c r="F165" s="126"/>
      <c r="G165" s="126"/>
      <c r="H165" s="126"/>
      <c r="I165" s="126"/>
      <c r="J165" s="126"/>
      <c r="K165" s="126"/>
      <c r="L165" s="126"/>
      <c r="M165" s="126"/>
      <c r="N165" s="126"/>
      <c r="O165" s="126"/>
      <c r="P165" s="126"/>
      <c r="Q165" s="126"/>
      <c r="R165" s="126"/>
      <c r="S165" s="126"/>
      <c r="T165" s="127"/>
      <c r="U165" s="128"/>
      <c r="V165" s="128"/>
      <c r="W165" s="129"/>
      <c r="Z165" s="15" t="str">
        <f t="shared" si="50"/>
        <v>A</v>
      </c>
      <c r="AA165" s="8">
        <f t="shared" si="62"/>
        <v>0</v>
      </c>
      <c r="AB165" s="9">
        <f t="shared" si="65"/>
        <v>0</v>
      </c>
      <c r="AC165" s="8">
        <f t="shared" si="63"/>
        <v>0</v>
      </c>
      <c r="AD165" s="8">
        <f t="shared" si="64"/>
        <v>0</v>
      </c>
      <c r="AE165" s="8" t="str">
        <f t="shared" si="66"/>
        <v>--</v>
      </c>
      <c r="AF165" s="10">
        <f t="shared" si="67"/>
        <v>0</v>
      </c>
      <c r="AG165" s="8">
        <v>23</v>
      </c>
      <c r="AH165" s="9">
        <f t="shared" si="68"/>
        <v>0</v>
      </c>
      <c r="AI165" s="11">
        <f t="shared" si="69"/>
        <v>0</v>
      </c>
      <c r="AJ165" s="6"/>
      <c r="AK165" s="6"/>
      <c r="AL165" s="6"/>
      <c r="AN165" t="str">
        <f t="shared" si="51"/>
        <v>"23":{</v>
      </c>
      <c r="AO165" t="str">
        <f t="shared" si="52"/>
        <v>"group":"A",</v>
      </c>
      <c r="AP165" t="str">
        <f t="shared" si="70"/>
        <v>"lot":0,</v>
      </c>
      <c r="AQ165" t="str">
        <f t="shared" si="53"/>
        <v>"name":"0",</v>
      </c>
      <c r="AR165" t="str">
        <f t="shared" si="54"/>
        <v>"team":"0",</v>
      </c>
      <c r="AS165" t="str">
        <f t="shared" si="55"/>
        <v>"year":"0",</v>
      </c>
      <c r="AT165" t="str">
        <f t="shared" si="56"/>
        <v>"division":"--",</v>
      </c>
      <c r="AU165" t="str">
        <f t="shared" si="57"/>
        <v>"bw":"0",</v>
      </c>
      <c r="AV165" t="str">
        <f t="shared" si="58"/>
        <v>"idx":"23",</v>
      </c>
      <c r="AW165" t="str">
        <f t="shared" si="59"/>
        <v>"sr":"0",</v>
      </c>
      <c r="AX165" t="str">
        <f t="shared" si="60"/>
        <v>"br":"0",</v>
      </c>
      <c r="AY165" t="str">
        <f t="shared" si="61"/>
        <v>"row":0,</v>
      </c>
      <c r="AZ165" t="s">
        <v>67</v>
      </c>
      <c r="BA165" t="str">
        <f t="shared" si="71"/>
        <v>"sq":{"a1":0,"a2":"","a3":"","s1":0,"s2":0,"s3":0},"bp":{"a1":0,"a2":"","a3":"","s1":0,"s2":0,"s3":0},"dl":{"a1":0,"a2":"","a3":"","s1":0,"s2":0,"s3":0},"sortOrder":0,"act":{}}</v>
      </c>
      <c r="BB165" t="str">
        <f t="shared" si="72"/>
        <v>"23":{"group":"A","lot":0,"name":"0","team":"0","year":"0","division":"--","bw":"0","idx":"23","sr":"0","br":"0","row":0,"sq":{"a1":0,"a2":"","a3":"","s1":0,"s2":0,"s3":0},"bp":{"a1":0,"a2":"","a3":"","s1":0,"s2":0,"s3":0},"dl":{"a1":0,"a2":"","a3":"","s1":0,"s2":0,"s3":0},"sortOrder":0,"act":{}}</v>
      </c>
    </row>
    <row r="166" spans="5:54" x14ac:dyDescent="0.25">
      <c r="E166" s="163"/>
      <c r="F166" s="126"/>
      <c r="G166" s="126"/>
      <c r="H166" s="126"/>
      <c r="I166" s="126"/>
      <c r="J166" s="126"/>
      <c r="K166" s="126"/>
      <c r="L166" s="126"/>
      <c r="M166" s="126"/>
      <c r="N166" s="126"/>
      <c r="O166" s="126"/>
      <c r="P166" s="126"/>
      <c r="Q166" s="126"/>
      <c r="R166" s="126"/>
      <c r="S166" s="126"/>
      <c r="T166" s="127"/>
      <c r="U166" s="128"/>
      <c r="V166" s="128"/>
      <c r="W166" s="129"/>
      <c r="Z166" s="15" t="str">
        <f t="shared" si="50"/>
        <v>A</v>
      </c>
      <c r="AA166" s="8">
        <f t="shared" si="62"/>
        <v>0</v>
      </c>
      <c r="AB166" s="9">
        <f t="shared" si="65"/>
        <v>0</v>
      </c>
      <c r="AC166" s="8">
        <f t="shared" si="63"/>
        <v>0</v>
      </c>
      <c r="AD166" s="8">
        <f t="shared" si="64"/>
        <v>0</v>
      </c>
      <c r="AE166" s="8" t="str">
        <f t="shared" si="66"/>
        <v>--</v>
      </c>
      <c r="AF166" s="10">
        <f t="shared" si="67"/>
        <v>0</v>
      </c>
      <c r="AG166" s="8">
        <v>23</v>
      </c>
      <c r="AH166" s="9">
        <f t="shared" si="68"/>
        <v>0</v>
      </c>
      <c r="AI166" s="11">
        <f t="shared" si="69"/>
        <v>0</v>
      </c>
      <c r="AJ166" s="6"/>
      <c r="AK166" s="6"/>
      <c r="AL166" s="6"/>
      <c r="AN166" t="str">
        <f t="shared" si="51"/>
        <v>"23":{</v>
      </c>
      <c r="AO166" t="str">
        <f t="shared" si="52"/>
        <v>"group":"A",</v>
      </c>
      <c r="AP166" t="str">
        <f t="shared" si="70"/>
        <v>"lot":0,</v>
      </c>
      <c r="AQ166" t="str">
        <f t="shared" si="53"/>
        <v>"name":"0",</v>
      </c>
      <c r="AR166" t="str">
        <f t="shared" si="54"/>
        <v>"team":"0",</v>
      </c>
      <c r="AS166" t="str">
        <f t="shared" si="55"/>
        <v>"year":"0",</v>
      </c>
      <c r="AT166" t="str">
        <f t="shared" si="56"/>
        <v>"division":"--",</v>
      </c>
      <c r="AU166" t="str">
        <f t="shared" si="57"/>
        <v>"bw":"0",</v>
      </c>
      <c r="AV166" t="str">
        <f t="shared" si="58"/>
        <v>"idx":"23",</v>
      </c>
      <c r="AW166" t="str">
        <f t="shared" si="59"/>
        <v>"sr":"0",</v>
      </c>
      <c r="AX166" t="str">
        <f t="shared" si="60"/>
        <v>"br":"0",</v>
      </c>
      <c r="AY166" t="str">
        <f t="shared" si="61"/>
        <v>"row":0,</v>
      </c>
      <c r="AZ166" t="s">
        <v>67</v>
      </c>
      <c r="BA166" t="str">
        <f t="shared" si="71"/>
        <v>"sq":{"a1":0,"a2":"","a3":"","s1":0,"s2":0,"s3":0},"bp":{"a1":0,"a2":"","a3":"","s1":0,"s2":0,"s3":0},"dl":{"a1":0,"a2":"","a3":"","s1":0,"s2":0,"s3":0},"sortOrder":0,"act":{}}</v>
      </c>
      <c r="BB166" t="str">
        <f t="shared" si="72"/>
        <v>"23":{"group":"A","lot":0,"name":"0","team":"0","year":"0","division":"--","bw":"0","idx":"23","sr":"0","br":"0","row":0,"sq":{"a1":0,"a2":"","a3":"","s1":0,"s2":0,"s3":0},"bp":{"a1":0,"a2":"","a3":"","s1":0,"s2":0,"s3":0},"dl":{"a1":0,"a2":"","a3":"","s1":0,"s2":0,"s3":0},"sortOrder":0,"act":{}}</v>
      </c>
    </row>
    <row r="167" spans="5:54" x14ac:dyDescent="0.25">
      <c r="E167" s="163"/>
      <c r="F167" s="126"/>
      <c r="G167" s="126"/>
      <c r="H167" s="126"/>
      <c r="I167" s="126"/>
      <c r="J167" s="126"/>
      <c r="K167" s="126"/>
      <c r="L167" s="126"/>
      <c r="M167" s="126"/>
      <c r="N167" s="126"/>
      <c r="O167" s="126"/>
      <c r="P167" s="126"/>
      <c r="Q167" s="126"/>
      <c r="R167" s="126"/>
      <c r="S167" s="126"/>
      <c r="T167" s="127"/>
      <c r="U167" s="128"/>
      <c r="V167" s="128"/>
      <c r="W167" s="129"/>
      <c r="Z167" s="15" t="str">
        <f t="shared" si="50"/>
        <v>A</v>
      </c>
      <c r="AA167" s="8">
        <f t="shared" si="62"/>
        <v>0</v>
      </c>
      <c r="AB167" s="9">
        <f t="shared" si="65"/>
        <v>0</v>
      </c>
      <c r="AC167" s="8">
        <f t="shared" si="63"/>
        <v>0</v>
      </c>
      <c r="AD167" s="8">
        <f t="shared" si="64"/>
        <v>0</v>
      </c>
      <c r="AE167" s="8" t="str">
        <f t="shared" si="66"/>
        <v>--</v>
      </c>
      <c r="AF167" s="10">
        <f t="shared" si="67"/>
        <v>0</v>
      </c>
      <c r="AG167" s="8">
        <v>23</v>
      </c>
      <c r="AH167" s="9">
        <f t="shared" si="68"/>
        <v>0</v>
      </c>
      <c r="AI167" s="11">
        <f t="shared" si="69"/>
        <v>0</v>
      </c>
      <c r="AJ167" s="6"/>
      <c r="AK167" s="6"/>
      <c r="AL167" s="6"/>
      <c r="AN167" t="str">
        <f t="shared" si="51"/>
        <v>"23":{</v>
      </c>
      <c r="AO167" t="str">
        <f t="shared" si="52"/>
        <v>"group":"A",</v>
      </c>
      <c r="AP167" t="str">
        <f t="shared" si="70"/>
        <v>"lot":0,</v>
      </c>
      <c r="AQ167" t="str">
        <f t="shared" si="53"/>
        <v>"name":"0",</v>
      </c>
      <c r="AR167" t="str">
        <f t="shared" si="54"/>
        <v>"team":"0",</v>
      </c>
      <c r="AS167" t="str">
        <f t="shared" si="55"/>
        <v>"year":"0",</v>
      </c>
      <c r="AT167" t="str">
        <f t="shared" si="56"/>
        <v>"division":"--",</v>
      </c>
      <c r="AU167" t="str">
        <f t="shared" si="57"/>
        <v>"bw":"0",</v>
      </c>
      <c r="AV167" t="str">
        <f t="shared" si="58"/>
        <v>"idx":"23",</v>
      </c>
      <c r="AW167" t="str">
        <f t="shared" si="59"/>
        <v>"sr":"0",</v>
      </c>
      <c r="AX167" t="str">
        <f t="shared" si="60"/>
        <v>"br":"0",</v>
      </c>
      <c r="AY167" t="str">
        <f t="shared" si="61"/>
        <v>"row":0,</v>
      </c>
      <c r="AZ167" t="s">
        <v>67</v>
      </c>
      <c r="BA167" t="str">
        <f t="shared" si="71"/>
        <v>"sq":{"a1":0,"a2":"","a3":"","s1":0,"s2":0,"s3":0},"bp":{"a1":0,"a2":"","a3":"","s1":0,"s2":0,"s3":0},"dl":{"a1":0,"a2":"","a3":"","s1":0,"s2":0,"s3":0},"sortOrder":0,"act":{}}</v>
      </c>
      <c r="BB167" t="str">
        <f t="shared" si="72"/>
        <v>"23":{"group":"A","lot":0,"name":"0","team":"0","year":"0","division":"--","bw":"0","idx":"23","sr":"0","br":"0","row":0,"sq":{"a1":0,"a2":"","a3":"","s1":0,"s2":0,"s3":0},"bp":{"a1":0,"a2":"","a3":"","s1":0,"s2":0,"s3":0},"dl":{"a1":0,"a2":"","a3":"","s1":0,"s2":0,"s3":0},"sortOrder":0,"act":{}}</v>
      </c>
    </row>
    <row r="168" spans="5:54" x14ac:dyDescent="0.25">
      <c r="E168" s="163"/>
      <c r="F168" s="126"/>
      <c r="G168" s="126"/>
      <c r="H168" s="126"/>
      <c r="I168" s="126"/>
      <c r="J168" s="126"/>
      <c r="K168" s="126"/>
      <c r="L168" s="126"/>
      <c r="M168" s="126"/>
      <c r="N168" s="126"/>
      <c r="O168" s="126"/>
      <c r="P168" s="126"/>
      <c r="Q168" s="126"/>
      <c r="R168" s="126"/>
      <c r="S168" s="126"/>
      <c r="T168" s="127"/>
      <c r="U168" s="128"/>
      <c r="V168" s="128"/>
      <c r="W168" s="129"/>
      <c r="Z168" s="15" t="str">
        <f t="shared" si="50"/>
        <v>A</v>
      </c>
      <c r="AA168" s="8">
        <f t="shared" si="62"/>
        <v>0</v>
      </c>
      <c r="AB168" s="9">
        <f t="shared" si="65"/>
        <v>0</v>
      </c>
      <c r="AC168" s="8">
        <f t="shared" si="63"/>
        <v>0</v>
      </c>
      <c r="AD168" s="8">
        <f t="shared" si="64"/>
        <v>0</v>
      </c>
      <c r="AE168" s="8" t="str">
        <f t="shared" si="66"/>
        <v>--</v>
      </c>
      <c r="AF168" s="10">
        <f t="shared" si="67"/>
        <v>0</v>
      </c>
      <c r="AG168" s="8">
        <v>23</v>
      </c>
      <c r="AH168" s="9">
        <f t="shared" si="68"/>
        <v>0</v>
      </c>
      <c r="AI168" s="11">
        <f t="shared" si="69"/>
        <v>0</v>
      </c>
      <c r="AJ168" s="6"/>
      <c r="AK168" s="6"/>
      <c r="AL168" s="6"/>
      <c r="AN168" t="str">
        <f t="shared" si="51"/>
        <v>"23":{</v>
      </c>
      <c r="AO168" t="str">
        <f t="shared" si="52"/>
        <v>"group":"A",</v>
      </c>
      <c r="AP168" t="str">
        <f t="shared" si="70"/>
        <v>"lot":0,</v>
      </c>
      <c r="AQ168" t="str">
        <f t="shared" si="53"/>
        <v>"name":"0",</v>
      </c>
      <c r="AR168" t="str">
        <f t="shared" si="54"/>
        <v>"team":"0",</v>
      </c>
      <c r="AS168" t="str">
        <f t="shared" si="55"/>
        <v>"year":"0",</v>
      </c>
      <c r="AT168" t="str">
        <f t="shared" si="56"/>
        <v>"division":"--",</v>
      </c>
      <c r="AU168" t="str">
        <f t="shared" si="57"/>
        <v>"bw":"0",</v>
      </c>
      <c r="AV168" t="str">
        <f t="shared" si="58"/>
        <v>"idx":"23",</v>
      </c>
      <c r="AW168" t="str">
        <f t="shared" si="59"/>
        <v>"sr":"0",</v>
      </c>
      <c r="AX168" t="str">
        <f t="shared" si="60"/>
        <v>"br":"0",</v>
      </c>
      <c r="AY168" t="str">
        <f t="shared" si="61"/>
        <v>"row":0,</v>
      </c>
      <c r="AZ168" t="s">
        <v>67</v>
      </c>
      <c r="BA168" t="str">
        <f t="shared" si="71"/>
        <v>"sq":{"a1":0,"a2":"","a3":"","s1":0,"s2":0,"s3":0},"bp":{"a1":0,"a2":"","a3":"","s1":0,"s2":0,"s3":0},"dl":{"a1":0,"a2":"","a3":"","s1":0,"s2":0,"s3":0},"sortOrder":0,"act":{}}</v>
      </c>
      <c r="BB168" t="str">
        <f t="shared" si="72"/>
        <v>"23":{"group":"A","lot":0,"name":"0","team":"0","year":"0","division":"--","bw":"0","idx":"23","sr":"0","br":"0","row":0,"sq":{"a1":0,"a2":"","a3":"","s1":0,"s2":0,"s3":0},"bp":{"a1":0,"a2":"","a3":"","s1":0,"s2":0,"s3":0},"dl":{"a1":0,"a2":"","a3":"","s1":0,"s2":0,"s3":0},"sortOrder":0,"act":{}}</v>
      </c>
    </row>
    <row r="169" spans="5:54" x14ac:dyDescent="0.25">
      <c r="E169" s="163"/>
      <c r="F169" s="126"/>
      <c r="G169" s="126"/>
      <c r="H169" s="126"/>
      <c r="I169" s="126"/>
      <c r="J169" s="126"/>
      <c r="K169" s="126"/>
      <c r="L169" s="126"/>
      <c r="M169" s="126"/>
      <c r="N169" s="126"/>
      <c r="O169" s="126"/>
      <c r="P169" s="126"/>
      <c r="Q169" s="126"/>
      <c r="R169" s="126"/>
      <c r="S169" s="126"/>
      <c r="T169" s="127"/>
      <c r="U169" s="128"/>
      <c r="V169" s="128"/>
      <c r="W169" s="129"/>
      <c r="Z169" s="15" t="str">
        <f t="shared" si="50"/>
        <v>A</v>
      </c>
      <c r="AA169" s="8">
        <f t="shared" si="62"/>
        <v>0</v>
      </c>
      <c r="AB169" s="9">
        <f t="shared" si="65"/>
        <v>0</v>
      </c>
      <c r="AC169" s="8">
        <f t="shared" si="63"/>
        <v>0</v>
      </c>
      <c r="AD169" s="8">
        <f t="shared" si="64"/>
        <v>0</v>
      </c>
      <c r="AE169" s="8" t="str">
        <f t="shared" si="66"/>
        <v>--</v>
      </c>
      <c r="AF169" s="10">
        <f t="shared" si="67"/>
        <v>0</v>
      </c>
      <c r="AG169" s="8">
        <v>23</v>
      </c>
      <c r="AH169" s="9">
        <f t="shared" si="68"/>
        <v>0</v>
      </c>
      <c r="AI169" s="11">
        <f t="shared" si="69"/>
        <v>0</v>
      </c>
      <c r="AJ169" s="6"/>
      <c r="AK169" s="6"/>
      <c r="AL169" s="6"/>
      <c r="AN169" t="str">
        <f t="shared" si="51"/>
        <v>"23":{</v>
      </c>
      <c r="AO169" t="str">
        <f t="shared" si="52"/>
        <v>"group":"A",</v>
      </c>
      <c r="AP169" t="str">
        <f t="shared" si="70"/>
        <v>"lot":0,</v>
      </c>
      <c r="AQ169" t="str">
        <f t="shared" si="53"/>
        <v>"name":"0",</v>
      </c>
      <c r="AR169" t="str">
        <f t="shared" si="54"/>
        <v>"team":"0",</v>
      </c>
      <c r="AS169" t="str">
        <f t="shared" si="55"/>
        <v>"year":"0",</v>
      </c>
      <c r="AT169" t="str">
        <f t="shared" si="56"/>
        <v>"division":"--",</v>
      </c>
      <c r="AU169" t="str">
        <f t="shared" si="57"/>
        <v>"bw":"0",</v>
      </c>
      <c r="AV169" t="str">
        <f t="shared" si="58"/>
        <v>"idx":"23",</v>
      </c>
      <c r="AW169" t="str">
        <f t="shared" si="59"/>
        <v>"sr":"0",</v>
      </c>
      <c r="AX169" t="str">
        <f t="shared" si="60"/>
        <v>"br":"0",</v>
      </c>
      <c r="AY169" t="str">
        <f t="shared" si="61"/>
        <v>"row":0,</v>
      </c>
      <c r="AZ169" t="s">
        <v>67</v>
      </c>
      <c r="BA169" t="str">
        <f t="shared" si="71"/>
        <v>"sq":{"a1":0,"a2":"","a3":"","s1":0,"s2":0,"s3":0},"bp":{"a1":0,"a2":"","a3":"","s1":0,"s2":0,"s3":0},"dl":{"a1":0,"a2":"","a3":"","s1":0,"s2":0,"s3":0},"sortOrder":0,"act":{}}</v>
      </c>
      <c r="BB169" t="str">
        <f t="shared" si="72"/>
        <v>"23":{"group":"A","lot":0,"name":"0","team":"0","year":"0","division":"--","bw":"0","idx":"23","sr":"0","br":"0","row":0,"sq":{"a1":0,"a2":"","a3":"","s1":0,"s2":0,"s3":0},"bp":{"a1":0,"a2":"","a3":"","s1":0,"s2":0,"s3":0},"dl":{"a1":0,"a2":"","a3":"","s1":0,"s2":0,"s3":0},"sortOrder":0,"act":{}}</v>
      </c>
    </row>
    <row r="170" spans="5:54" x14ac:dyDescent="0.25">
      <c r="E170" s="163"/>
      <c r="F170" s="126"/>
      <c r="G170" s="126"/>
      <c r="H170" s="126"/>
      <c r="I170" s="126"/>
      <c r="J170" s="126"/>
      <c r="K170" s="126"/>
      <c r="L170" s="126"/>
      <c r="M170" s="126"/>
      <c r="N170" s="126"/>
      <c r="O170" s="126"/>
      <c r="P170" s="126"/>
      <c r="Q170" s="126"/>
      <c r="R170" s="126"/>
      <c r="S170" s="126"/>
      <c r="T170" s="127"/>
      <c r="U170" s="128"/>
      <c r="V170" s="128"/>
      <c r="W170" s="129"/>
      <c r="Z170" s="15" t="str">
        <f t="shared" si="50"/>
        <v>A</v>
      </c>
      <c r="AA170" s="8">
        <f t="shared" si="62"/>
        <v>0</v>
      </c>
      <c r="AB170" s="9">
        <f t="shared" si="65"/>
        <v>0</v>
      </c>
      <c r="AC170" s="8">
        <f t="shared" si="63"/>
        <v>0</v>
      </c>
      <c r="AD170" s="8">
        <f t="shared" si="64"/>
        <v>0</v>
      </c>
      <c r="AE170" s="8" t="str">
        <f t="shared" si="66"/>
        <v>--</v>
      </c>
      <c r="AF170" s="10">
        <f t="shared" si="67"/>
        <v>0</v>
      </c>
      <c r="AG170" s="8">
        <v>23</v>
      </c>
      <c r="AH170" s="9">
        <f t="shared" si="68"/>
        <v>0</v>
      </c>
      <c r="AI170" s="11">
        <f t="shared" si="69"/>
        <v>0</v>
      </c>
      <c r="AJ170" s="6"/>
      <c r="AK170" s="6"/>
      <c r="AL170" s="6"/>
      <c r="AN170" t="str">
        <f t="shared" si="51"/>
        <v>"23":{</v>
      </c>
      <c r="AO170" t="str">
        <f t="shared" si="52"/>
        <v>"group":"A",</v>
      </c>
      <c r="AP170" t="str">
        <f t="shared" si="70"/>
        <v>"lot":0,</v>
      </c>
      <c r="AQ170" t="str">
        <f t="shared" si="53"/>
        <v>"name":"0",</v>
      </c>
      <c r="AR170" t="str">
        <f t="shared" si="54"/>
        <v>"team":"0",</v>
      </c>
      <c r="AS170" t="str">
        <f t="shared" si="55"/>
        <v>"year":"0",</v>
      </c>
      <c r="AT170" t="str">
        <f t="shared" si="56"/>
        <v>"division":"--",</v>
      </c>
      <c r="AU170" t="str">
        <f t="shared" si="57"/>
        <v>"bw":"0",</v>
      </c>
      <c r="AV170" t="str">
        <f t="shared" si="58"/>
        <v>"idx":"23",</v>
      </c>
      <c r="AW170" t="str">
        <f t="shared" si="59"/>
        <v>"sr":"0",</v>
      </c>
      <c r="AX170" t="str">
        <f t="shared" si="60"/>
        <v>"br":"0",</v>
      </c>
      <c r="AY170" t="str">
        <f t="shared" si="61"/>
        <v>"row":0,</v>
      </c>
      <c r="AZ170" t="s">
        <v>67</v>
      </c>
      <c r="BA170" t="str">
        <f t="shared" si="71"/>
        <v>"sq":{"a1":0,"a2":"","a3":"","s1":0,"s2":0,"s3":0},"bp":{"a1":0,"a2":"","a3":"","s1":0,"s2":0,"s3":0},"dl":{"a1":0,"a2":"","a3":"","s1":0,"s2":0,"s3":0},"sortOrder":0,"act":{}}</v>
      </c>
      <c r="BB170" t="str">
        <f t="shared" si="72"/>
        <v>"23":{"group":"A","lot":0,"name":"0","team":"0","year":"0","division":"--","bw":"0","idx":"23","sr":"0","br":"0","row":0,"sq":{"a1":0,"a2":"","a3":"","s1":0,"s2":0,"s3":0},"bp":{"a1":0,"a2":"","a3":"","s1":0,"s2":0,"s3":0},"dl":{"a1":0,"a2":"","a3":"","s1":0,"s2":0,"s3":0},"sortOrder":0,"act":{}}</v>
      </c>
    </row>
    <row r="171" spans="5:54" x14ac:dyDescent="0.25">
      <c r="E171" s="163"/>
      <c r="F171" s="126"/>
      <c r="G171" s="126"/>
      <c r="H171" s="126"/>
      <c r="I171" s="126"/>
      <c r="J171" s="126"/>
      <c r="K171" s="126"/>
      <c r="L171" s="126"/>
      <c r="M171" s="126"/>
      <c r="N171" s="126"/>
      <c r="O171" s="126"/>
      <c r="P171" s="126"/>
      <c r="Q171" s="126"/>
      <c r="R171" s="126"/>
      <c r="S171" s="126"/>
      <c r="T171" s="127"/>
      <c r="U171" s="128"/>
      <c r="V171" s="128"/>
      <c r="W171" s="129"/>
      <c r="Z171" s="15" t="str">
        <f t="shared" si="50"/>
        <v>A</v>
      </c>
      <c r="AA171" s="8">
        <f t="shared" si="62"/>
        <v>0</v>
      </c>
      <c r="AB171" s="9">
        <f t="shared" si="65"/>
        <v>0</v>
      </c>
      <c r="AC171" s="8">
        <f t="shared" si="63"/>
        <v>0</v>
      </c>
      <c r="AD171" s="8">
        <f t="shared" si="64"/>
        <v>0</v>
      </c>
      <c r="AE171" s="8" t="str">
        <f t="shared" si="66"/>
        <v>--</v>
      </c>
      <c r="AF171" s="10">
        <f t="shared" si="67"/>
        <v>0</v>
      </c>
      <c r="AG171" s="8">
        <v>23</v>
      </c>
      <c r="AH171" s="9">
        <f t="shared" si="68"/>
        <v>0</v>
      </c>
      <c r="AI171" s="11">
        <f t="shared" si="69"/>
        <v>0</v>
      </c>
      <c r="AJ171" s="6"/>
      <c r="AK171" s="6"/>
      <c r="AL171" s="6"/>
      <c r="AN171" t="str">
        <f t="shared" si="51"/>
        <v>"23":{</v>
      </c>
      <c r="AO171" t="str">
        <f t="shared" si="52"/>
        <v>"group":"A",</v>
      </c>
      <c r="AP171" t="str">
        <f t="shared" si="70"/>
        <v>"lot":0,</v>
      </c>
      <c r="AQ171" t="str">
        <f t="shared" si="53"/>
        <v>"name":"0",</v>
      </c>
      <c r="AR171" t="str">
        <f t="shared" si="54"/>
        <v>"team":"0",</v>
      </c>
      <c r="AS171" t="str">
        <f t="shared" si="55"/>
        <v>"year":"0",</v>
      </c>
      <c r="AT171" t="str">
        <f t="shared" si="56"/>
        <v>"division":"--",</v>
      </c>
      <c r="AU171" t="str">
        <f t="shared" si="57"/>
        <v>"bw":"0",</v>
      </c>
      <c r="AV171" t="str">
        <f t="shared" si="58"/>
        <v>"idx":"23",</v>
      </c>
      <c r="AW171" t="str">
        <f t="shared" si="59"/>
        <v>"sr":"0",</v>
      </c>
      <c r="AX171" t="str">
        <f t="shared" si="60"/>
        <v>"br":"0",</v>
      </c>
      <c r="AY171" t="str">
        <f t="shared" si="61"/>
        <v>"row":0,</v>
      </c>
      <c r="AZ171" t="s">
        <v>67</v>
      </c>
      <c r="BA171" t="str">
        <f t="shared" si="71"/>
        <v>"sq":{"a1":0,"a2":"","a3":"","s1":0,"s2":0,"s3":0},"bp":{"a1":0,"a2":"","a3":"","s1":0,"s2":0,"s3":0},"dl":{"a1":0,"a2":"","a3":"","s1":0,"s2":0,"s3":0},"sortOrder":0,"act":{}}</v>
      </c>
      <c r="BB171" t="str">
        <f t="shared" si="72"/>
        <v>"23":{"group":"A","lot":0,"name":"0","team":"0","year":"0","division":"--","bw":"0","idx":"23","sr":"0","br":"0","row":0,"sq":{"a1":0,"a2":"","a3":"","s1":0,"s2":0,"s3":0},"bp":{"a1":0,"a2":"","a3":"","s1":0,"s2":0,"s3":0},"dl":{"a1":0,"a2":"","a3":"","s1":0,"s2":0,"s3":0},"sortOrder":0,"act":{}}</v>
      </c>
    </row>
    <row r="172" spans="5:54" x14ac:dyDescent="0.25">
      <c r="E172" s="163"/>
      <c r="F172" s="126"/>
      <c r="G172" s="126"/>
      <c r="H172" s="126"/>
      <c r="I172" s="126"/>
      <c r="J172" s="126"/>
      <c r="K172" s="126"/>
      <c r="L172" s="126"/>
      <c r="M172" s="126"/>
      <c r="N172" s="126"/>
      <c r="O172" s="126"/>
      <c r="P172" s="126"/>
      <c r="Q172" s="126"/>
      <c r="R172" s="126"/>
      <c r="S172" s="126"/>
      <c r="T172" s="127"/>
      <c r="U172" s="128"/>
      <c r="V172" s="128"/>
      <c r="W172" s="129"/>
      <c r="Z172" s="15" t="str">
        <f t="shared" si="50"/>
        <v>A</v>
      </c>
      <c r="AA172" s="8">
        <f t="shared" si="62"/>
        <v>0</v>
      </c>
      <c r="AB172" s="9">
        <f t="shared" si="65"/>
        <v>0</v>
      </c>
      <c r="AC172" s="8">
        <f t="shared" si="63"/>
        <v>0</v>
      </c>
      <c r="AD172" s="8">
        <f t="shared" si="64"/>
        <v>0</v>
      </c>
      <c r="AE172" s="8" t="str">
        <f t="shared" si="66"/>
        <v>--</v>
      </c>
      <c r="AF172" s="10">
        <f t="shared" si="67"/>
        <v>0</v>
      </c>
      <c r="AG172" s="8">
        <v>23</v>
      </c>
      <c r="AH172" s="9">
        <f t="shared" si="68"/>
        <v>0</v>
      </c>
      <c r="AI172" s="11">
        <f t="shared" si="69"/>
        <v>0</v>
      </c>
      <c r="AJ172" s="6"/>
      <c r="AK172" s="6"/>
      <c r="AL172" s="6"/>
      <c r="AN172" t="str">
        <f t="shared" si="51"/>
        <v>"23":{</v>
      </c>
      <c r="AO172" t="str">
        <f t="shared" si="52"/>
        <v>"group":"A",</v>
      </c>
      <c r="AP172" t="str">
        <f t="shared" si="70"/>
        <v>"lot":0,</v>
      </c>
      <c r="AQ172" t="str">
        <f t="shared" si="53"/>
        <v>"name":"0",</v>
      </c>
      <c r="AR172" t="str">
        <f t="shared" si="54"/>
        <v>"team":"0",</v>
      </c>
      <c r="AS172" t="str">
        <f t="shared" si="55"/>
        <v>"year":"0",</v>
      </c>
      <c r="AT172" t="str">
        <f t="shared" si="56"/>
        <v>"division":"--",</v>
      </c>
      <c r="AU172" t="str">
        <f t="shared" si="57"/>
        <v>"bw":"0",</v>
      </c>
      <c r="AV172" t="str">
        <f t="shared" si="58"/>
        <v>"idx":"23",</v>
      </c>
      <c r="AW172" t="str">
        <f t="shared" si="59"/>
        <v>"sr":"0",</v>
      </c>
      <c r="AX172" t="str">
        <f t="shared" si="60"/>
        <v>"br":"0",</v>
      </c>
      <c r="AY172" t="str">
        <f t="shared" si="61"/>
        <v>"row":0,</v>
      </c>
      <c r="AZ172" t="s">
        <v>67</v>
      </c>
      <c r="BA172" t="str">
        <f t="shared" si="71"/>
        <v>"sq":{"a1":0,"a2":"","a3":"","s1":0,"s2":0,"s3":0},"bp":{"a1":0,"a2":"","a3":"","s1":0,"s2":0,"s3":0},"dl":{"a1":0,"a2":"","a3":"","s1":0,"s2":0,"s3":0},"sortOrder":0,"act":{}}</v>
      </c>
      <c r="BB172" t="str">
        <f t="shared" si="72"/>
        <v>"23":{"group":"A","lot":0,"name":"0","team":"0","year":"0","division":"--","bw":"0","idx":"23","sr":"0","br":"0","row":0,"sq":{"a1":0,"a2":"","a3":"","s1":0,"s2":0,"s3":0},"bp":{"a1":0,"a2":"","a3":"","s1":0,"s2":0,"s3":0},"dl":{"a1":0,"a2":"","a3":"","s1":0,"s2":0,"s3":0},"sortOrder":0,"act":{}}</v>
      </c>
    </row>
    <row r="173" spans="5:54" x14ac:dyDescent="0.25">
      <c r="E173" s="163"/>
      <c r="F173" s="126"/>
      <c r="G173" s="126"/>
      <c r="H173" s="126"/>
      <c r="I173" s="126"/>
      <c r="J173" s="126"/>
      <c r="K173" s="126"/>
      <c r="L173" s="126"/>
      <c r="M173" s="126"/>
      <c r="N173" s="126"/>
      <c r="O173" s="126"/>
      <c r="P173" s="126"/>
      <c r="Q173" s="126"/>
      <c r="R173" s="126"/>
      <c r="S173" s="126"/>
      <c r="T173" s="127"/>
      <c r="U173" s="128"/>
      <c r="V173" s="128"/>
      <c r="W173" s="129"/>
      <c r="Z173" s="15" t="str">
        <f t="shared" si="50"/>
        <v>A</v>
      </c>
      <c r="AA173" s="8">
        <f t="shared" si="62"/>
        <v>0</v>
      </c>
      <c r="AB173" s="9">
        <f t="shared" si="65"/>
        <v>0</v>
      </c>
      <c r="AC173" s="8">
        <f t="shared" si="63"/>
        <v>0</v>
      </c>
      <c r="AD173" s="8">
        <f t="shared" si="64"/>
        <v>0</v>
      </c>
      <c r="AE173" s="8" t="str">
        <f t="shared" si="66"/>
        <v>--</v>
      </c>
      <c r="AF173" s="10">
        <f t="shared" si="67"/>
        <v>0</v>
      </c>
      <c r="AG173" s="8">
        <v>23</v>
      </c>
      <c r="AH173" s="9">
        <f t="shared" si="68"/>
        <v>0</v>
      </c>
      <c r="AI173" s="11">
        <f t="shared" si="69"/>
        <v>0</v>
      </c>
      <c r="AJ173" s="6"/>
      <c r="AK173" s="6"/>
      <c r="AL173" s="6"/>
      <c r="AN173" t="str">
        <f t="shared" si="51"/>
        <v>"23":{</v>
      </c>
      <c r="AO173" t="str">
        <f t="shared" si="52"/>
        <v>"group":"A",</v>
      </c>
      <c r="AP173" t="str">
        <f t="shared" si="70"/>
        <v>"lot":0,</v>
      </c>
      <c r="AQ173" t="str">
        <f t="shared" si="53"/>
        <v>"name":"0",</v>
      </c>
      <c r="AR173" t="str">
        <f t="shared" si="54"/>
        <v>"team":"0",</v>
      </c>
      <c r="AS173" t="str">
        <f t="shared" si="55"/>
        <v>"year":"0",</v>
      </c>
      <c r="AT173" t="str">
        <f t="shared" si="56"/>
        <v>"division":"--",</v>
      </c>
      <c r="AU173" t="str">
        <f t="shared" si="57"/>
        <v>"bw":"0",</v>
      </c>
      <c r="AV173" t="str">
        <f t="shared" si="58"/>
        <v>"idx":"23",</v>
      </c>
      <c r="AW173" t="str">
        <f t="shared" si="59"/>
        <v>"sr":"0",</v>
      </c>
      <c r="AX173" t="str">
        <f t="shared" si="60"/>
        <v>"br":"0",</v>
      </c>
      <c r="AY173" t="str">
        <f t="shared" si="61"/>
        <v>"row":0,</v>
      </c>
      <c r="AZ173" t="s">
        <v>67</v>
      </c>
      <c r="BA173" t="str">
        <f t="shared" si="71"/>
        <v>"sq":{"a1":0,"a2":"","a3":"","s1":0,"s2":0,"s3":0},"bp":{"a1":0,"a2":"","a3":"","s1":0,"s2":0,"s3":0},"dl":{"a1":0,"a2":"","a3":"","s1":0,"s2":0,"s3":0},"sortOrder":0,"act":{}}</v>
      </c>
      <c r="BB173" t="str">
        <f t="shared" si="72"/>
        <v>"23":{"group":"A","lot":0,"name":"0","team":"0","year":"0","division":"--","bw":"0","idx":"23","sr":"0","br":"0","row":0,"sq":{"a1":0,"a2":"","a3":"","s1":0,"s2":0,"s3":0},"bp":{"a1":0,"a2":"","a3":"","s1":0,"s2":0,"s3":0},"dl":{"a1":0,"a2":"","a3":"","s1":0,"s2":0,"s3":0},"sortOrder":0,"act":{}}</v>
      </c>
    </row>
    <row r="174" spans="5:54" x14ac:dyDescent="0.25">
      <c r="E174" s="163"/>
      <c r="F174" s="126"/>
      <c r="G174" s="126"/>
      <c r="H174" s="126"/>
      <c r="I174" s="126"/>
      <c r="J174" s="126"/>
      <c r="K174" s="126"/>
      <c r="L174" s="126"/>
      <c r="M174" s="126"/>
      <c r="N174" s="126"/>
      <c r="O174" s="126"/>
      <c r="P174" s="126"/>
      <c r="Q174" s="126"/>
      <c r="R174" s="126"/>
      <c r="S174" s="126"/>
      <c r="T174" s="127"/>
      <c r="U174" s="128"/>
      <c r="V174" s="128"/>
      <c r="W174" s="129"/>
      <c r="Z174" s="15" t="str">
        <f t="shared" si="50"/>
        <v>A</v>
      </c>
      <c r="AA174" s="8">
        <f t="shared" si="62"/>
        <v>0</v>
      </c>
      <c r="AB174" s="9">
        <f t="shared" si="65"/>
        <v>0</v>
      </c>
      <c r="AC174" s="8">
        <f t="shared" si="63"/>
        <v>0</v>
      </c>
      <c r="AD174" s="8">
        <f t="shared" si="64"/>
        <v>0</v>
      </c>
      <c r="AE174" s="8" t="str">
        <f t="shared" si="66"/>
        <v>--</v>
      </c>
      <c r="AF174" s="10">
        <f t="shared" si="67"/>
        <v>0</v>
      </c>
      <c r="AG174" s="8">
        <v>23</v>
      </c>
      <c r="AH174" s="9">
        <f t="shared" si="68"/>
        <v>0</v>
      </c>
      <c r="AI174" s="11">
        <f t="shared" si="69"/>
        <v>0</v>
      </c>
      <c r="AJ174" s="6"/>
      <c r="AK174" s="6"/>
      <c r="AL174" s="6"/>
      <c r="AN174" t="str">
        <f t="shared" si="51"/>
        <v>"23":{</v>
      </c>
      <c r="AO174" t="str">
        <f t="shared" si="52"/>
        <v>"group":"A",</v>
      </c>
      <c r="AP174" t="str">
        <f t="shared" si="70"/>
        <v>"lot":0,</v>
      </c>
      <c r="AQ174" t="str">
        <f t="shared" si="53"/>
        <v>"name":"0",</v>
      </c>
      <c r="AR174" t="str">
        <f t="shared" si="54"/>
        <v>"team":"0",</v>
      </c>
      <c r="AS174" t="str">
        <f t="shared" si="55"/>
        <v>"year":"0",</v>
      </c>
      <c r="AT174" t="str">
        <f t="shared" si="56"/>
        <v>"division":"--",</v>
      </c>
      <c r="AU174" t="str">
        <f t="shared" si="57"/>
        <v>"bw":"0",</v>
      </c>
      <c r="AV174" t="str">
        <f t="shared" si="58"/>
        <v>"idx":"23",</v>
      </c>
      <c r="AW174" t="str">
        <f t="shared" si="59"/>
        <v>"sr":"0",</v>
      </c>
      <c r="AX174" t="str">
        <f t="shared" si="60"/>
        <v>"br":"0",</v>
      </c>
      <c r="AY174" t="str">
        <f t="shared" si="61"/>
        <v>"row":0,</v>
      </c>
      <c r="AZ174" t="s">
        <v>67</v>
      </c>
      <c r="BA174" t="str">
        <f t="shared" si="71"/>
        <v>"sq":{"a1":0,"a2":"","a3":"","s1":0,"s2":0,"s3":0},"bp":{"a1":0,"a2":"","a3":"","s1":0,"s2":0,"s3":0},"dl":{"a1":0,"a2":"","a3":"","s1":0,"s2":0,"s3":0},"sortOrder":0,"act":{}}</v>
      </c>
      <c r="BB174" t="str">
        <f t="shared" si="72"/>
        <v>"23":{"group":"A","lot":0,"name":"0","team":"0","year":"0","division":"--","bw":"0","idx":"23","sr":"0","br":"0","row":0,"sq":{"a1":0,"a2":"","a3":"","s1":0,"s2":0,"s3":0},"bp":{"a1":0,"a2":"","a3":"","s1":0,"s2":0,"s3":0},"dl":{"a1":0,"a2":"","a3":"","s1":0,"s2":0,"s3":0},"sortOrder":0,"act":{}}</v>
      </c>
    </row>
    <row r="175" spans="5:54" x14ac:dyDescent="0.25">
      <c r="E175" s="163"/>
      <c r="F175" s="126"/>
      <c r="G175" s="126"/>
      <c r="H175" s="126"/>
      <c r="I175" s="126"/>
      <c r="J175" s="126"/>
      <c r="K175" s="126"/>
      <c r="L175" s="126"/>
      <c r="M175" s="126"/>
      <c r="N175" s="126"/>
      <c r="O175" s="126"/>
      <c r="P175" s="126"/>
      <c r="Q175" s="126"/>
      <c r="R175" s="126"/>
      <c r="S175" s="126"/>
      <c r="T175" s="127"/>
      <c r="U175" s="128"/>
      <c r="V175" s="128"/>
      <c r="W175" s="129"/>
      <c r="Z175" s="15" t="str">
        <f t="shared" si="50"/>
        <v>A</v>
      </c>
      <c r="AA175" s="8">
        <f t="shared" si="62"/>
        <v>0</v>
      </c>
      <c r="AB175" s="9">
        <f t="shared" si="65"/>
        <v>0</v>
      </c>
      <c r="AC175" s="8">
        <f t="shared" si="63"/>
        <v>0</v>
      </c>
      <c r="AD175" s="8">
        <f t="shared" si="64"/>
        <v>0</v>
      </c>
      <c r="AE175" s="8" t="str">
        <f t="shared" si="66"/>
        <v>--</v>
      </c>
      <c r="AF175" s="10">
        <f t="shared" si="67"/>
        <v>0</v>
      </c>
      <c r="AG175" s="8">
        <v>23</v>
      </c>
      <c r="AH175" s="9">
        <f t="shared" si="68"/>
        <v>0</v>
      </c>
      <c r="AI175" s="11">
        <f t="shared" si="69"/>
        <v>0</v>
      </c>
      <c r="AJ175" s="6"/>
      <c r="AK175" s="6"/>
      <c r="AL175" s="6"/>
      <c r="AN175" t="str">
        <f t="shared" si="51"/>
        <v>"23":{</v>
      </c>
      <c r="AO175" t="str">
        <f t="shared" si="52"/>
        <v>"group":"A",</v>
      </c>
      <c r="AP175" t="str">
        <f t="shared" si="70"/>
        <v>"lot":0,</v>
      </c>
      <c r="AQ175" t="str">
        <f t="shared" si="53"/>
        <v>"name":"0",</v>
      </c>
      <c r="AR175" t="str">
        <f t="shared" si="54"/>
        <v>"team":"0",</v>
      </c>
      <c r="AS175" t="str">
        <f t="shared" si="55"/>
        <v>"year":"0",</v>
      </c>
      <c r="AT175" t="str">
        <f t="shared" si="56"/>
        <v>"division":"--",</v>
      </c>
      <c r="AU175" t="str">
        <f t="shared" si="57"/>
        <v>"bw":"0",</v>
      </c>
      <c r="AV175" t="str">
        <f t="shared" si="58"/>
        <v>"idx":"23",</v>
      </c>
      <c r="AW175" t="str">
        <f t="shared" si="59"/>
        <v>"sr":"0",</v>
      </c>
      <c r="AX175" t="str">
        <f t="shared" si="60"/>
        <v>"br":"0",</v>
      </c>
      <c r="AY175" t="str">
        <f t="shared" si="61"/>
        <v>"row":0,</v>
      </c>
      <c r="AZ175" t="s">
        <v>67</v>
      </c>
      <c r="BA175" t="str">
        <f t="shared" si="71"/>
        <v>"sq":{"a1":0,"a2":"","a3":"","s1":0,"s2":0,"s3":0},"bp":{"a1":0,"a2":"","a3":"","s1":0,"s2":0,"s3":0},"dl":{"a1":0,"a2":"","a3":"","s1":0,"s2":0,"s3":0},"sortOrder":0,"act":{}}</v>
      </c>
      <c r="BB175" t="str">
        <f t="shared" si="72"/>
        <v>"23":{"group":"A","lot":0,"name":"0","team":"0","year":"0","division":"--","bw":"0","idx":"23","sr":"0","br":"0","row":0,"sq":{"a1":0,"a2":"","a3":"","s1":0,"s2":0,"s3":0},"bp":{"a1":0,"a2":"","a3":"","s1":0,"s2":0,"s3":0},"dl":{"a1":0,"a2":"","a3":"","s1":0,"s2":0,"s3":0},"sortOrder":0,"act":{}}</v>
      </c>
    </row>
    <row r="176" spans="5:54" x14ac:dyDescent="0.25">
      <c r="E176" s="163"/>
      <c r="F176" s="126"/>
      <c r="G176" s="126"/>
      <c r="H176" s="126"/>
      <c r="I176" s="126"/>
      <c r="J176" s="126"/>
      <c r="K176" s="126"/>
      <c r="L176" s="126"/>
      <c r="M176" s="126"/>
      <c r="N176" s="126"/>
      <c r="O176" s="126"/>
      <c r="P176" s="126"/>
      <c r="Q176" s="126"/>
      <c r="R176" s="126"/>
      <c r="S176" s="126"/>
      <c r="T176" s="127"/>
      <c r="U176" s="128"/>
      <c r="V176" s="128"/>
      <c r="W176" s="129"/>
      <c r="Z176" s="15" t="str">
        <f t="shared" si="50"/>
        <v>A</v>
      </c>
      <c r="AA176" s="8">
        <f t="shared" si="62"/>
        <v>0</v>
      </c>
      <c r="AB176" s="9">
        <f t="shared" si="65"/>
        <v>0</v>
      </c>
      <c r="AC176" s="8">
        <f t="shared" si="63"/>
        <v>0</v>
      </c>
      <c r="AD176" s="8">
        <f t="shared" si="64"/>
        <v>0</v>
      </c>
      <c r="AE176" s="8" t="str">
        <f t="shared" si="66"/>
        <v>--</v>
      </c>
      <c r="AF176" s="10">
        <f t="shared" si="67"/>
        <v>0</v>
      </c>
      <c r="AG176" s="8">
        <v>23</v>
      </c>
      <c r="AH176" s="9">
        <f t="shared" si="68"/>
        <v>0</v>
      </c>
      <c r="AI176" s="11">
        <f t="shared" si="69"/>
        <v>0</v>
      </c>
      <c r="AJ176" s="6"/>
      <c r="AK176" s="6"/>
      <c r="AL176" s="6"/>
      <c r="AN176" t="str">
        <f t="shared" si="51"/>
        <v>"23":{</v>
      </c>
      <c r="AO176" t="str">
        <f t="shared" si="52"/>
        <v>"group":"A",</v>
      </c>
      <c r="AP176" t="str">
        <f t="shared" si="70"/>
        <v>"lot":0,</v>
      </c>
      <c r="AQ176" t="str">
        <f t="shared" si="53"/>
        <v>"name":"0",</v>
      </c>
      <c r="AR176" t="str">
        <f t="shared" si="54"/>
        <v>"team":"0",</v>
      </c>
      <c r="AS176" t="str">
        <f t="shared" si="55"/>
        <v>"year":"0",</v>
      </c>
      <c r="AT176" t="str">
        <f t="shared" si="56"/>
        <v>"division":"--",</v>
      </c>
      <c r="AU176" t="str">
        <f t="shared" si="57"/>
        <v>"bw":"0",</v>
      </c>
      <c r="AV176" t="str">
        <f t="shared" si="58"/>
        <v>"idx":"23",</v>
      </c>
      <c r="AW176" t="str">
        <f t="shared" si="59"/>
        <v>"sr":"0",</v>
      </c>
      <c r="AX176" t="str">
        <f t="shared" si="60"/>
        <v>"br":"0",</v>
      </c>
      <c r="AY176" t="str">
        <f t="shared" si="61"/>
        <v>"row":0,</v>
      </c>
      <c r="AZ176" t="s">
        <v>67</v>
      </c>
      <c r="BA176" t="str">
        <f t="shared" si="71"/>
        <v>"sq":{"a1":0,"a2":"","a3":"","s1":0,"s2":0,"s3":0},"bp":{"a1":0,"a2":"","a3":"","s1":0,"s2":0,"s3":0},"dl":{"a1":0,"a2":"","a3":"","s1":0,"s2":0,"s3":0},"sortOrder":0,"act":{}}</v>
      </c>
      <c r="BB176" t="str">
        <f t="shared" si="72"/>
        <v>"23":{"group":"A","lot":0,"name":"0","team":"0","year":"0","division":"--","bw":"0","idx":"23","sr":"0","br":"0","row":0,"sq":{"a1":0,"a2":"","a3":"","s1":0,"s2":0,"s3":0},"bp":{"a1":0,"a2":"","a3":"","s1":0,"s2":0,"s3":0},"dl":{"a1":0,"a2":"","a3":"","s1":0,"s2":0,"s3":0},"sortOrder":0,"act":{}}</v>
      </c>
    </row>
    <row r="177" spans="5:54" x14ac:dyDescent="0.25">
      <c r="E177" s="163"/>
      <c r="F177" s="126"/>
      <c r="G177" s="126"/>
      <c r="H177" s="126"/>
      <c r="I177" s="126"/>
      <c r="J177" s="126"/>
      <c r="K177" s="126"/>
      <c r="L177" s="126"/>
      <c r="M177" s="126"/>
      <c r="N177" s="126"/>
      <c r="O177" s="126"/>
      <c r="P177" s="126"/>
      <c r="Q177" s="126"/>
      <c r="R177" s="126"/>
      <c r="S177" s="126"/>
      <c r="T177" s="127"/>
      <c r="U177" s="128"/>
      <c r="V177" s="128"/>
      <c r="W177" s="129"/>
      <c r="Z177" s="15" t="str">
        <f t="shared" si="50"/>
        <v>A</v>
      </c>
      <c r="AA177" s="8">
        <f t="shared" si="62"/>
        <v>0</v>
      </c>
      <c r="AB177" s="9">
        <f t="shared" si="65"/>
        <v>0</v>
      </c>
      <c r="AC177" s="8">
        <f t="shared" si="63"/>
        <v>0</v>
      </c>
      <c r="AD177" s="8">
        <f t="shared" si="64"/>
        <v>0</v>
      </c>
      <c r="AE177" s="8" t="str">
        <f t="shared" si="66"/>
        <v>--</v>
      </c>
      <c r="AF177" s="10">
        <f t="shared" si="67"/>
        <v>0</v>
      </c>
      <c r="AG177" s="8">
        <v>23</v>
      </c>
      <c r="AH177" s="9">
        <f t="shared" si="68"/>
        <v>0</v>
      </c>
      <c r="AI177" s="11">
        <f t="shared" si="69"/>
        <v>0</v>
      </c>
      <c r="AJ177" s="6"/>
      <c r="AK177" s="6"/>
      <c r="AL177" s="6"/>
      <c r="AN177" t="str">
        <f t="shared" si="51"/>
        <v>"23":{</v>
      </c>
      <c r="AO177" t="str">
        <f t="shared" si="52"/>
        <v>"group":"A",</v>
      </c>
      <c r="AP177" t="str">
        <f t="shared" si="70"/>
        <v>"lot":0,</v>
      </c>
      <c r="AQ177" t="str">
        <f t="shared" si="53"/>
        <v>"name":"0",</v>
      </c>
      <c r="AR177" t="str">
        <f t="shared" si="54"/>
        <v>"team":"0",</v>
      </c>
      <c r="AS177" t="str">
        <f t="shared" si="55"/>
        <v>"year":"0",</v>
      </c>
      <c r="AT177" t="str">
        <f t="shared" si="56"/>
        <v>"division":"--",</v>
      </c>
      <c r="AU177" t="str">
        <f t="shared" si="57"/>
        <v>"bw":"0",</v>
      </c>
      <c r="AV177" t="str">
        <f t="shared" si="58"/>
        <v>"idx":"23",</v>
      </c>
      <c r="AW177" t="str">
        <f t="shared" si="59"/>
        <v>"sr":"0",</v>
      </c>
      <c r="AX177" t="str">
        <f t="shared" si="60"/>
        <v>"br":"0",</v>
      </c>
      <c r="AY177" t="str">
        <f t="shared" si="61"/>
        <v>"row":0,</v>
      </c>
      <c r="AZ177" t="s">
        <v>67</v>
      </c>
      <c r="BA177" t="str">
        <f t="shared" si="71"/>
        <v>"sq":{"a1":0,"a2":"","a3":"","s1":0,"s2":0,"s3":0},"bp":{"a1":0,"a2":"","a3":"","s1":0,"s2":0,"s3":0},"dl":{"a1":0,"a2":"","a3":"","s1":0,"s2":0,"s3":0},"sortOrder":0,"act":{}}</v>
      </c>
      <c r="BB177" t="str">
        <f t="shared" si="72"/>
        <v>"23":{"group":"A","lot":0,"name":"0","team":"0","year":"0","division":"--","bw":"0","idx":"23","sr":"0","br":"0","row":0,"sq":{"a1":0,"a2":"","a3":"","s1":0,"s2":0,"s3":0},"bp":{"a1":0,"a2":"","a3":"","s1":0,"s2":0,"s3":0},"dl":{"a1":0,"a2":"","a3":"","s1":0,"s2":0,"s3":0},"sortOrder":0,"act":{}}</v>
      </c>
    </row>
    <row r="178" spans="5:54" x14ac:dyDescent="0.25">
      <c r="E178" s="163"/>
      <c r="F178" s="126"/>
      <c r="G178" s="126"/>
      <c r="H178" s="126"/>
      <c r="I178" s="126"/>
      <c r="J178" s="126"/>
      <c r="K178" s="126"/>
      <c r="L178" s="126"/>
      <c r="M178" s="126"/>
      <c r="N178" s="126"/>
      <c r="O178" s="126"/>
      <c r="P178" s="126"/>
      <c r="Q178" s="126"/>
      <c r="R178" s="126"/>
      <c r="S178" s="126"/>
      <c r="T178" s="127"/>
      <c r="U178" s="128"/>
      <c r="V178" s="128"/>
      <c r="W178" s="129"/>
      <c r="Z178" s="15" t="str">
        <f t="shared" si="50"/>
        <v>A</v>
      </c>
      <c r="AA178" s="8">
        <f t="shared" si="62"/>
        <v>0</v>
      </c>
      <c r="AB178" s="9">
        <f t="shared" si="65"/>
        <v>0</v>
      </c>
      <c r="AC178" s="8">
        <f t="shared" si="63"/>
        <v>0</v>
      </c>
      <c r="AD178" s="8">
        <f t="shared" si="64"/>
        <v>0</v>
      </c>
      <c r="AE178" s="8" t="str">
        <f t="shared" si="66"/>
        <v>--</v>
      </c>
      <c r="AF178" s="10">
        <f t="shared" si="67"/>
        <v>0</v>
      </c>
      <c r="AG178" s="8">
        <v>23</v>
      </c>
      <c r="AH178" s="9">
        <f t="shared" si="68"/>
        <v>0</v>
      </c>
      <c r="AI178" s="11">
        <f t="shared" si="69"/>
        <v>0</v>
      </c>
      <c r="AJ178" s="6"/>
      <c r="AK178" s="6"/>
      <c r="AL178" s="6"/>
      <c r="AN178" t="str">
        <f t="shared" si="51"/>
        <v>"23":{</v>
      </c>
      <c r="AO178" t="str">
        <f t="shared" si="52"/>
        <v>"group":"A",</v>
      </c>
      <c r="AP178" t="str">
        <f t="shared" si="70"/>
        <v>"lot":0,</v>
      </c>
      <c r="AQ178" t="str">
        <f t="shared" si="53"/>
        <v>"name":"0",</v>
      </c>
      <c r="AR178" t="str">
        <f t="shared" si="54"/>
        <v>"team":"0",</v>
      </c>
      <c r="AS178" t="str">
        <f t="shared" si="55"/>
        <v>"year":"0",</v>
      </c>
      <c r="AT178" t="str">
        <f t="shared" si="56"/>
        <v>"division":"--",</v>
      </c>
      <c r="AU178" t="str">
        <f t="shared" si="57"/>
        <v>"bw":"0",</v>
      </c>
      <c r="AV178" t="str">
        <f t="shared" si="58"/>
        <v>"idx":"23",</v>
      </c>
      <c r="AW178" t="str">
        <f t="shared" si="59"/>
        <v>"sr":"0",</v>
      </c>
      <c r="AX178" t="str">
        <f t="shared" si="60"/>
        <v>"br":"0",</v>
      </c>
      <c r="AY178" t="str">
        <f t="shared" si="61"/>
        <v>"row":0,</v>
      </c>
      <c r="AZ178" t="s">
        <v>67</v>
      </c>
      <c r="BA178" t="str">
        <f t="shared" si="71"/>
        <v>"sq":{"a1":0,"a2":"","a3":"","s1":0,"s2":0,"s3":0},"bp":{"a1":0,"a2":"","a3":"","s1":0,"s2":0,"s3":0},"dl":{"a1":0,"a2":"","a3":"","s1":0,"s2":0,"s3":0},"sortOrder":0,"act":{}}</v>
      </c>
      <c r="BB178" t="str">
        <f t="shared" si="72"/>
        <v>"23":{"group":"A","lot":0,"name":"0","team":"0","year":"0","division":"--","bw":"0","idx":"23","sr":"0","br":"0","row":0,"sq":{"a1":0,"a2":"","a3":"","s1":0,"s2":0,"s3":0},"bp":{"a1":0,"a2":"","a3":"","s1":0,"s2":0,"s3":0},"dl":{"a1":0,"a2":"","a3":"","s1":0,"s2":0,"s3":0},"sortOrder":0,"act":{}}</v>
      </c>
    </row>
    <row r="179" spans="5:54" x14ac:dyDescent="0.25">
      <c r="E179" s="163"/>
      <c r="F179" s="126"/>
      <c r="G179" s="126"/>
      <c r="H179" s="126"/>
      <c r="I179" s="126"/>
      <c r="J179" s="126"/>
      <c r="K179" s="126"/>
      <c r="L179" s="126"/>
      <c r="M179" s="126"/>
      <c r="N179" s="126"/>
      <c r="O179" s="126"/>
      <c r="P179" s="126"/>
      <c r="Q179" s="126"/>
      <c r="R179" s="126"/>
      <c r="S179" s="126"/>
      <c r="T179" s="127"/>
      <c r="U179" s="128"/>
      <c r="V179" s="128"/>
      <c r="W179" s="129"/>
      <c r="Z179" s="15" t="str">
        <f t="shared" si="50"/>
        <v>A</v>
      </c>
      <c r="AA179" s="8">
        <f t="shared" si="62"/>
        <v>0</v>
      </c>
      <c r="AB179" s="9">
        <f t="shared" si="65"/>
        <v>0</v>
      </c>
      <c r="AC179" s="8">
        <f t="shared" si="63"/>
        <v>0</v>
      </c>
      <c r="AD179" s="8">
        <f t="shared" si="64"/>
        <v>0</v>
      </c>
      <c r="AE179" s="8" t="str">
        <f t="shared" si="66"/>
        <v>--</v>
      </c>
      <c r="AF179" s="10">
        <f t="shared" si="67"/>
        <v>0</v>
      </c>
      <c r="AG179" s="8">
        <v>23</v>
      </c>
      <c r="AH179" s="9">
        <f t="shared" si="68"/>
        <v>0</v>
      </c>
      <c r="AI179" s="11">
        <f t="shared" si="69"/>
        <v>0</v>
      </c>
      <c r="AJ179" s="6"/>
      <c r="AK179" s="6"/>
      <c r="AL179" s="6"/>
      <c r="AN179" t="str">
        <f t="shared" si="51"/>
        <v>"23":{</v>
      </c>
      <c r="AO179" t="str">
        <f t="shared" si="52"/>
        <v>"group":"A",</v>
      </c>
      <c r="AP179" t="str">
        <f t="shared" si="70"/>
        <v>"lot":0,</v>
      </c>
      <c r="AQ179" t="str">
        <f t="shared" si="53"/>
        <v>"name":"0",</v>
      </c>
      <c r="AR179" t="str">
        <f t="shared" si="54"/>
        <v>"team":"0",</v>
      </c>
      <c r="AS179" t="str">
        <f t="shared" si="55"/>
        <v>"year":"0",</v>
      </c>
      <c r="AT179" t="str">
        <f t="shared" si="56"/>
        <v>"division":"--",</v>
      </c>
      <c r="AU179" t="str">
        <f t="shared" si="57"/>
        <v>"bw":"0",</v>
      </c>
      <c r="AV179" t="str">
        <f t="shared" si="58"/>
        <v>"idx":"23",</v>
      </c>
      <c r="AW179" t="str">
        <f t="shared" si="59"/>
        <v>"sr":"0",</v>
      </c>
      <c r="AX179" t="str">
        <f t="shared" si="60"/>
        <v>"br":"0",</v>
      </c>
      <c r="AY179" t="str">
        <f t="shared" si="61"/>
        <v>"row":0,</v>
      </c>
      <c r="AZ179" t="s">
        <v>67</v>
      </c>
      <c r="BA179" t="str">
        <f t="shared" si="71"/>
        <v>"sq":{"a1":0,"a2":"","a3":"","s1":0,"s2":0,"s3":0},"bp":{"a1":0,"a2":"","a3":"","s1":0,"s2":0,"s3":0},"dl":{"a1":0,"a2":"","a3":"","s1":0,"s2":0,"s3":0},"sortOrder":0,"act":{}}</v>
      </c>
      <c r="BB179" t="str">
        <f t="shared" si="72"/>
        <v>"23":{"group":"A","lot":0,"name":"0","team":"0","year":"0","division":"--","bw":"0","idx":"23","sr":"0","br":"0","row":0,"sq":{"a1":0,"a2":"","a3":"","s1":0,"s2":0,"s3":0},"bp":{"a1":0,"a2":"","a3":"","s1":0,"s2":0,"s3":0},"dl":{"a1":0,"a2":"","a3":"","s1":0,"s2":0,"s3":0},"sortOrder":0,"act":{}}</v>
      </c>
    </row>
    <row r="180" spans="5:54" x14ac:dyDescent="0.25">
      <c r="E180" s="163"/>
      <c r="F180" s="126"/>
      <c r="G180" s="126"/>
      <c r="H180" s="126"/>
      <c r="I180" s="126"/>
      <c r="J180" s="126"/>
      <c r="K180" s="126"/>
      <c r="L180" s="126"/>
      <c r="M180" s="126"/>
      <c r="N180" s="126"/>
      <c r="O180" s="126"/>
      <c r="P180" s="126"/>
      <c r="Q180" s="126"/>
      <c r="R180" s="126"/>
      <c r="S180" s="126"/>
      <c r="T180" s="127"/>
      <c r="U180" s="128"/>
      <c r="V180" s="128"/>
      <c r="W180" s="129"/>
      <c r="Z180" s="15" t="str">
        <f t="shared" si="50"/>
        <v>A</v>
      </c>
      <c r="AA180" s="8">
        <f t="shared" si="62"/>
        <v>0</v>
      </c>
      <c r="AB180" s="9">
        <f t="shared" si="65"/>
        <v>0</v>
      </c>
      <c r="AC180" s="8">
        <f t="shared" si="63"/>
        <v>0</v>
      </c>
      <c r="AD180" s="8">
        <f t="shared" si="64"/>
        <v>0</v>
      </c>
      <c r="AE180" s="8" t="str">
        <f t="shared" si="66"/>
        <v>--</v>
      </c>
      <c r="AF180" s="10">
        <f t="shared" si="67"/>
        <v>0</v>
      </c>
      <c r="AG180" s="8">
        <v>23</v>
      </c>
      <c r="AH180" s="9">
        <f t="shared" si="68"/>
        <v>0</v>
      </c>
      <c r="AI180" s="11">
        <f t="shared" si="69"/>
        <v>0</v>
      </c>
      <c r="AJ180" s="6"/>
      <c r="AK180" s="6"/>
      <c r="AL180" s="6"/>
      <c r="AN180" t="str">
        <f t="shared" si="51"/>
        <v>"23":{</v>
      </c>
      <c r="AO180" t="str">
        <f t="shared" si="52"/>
        <v>"group":"A",</v>
      </c>
      <c r="AP180" t="str">
        <f t="shared" si="70"/>
        <v>"lot":0,</v>
      </c>
      <c r="AQ180" t="str">
        <f t="shared" si="53"/>
        <v>"name":"0",</v>
      </c>
      <c r="AR180" t="str">
        <f t="shared" si="54"/>
        <v>"team":"0",</v>
      </c>
      <c r="AS180" t="str">
        <f t="shared" si="55"/>
        <v>"year":"0",</v>
      </c>
      <c r="AT180" t="str">
        <f t="shared" si="56"/>
        <v>"division":"--",</v>
      </c>
      <c r="AU180" t="str">
        <f t="shared" si="57"/>
        <v>"bw":"0",</v>
      </c>
      <c r="AV180" t="str">
        <f t="shared" si="58"/>
        <v>"idx":"23",</v>
      </c>
      <c r="AW180" t="str">
        <f t="shared" si="59"/>
        <v>"sr":"0",</v>
      </c>
      <c r="AX180" t="str">
        <f t="shared" si="60"/>
        <v>"br":"0",</v>
      </c>
      <c r="AY180" t="str">
        <f t="shared" si="61"/>
        <v>"row":0,</v>
      </c>
      <c r="AZ180" t="s">
        <v>67</v>
      </c>
      <c r="BA180" t="str">
        <f t="shared" si="71"/>
        <v>"sq":{"a1":0,"a2":"","a3":"","s1":0,"s2":0,"s3":0},"bp":{"a1":0,"a2":"","a3":"","s1":0,"s2":0,"s3":0},"dl":{"a1":0,"a2":"","a3":"","s1":0,"s2":0,"s3":0},"sortOrder":0,"act":{}}</v>
      </c>
      <c r="BB180" t="str">
        <f t="shared" si="72"/>
        <v>"23":{"group":"A","lot":0,"name":"0","team":"0","year":"0","division":"--","bw":"0","idx":"23","sr":"0","br":"0","row":0,"sq":{"a1":0,"a2":"","a3":"","s1":0,"s2":0,"s3":0},"bp":{"a1":0,"a2":"","a3":"","s1":0,"s2":0,"s3":0},"dl":{"a1":0,"a2":"","a3":"","s1":0,"s2":0,"s3":0},"sortOrder":0,"act":{}}</v>
      </c>
    </row>
    <row r="181" spans="5:54" x14ac:dyDescent="0.25">
      <c r="E181" s="163"/>
      <c r="F181" s="126"/>
      <c r="G181" s="126"/>
      <c r="H181" s="126"/>
      <c r="I181" s="126"/>
      <c r="J181" s="126"/>
      <c r="K181" s="126"/>
      <c r="L181" s="126"/>
      <c r="M181" s="126"/>
      <c r="N181" s="126"/>
      <c r="O181" s="126"/>
      <c r="P181" s="126"/>
      <c r="Q181" s="126"/>
      <c r="R181" s="126"/>
      <c r="S181" s="126"/>
      <c r="T181" s="127"/>
      <c r="U181" s="128"/>
      <c r="V181" s="128"/>
      <c r="W181" s="129"/>
      <c r="Z181" s="15" t="str">
        <f t="shared" si="50"/>
        <v>A</v>
      </c>
      <c r="AA181" s="8">
        <f t="shared" si="62"/>
        <v>0</v>
      </c>
      <c r="AB181" s="9">
        <f t="shared" si="65"/>
        <v>0</v>
      </c>
      <c r="AC181" s="8">
        <f t="shared" si="63"/>
        <v>0</v>
      </c>
      <c r="AD181" s="8">
        <f t="shared" si="64"/>
        <v>0</v>
      </c>
      <c r="AE181" s="8" t="str">
        <f t="shared" si="66"/>
        <v>--</v>
      </c>
      <c r="AF181" s="10">
        <f t="shared" si="67"/>
        <v>0</v>
      </c>
      <c r="AG181" s="8">
        <v>23</v>
      </c>
      <c r="AH181" s="9">
        <f t="shared" si="68"/>
        <v>0</v>
      </c>
      <c r="AI181" s="11">
        <f t="shared" si="69"/>
        <v>0</v>
      </c>
      <c r="AJ181" s="6"/>
      <c r="AK181" s="6"/>
      <c r="AL181" s="6"/>
      <c r="AN181" t="str">
        <f t="shared" si="51"/>
        <v>"23":{</v>
      </c>
      <c r="AO181" t="str">
        <f t="shared" si="52"/>
        <v>"group":"A",</v>
      </c>
      <c r="AP181" t="str">
        <f t="shared" si="70"/>
        <v>"lot":0,</v>
      </c>
      <c r="AQ181" t="str">
        <f t="shared" si="53"/>
        <v>"name":"0",</v>
      </c>
      <c r="AR181" t="str">
        <f t="shared" si="54"/>
        <v>"team":"0",</v>
      </c>
      <c r="AS181" t="str">
        <f t="shared" si="55"/>
        <v>"year":"0",</v>
      </c>
      <c r="AT181" t="str">
        <f t="shared" si="56"/>
        <v>"division":"--",</v>
      </c>
      <c r="AU181" t="str">
        <f t="shared" si="57"/>
        <v>"bw":"0",</v>
      </c>
      <c r="AV181" t="str">
        <f t="shared" si="58"/>
        <v>"idx":"23",</v>
      </c>
      <c r="AW181" t="str">
        <f t="shared" si="59"/>
        <v>"sr":"0",</v>
      </c>
      <c r="AX181" t="str">
        <f t="shared" si="60"/>
        <v>"br":"0",</v>
      </c>
      <c r="AY181" t="str">
        <f t="shared" si="61"/>
        <v>"row":0,</v>
      </c>
      <c r="AZ181" t="s">
        <v>67</v>
      </c>
      <c r="BA181" t="str">
        <f t="shared" si="71"/>
        <v>"sq":{"a1":0,"a2":"","a3":"","s1":0,"s2":0,"s3":0},"bp":{"a1":0,"a2":"","a3":"","s1":0,"s2":0,"s3":0},"dl":{"a1":0,"a2":"","a3":"","s1":0,"s2":0,"s3":0},"sortOrder":0,"act":{}}</v>
      </c>
      <c r="BB181" t="str">
        <f t="shared" si="72"/>
        <v>"23":{"group":"A","lot":0,"name":"0","team":"0","year":"0","division":"--","bw":"0","idx":"23","sr":"0","br":"0","row":0,"sq":{"a1":0,"a2":"","a3":"","s1":0,"s2":0,"s3":0},"bp":{"a1":0,"a2":"","a3":"","s1":0,"s2":0,"s3":0},"dl":{"a1":0,"a2":"","a3":"","s1":0,"s2":0,"s3":0},"sortOrder":0,"act":{}}</v>
      </c>
    </row>
    <row r="182" spans="5:54" x14ac:dyDescent="0.25">
      <c r="E182" s="163"/>
      <c r="F182" s="126"/>
      <c r="G182" s="126"/>
      <c r="H182" s="126"/>
      <c r="I182" s="126"/>
      <c r="J182" s="126"/>
      <c r="K182" s="126"/>
      <c r="L182" s="126"/>
      <c r="M182" s="126"/>
      <c r="N182" s="126"/>
      <c r="O182" s="126"/>
      <c r="P182" s="126"/>
      <c r="Q182" s="126"/>
      <c r="R182" s="126"/>
      <c r="S182" s="126"/>
      <c r="T182" s="127"/>
      <c r="U182" s="128"/>
      <c r="V182" s="128"/>
      <c r="W182" s="129"/>
      <c r="Z182" s="15" t="str">
        <f t="shared" ref="Z182:Z245" si="73">IF(Q182="","A",PROPER(Q182))</f>
        <v>A</v>
      </c>
      <c r="AA182" s="8">
        <f t="shared" si="62"/>
        <v>0</v>
      </c>
      <c r="AB182" s="9">
        <f t="shared" si="65"/>
        <v>0</v>
      </c>
      <c r="AC182" s="8">
        <f t="shared" si="63"/>
        <v>0</v>
      </c>
      <c r="AD182" s="8">
        <f t="shared" si="64"/>
        <v>0</v>
      </c>
      <c r="AE182" s="8" t="str">
        <f t="shared" si="66"/>
        <v>--</v>
      </c>
      <c r="AF182" s="10">
        <f t="shared" si="67"/>
        <v>0</v>
      </c>
      <c r="AG182" s="8">
        <v>23</v>
      </c>
      <c r="AH182" s="9">
        <f t="shared" si="68"/>
        <v>0</v>
      </c>
      <c r="AI182" s="11">
        <f t="shared" si="69"/>
        <v>0</v>
      </c>
      <c r="AJ182" s="6"/>
      <c r="AK182" s="6"/>
      <c r="AL182" s="6"/>
      <c r="AN182" t="str">
        <f t="shared" ref="AN182:AN245" si="74">CHAR(34)&amp;AG182&amp;CHAR(34)&amp;":{"</f>
        <v>"23":{</v>
      </c>
      <c r="AO182" t="str">
        <f t="shared" ref="AO182:AO245" si="75">Z$3&amp;":"&amp;CHAR(34)&amp;Z182&amp;CHAR(34)&amp;","</f>
        <v>"group":"A",</v>
      </c>
      <c r="AP182" t="str">
        <f t="shared" si="70"/>
        <v>"lot":0,</v>
      </c>
      <c r="AQ182" t="str">
        <f t="shared" ref="AQ182:AQ245" si="76">AB$3&amp;":"&amp;CHAR(34)&amp;AB182&amp;CHAR(34)&amp;","</f>
        <v>"name":"0",</v>
      </c>
      <c r="AR182" t="str">
        <f t="shared" ref="AR182:AR245" si="77">AC$3&amp;":"&amp;CHAR(34)&amp;AC182&amp;CHAR(34)&amp;","</f>
        <v>"team":"0",</v>
      </c>
      <c r="AS182" t="str">
        <f t="shared" ref="AS182:AS245" si="78">AD$3&amp;":"&amp;CHAR(34)&amp;AD182&amp;CHAR(34)&amp;","</f>
        <v>"year":"0",</v>
      </c>
      <c r="AT182" t="str">
        <f t="shared" ref="AT182:AT245" si="79">AE$3&amp;":"&amp;CHAR(34)&amp;AE182&amp;CHAR(34)&amp;","</f>
        <v>"division":"--",</v>
      </c>
      <c r="AU182" t="str">
        <f t="shared" ref="AU182:AU245" si="80">AF$3&amp;":"&amp;CHAR(34)&amp;AF182&amp;CHAR(34)&amp;","</f>
        <v>"bw":"0",</v>
      </c>
      <c r="AV182" t="str">
        <f t="shared" ref="AV182:AV245" si="81">AG$3&amp;":"&amp;CHAR(34)&amp;AG182&amp;CHAR(34)&amp;","</f>
        <v>"idx":"23",</v>
      </c>
      <c r="AW182" t="str">
        <f t="shared" ref="AW182:AW245" si="82">AH$3&amp;":"&amp;CHAR(34)&amp;AH182&amp;CHAR(34)&amp;","</f>
        <v>"sr":"0",</v>
      </c>
      <c r="AX182" t="str">
        <f t="shared" ref="AX182:AX245" si="83">AI$3&amp;":"&amp;CHAR(34)&amp;AI182&amp;CHAR(34)&amp;","</f>
        <v>"br":"0",</v>
      </c>
      <c r="AY182" t="str">
        <f t="shared" ref="AY182:AY245" si="84">CHAR(34)&amp;"row"&amp;CHAR(34)&amp;":"&amp;AA182&amp;","</f>
        <v>"row":0,</v>
      </c>
      <c r="AZ182" t="s">
        <v>67</v>
      </c>
      <c r="BA182" t="str">
        <f t="shared" si="71"/>
        <v>"sq":{"a1":0,"a2":"","a3":"","s1":0,"s2":0,"s3":0},"bp":{"a1":0,"a2":"","a3":"","s1":0,"s2":0,"s3":0},"dl":{"a1":0,"a2":"","a3":"","s1":0,"s2":0,"s3":0},"sortOrder":0,"act":{}}</v>
      </c>
      <c r="BB182" t="str">
        <f t="shared" si="72"/>
        <v>"23":{"group":"A","lot":0,"name":"0","team":"0","year":"0","division":"--","bw":"0","idx":"23","sr":"0","br":"0","row":0,"sq":{"a1":0,"a2":"","a3":"","s1":0,"s2":0,"s3":0},"bp":{"a1":0,"a2":"","a3":"","s1":0,"s2":0,"s3":0},"dl":{"a1":0,"a2":"","a3":"","s1":0,"s2":0,"s3":0},"sortOrder":0,"act":{}}</v>
      </c>
    </row>
    <row r="183" spans="5:54" x14ac:dyDescent="0.25">
      <c r="E183" s="163"/>
      <c r="F183" s="126"/>
      <c r="G183" s="126"/>
      <c r="H183" s="126"/>
      <c r="I183" s="126"/>
      <c r="J183" s="126"/>
      <c r="K183" s="126"/>
      <c r="L183" s="126"/>
      <c r="M183" s="126"/>
      <c r="N183" s="126"/>
      <c r="O183" s="126"/>
      <c r="P183" s="126"/>
      <c r="Q183" s="126"/>
      <c r="R183" s="126"/>
      <c r="S183" s="126"/>
      <c r="T183" s="127"/>
      <c r="U183" s="128"/>
      <c r="V183" s="128"/>
      <c r="W183" s="129"/>
      <c r="Z183" s="15" t="str">
        <f t="shared" si="73"/>
        <v>A</v>
      </c>
      <c r="AA183" s="8">
        <f t="shared" si="62"/>
        <v>0</v>
      </c>
      <c r="AB183" s="9">
        <f t="shared" si="65"/>
        <v>0</v>
      </c>
      <c r="AC183" s="8">
        <f t="shared" si="63"/>
        <v>0</v>
      </c>
      <c r="AD183" s="8">
        <f t="shared" si="64"/>
        <v>0</v>
      </c>
      <c r="AE183" s="8" t="str">
        <f t="shared" si="66"/>
        <v>--</v>
      </c>
      <c r="AF183" s="10">
        <f t="shared" si="67"/>
        <v>0</v>
      </c>
      <c r="AG183" s="8">
        <v>23</v>
      </c>
      <c r="AH183" s="9">
        <f t="shared" si="68"/>
        <v>0</v>
      </c>
      <c r="AI183" s="11">
        <f t="shared" si="69"/>
        <v>0</v>
      </c>
      <c r="AJ183" s="6"/>
      <c r="AK183" s="6"/>
      <c r="AL183" s="6"/>
      <c r="AN183" t="str">
        <f t="shared" si="74"/>
        <v>"23":{</v>
      </c>
      <c r="AO183" t="str">
        <f t="shared" si="75"/>
        <v>"group":"A",</v>
      </c>
      <c r="AP183" t="str">
        <f t="shared" si="70"/>
        <v>"lot":0,</v>
      </c>
      <c r="AQ183" t="str">
        <f t="shared" si="76"/>
        <v>"name":"0",</v>
      </c>
      <c r="AR183" t="str">
        <f t="shared" si="77"/>
        <v>"team":"0",</v>
      </c>
      <c r="AS183" t="str">
        <f t="shared" si="78"/>
        <v>"year":"0",</v>
      </c>
      <c r="AT183" t="str">
        <f t="shared" si="79"/>
        <v>"division":"--",</v>
      </c>
      <c r="AU183" t="str">
        <f t="shared" si="80"/>
        <v>"bw":"0",</v>
      </c>
      <c r="AV183" t="str">
        <f t="shared" si="81"/>
        <v>"idx":"23",</v>
      </c>
      <c r="AW183" t="str">
        <f t="shared" si="82"/>
        <v>"sr":"0",</v>
      </c>
      <c r="AX183" t="str">
        <f t="shared" si="83"/>
        <v>"br":"0",</v>
      </c>
      <c r="AY183" t="str">
        <f t="shared" si="84"/>
        <v>"row":0,</v>
      </c>
      <c r="AZ183" t="s">
        <v>67</v>
      </c>
      <c r="BA183" t="str">
        <f t="shared" si="71"/>
        <v>"sq":{"a1":0,"a2":"","a3":"","s1":0,"s2":0,"s3":0},"bp":{"a1":0,"a2":"","a3":"","s1":0,"s2":0,"s3":0},"dl":{"a1":0,"a2":"","a3":"","s1":0,"s2":0,"s3":0},"sortOrder":0,"act":{}}</v>
      </c>
      <c r="BB183" t="str">
        <f t="shared" si="72"/>
        <v>"23":{"group":"A","lot":0,"name":"0","team":"0","year":"0","division":"--","bw":"0","idx":"23","sr":"0","br":"0","row":0,"sq":{"a1":0,"a2":"","a3":"","s1":0,"s2":0,"s3":0},"bp":{"a1":0,"a2":"","a3":"","s1":0,"s2":0,"s3":0},"dl":{"a1":0,"a2":"","a3":"","s1":0,"s2":0,"s3":0},"sortOrder":0,"act":{}}</v>
      </c>
    </row>
    <row r="184" spans="5:54" x14ac:dyDescent="0.25">
      <c r="E184" s="163"/>
      <c r="F184" s="126"/>
      <c r="G184" s="126"/>
      <c r="H184" s="126"/>
      <c r="I184" s="126"/>
      <c r="J184" s="126"/>
      <c r="K184" s="126"/>
      <c r="L184" s="126"/>
      <c r="M184" s="126"/>
      <c r="N184" s="126"/>
      <c r="O184" s="126"/>
      <c r="P184" s="126"/>
      <c r="Q184" s="126"/>
      <c r="R184" s="126"/>
      <c r="S184" s="126"/>
      <c r="T184" s="127"/>
      <c r="U184" s="128"/>
      <c r="V184" s="128"/>
      <c r="W184" s="129"/>
      <c r="Z184" s="15" t="str">
        <f t="shared" si="73"/>
        <v>A</v>
      </c>
      <c r="AA184" s="8">
        <f t="shared" si="62"/>
        <v>0</v>
      </c>
      <c r="AB184" s="9">
        <f t="shared" si="65"/>
        <v>0</v>
      </c>
      <c r="AC184" s="8">
        <f t="shared" si="63"/>
        <v>0</v>
      </c>
      <c r="AD184" s="8">
        <f t="shared" si="64"/>
        <v>0</v>
      </c>
      <c r="AE184" s="8" t="str">
        <f t="shared" si="66"/>
        <v>--</v>
      </c>
      <c r="AF184" s="10">
        <f t="shared" si="67"/>
        <v>0</v>
      </c>
      <c r="AG184" s="8">
        <v>23</v>
      </c>
      <c r="AH184" s="9">
        <f t="shared" si="68"/>
        <v>0</v>
      </c>
      <c r="AI184" s="11">
        <f t="shared" si="69"/>
        <v>0</v>
      </c>
      <c r="AJ184" s="6"/>
      <c r="AK184" s="6"/>
      <c r="AL184" s="6"/>
      <c r="AN184" t="str">
        <f t="shared" si="74"/>
        <v>"23":{</v>
      </c>
      <c r="AO184" t="str">
        <f t="shared" si="75"/>
        <v>"group":"A",</v>
      </c>
      <c r="AP184" t="str">
        <f t="shared" si="70"/>
        <v>"lot":0,</v>
      </c>
      <c r="AQ184" t="str">
        <f t="shared" si="76"/>
        <v>"name":"0",</v>
      </c>
      <c r="AR184" t="str">
        <f t="shared" si="77"/>
        <v>"team":"0",</v>
      </c>
      <c r="AS184" t="str">
        <f t="shared" si="78"/>
        <v>"year":"0",</v>
      </c>
      <c r="AT184" t="str">
        <f t="shared" si="79"/>
        <v>"division":"--",</v>
      </c>
      <c r="AU184" t="str">
        <f t="shared" si="80"/>
        <v>"bw":"0",</v>
      </c>
      <c r="AV184" t="str">
        <f t="shared" si="81"/>
        <v>"idx":"23",</v>
      </c>
      <c r="AW184" t="str">
        <f t="shared" si="82"/>
        <v>"sr":"0",</v>
      </c>
      <c r="AX184" t="str">
        <f t="shared" si="83"/>
        <v>"br":"0",</v>
      </c>
      <c r="AY184" t="str">
        <f t="shared" si="84"/>
        <v>"row":0,</v>
      </c>
      <c r="AZ184" t="s">
        <v>67</v>
      </c>
      <c r="BA184" t="str">
        <f t="shared" si="71"/>
        <v>"sq":{"a1":0,"a2":"","a3":"","s1":0,"s2":0,"s3":0},"bp":{"a1":0,"a2":"","a3":"","s1":0,"s2":0,"s3":0},"dl":{"a1":0,"a2":"","a3":"","s1":0,"s2":0,"s3":0},"sortOrder":0,"act":{}}</v>
      </c>
      <c r="BB184" t="str">
        <f t="shared" si="72"/>
        <v>"23":{"group":"A","lot":0,"name":"0","team":"0","year":"0","division":"--","bw":"0","idx":"23","sr":"0","br":"0","row":0,"sq":{"a1":0,"a2":"","a3":"","s1":0,"s2":0,"s3":0},"bp":{"a1":0,"a2":"","a3":"","s1":0,"s2":0,"s3":0},"dl":{"a1":0,"a2":"","a3":"","s1":0,"s2":0,"s3":0},"sortOrder":0,"act":{}}</v>
      </c>
    </row>
    <row r="185" spans="5:54" x14ac:dyDescent="0.25">
      <c r="E185" s="163"/>
      <c r="F185" s="126"/>
      <c r="G185" s="126"/>
      <c r="H185" s="126"/>
      <c r="I185" s="126"/>
      <c r="J185" s="126"/>
      <c r="K185" s="126"/>
      <c r="L185" s="126"/>
      <c r="M185" s="126"/>
      <c r="N185" s="126"/>
      <c r="O185" s="126"/>
      <c r="P185" s="126"/>
      <c r="Q185" s="126"/>
      <c r="R185" s="126"/>
      <c r="S185" s="126"/>
      <c r="T185" s="127"/>
      <c r="U185" s="128"/>
      <c r="V185" s="128"/>
      <c r="W185" s="129"/>
      <c r="Z185" s="15" t="str">
        <f t="shared" si="73"/>
        <v>A</v>
      </c>
      <c r="AA185" s="8">
        <f t="shared" si="62"/>
        <v>0</v>
      </c>
      <c r="AB185" s="9">
        <f t="shared" si="65"/>
        <v>0</v>
      </c>
      <c r="AC185" s="8">
        <f t="shared" si="63"/>
        <v>0</v>
      </c>
      <c r="AD185" s="8">
        <f t="shared" si="64"/>
        <v>0</v>
      </c>
      <c r="AE185" s="8" t="str">
        <f t="shared" si="66"/>
        <v>--</v>
      </c>
      <c r="AF185" s="10">
        <f t="shared" si="67"/>
        <v>0</v>
      </c>
      <c r="AG185" s="8">
        <v>23</v>
      </c>
      <c r="AH185" s="9">
        <f t="shared" si="68"/>
        <v>0</v>
      </c>
      <c r="AI185" s="11">
        <f t="shared" si="69"/>
        <v>0</v>
      </c>
      <c r="AJ185" s="6"/>
      <c r="AK185" s="6"/>
      <c r="AL185" s="6"/>
      <c r="AN185" t="str">
        <f t="shared" si="74"/>
        <v>"23":{</v>
      </c>
      <c r="AO185" t="str">
        <f t="shared" si="75"/>
        <v>"group":"A",</v>
      </c>
      <c r="AP185" t="str">
        <f t="shared" si="70"/>
        <v>"lot":0,</v>
      </c>
      <c r="AQ185" t="str">
        <f t="shared" si="76"/>
        <v>"name":"0",</v>
      </c>
      <c r="AR185" t="str">
        <f t="shared" si="77"/>
        <v>"team":"0",</v>
      </c>
      <c r="AS185" t="str">
        <f t="shared" si="78"/>
        <v>"year":"0",</v>
      </c>
      <c r="AT185" t="str">
        <f t="shared" si="79"/>
        <v>"division":"--",</v>
      </c>
      <c r="AU185" t="str">
        <f t="shared" si="80"/>
        <v>"bw":"0",</v>
      </c>
      <c r="AV185" t="str">
        <f t="shared" si="81"/>
        <v>"idx":"23",</v>
      </c>
      <c r="AW185" t="str">
        <f t="shared" si="82"/>
        <v>"sr":"0",</v>
      </c>
      <c r="AX185" t="str">
        <f t="shared" si="83"/>
        <v>"br":"0",</v>
      </c>
      <c r="AY185" t="str">
        <f t="shared" si="84"/>
        <v>"row":0,</v>
      </c>
      <c r="AZ185" t="s">
        <v>67</v>
      </c>
      <c r="BA185" t="str">
        <f t="shared" si="71"/>
        <v>"sq":{"a1":0,"a2":"","a3":"","s1":0,"s2":0,"s3":0},"bp":{"a1":0,"a2":"","a3":"","s1":0,"s2":0,"s3":0},"dl":{"a1":0,"a2":"","a3":"","s1":0,"s2":0,"s3":0},"sortOrder":0,"act":{}}</v>
      </c>
      <c r="BB185" t="str">
        <f t="shared" si="72"/>
        <v>"23":{"group":"A","lot":0,"name":"0","team":"0","year":"0","division":"--","bw":"0","idx":"23","sr":"0","br":"0","row":0,"sq":{"a1":0,"a2":"","a3":"","s1":0,"s2":0,"s3":0},"bp":{"a1":0,"a2":"","a3":"","s1":0,"s2":0,"s3":0},"dl":{"a1":0,"a2":"","a3":"","s1":0,"s2":0,"s3":0},"sortOrder":0,"act":{}}</v>
      </c>
    </row>
    <row r="186" spans="5:54" x14ac:dyDescent="0.25">
      <c r="E186" s="163"/>
      <c r="F186" s="126"/>
      <c r="G186" s="126"/>
      <c r="H186" s="126"/>
      <c r="I186" s="126"/>
      <c r="J186" s="126"/>
      <c r="K186" s="126"/>
      <c r="L186" s="126"/>
      <c r="M186" s="126"/>
      <c r="N186" s="126"/>
      <c r="O186" s="126"/>
      <c r="P186" s="126"/>
      <c r="Q186" s="126"/>
      <c r="R186" s="126"/>
      <c r="S186" s="126"/>
      <c r="T186" s="127"/>
      <c r="U186" s="128"/>
      <c r="V186" s="128"/>
      <c r="W186" s="129"/>
      <c r="Z186" s="15" t="str">
        <f t="shared" si="73"/>
        <v>A</v>
      </c>
      <c r="AA186" s="8">
        <f t="shared" si="62"/>
        <v>0</v>
      </c>
      <c r="AB186" s="9">
        <f t="shared" si="65"/>
        <v>0</v>
      </c>
      <c r="AC186" s="8">
        <f t="shared" si="63"/>
        <v>0</v>
      </c>
      <c r="AD186" s="8">
        <f t="shared" si="64"/>
        <v>0</v>
      </c>
      <c r="AE186" s="8" t="str">
        <f t="shared" si="66"/>
        <v>--</v>
      </c>
      <c r="AF186" s="10">
        <f t="shared" si="67"/>
        <v>0</v>
      </c>
      <c r="AG186" s="8">
        <v>23</v>
      </c>
      <c r="AH186" s="9">
        <f t="shared" si="68"/>
        <v>0</v>
      </c>
      <c r="AI186" s="11">
        <f t="shared" si="69"/>
        <v>0</v>
      </c>
      <c r="AJ186" s="6"/>
      <c r="AK186" s="6"/>
      <c r="AL186" s="6"/>
      <c r="AN186" t="str">
        <f t="shared" si="74"/>
        <v>"23":{</v>
      </c>
      <c r="AO186" t="str">
        <f t="shared" si="75"/>
        <v>"group":"A",</v>
      </c>
      <c r="AP186" t="str">
        <f t="shared" si="70"/>
        <v>"lot":0,</v>
      </c>
      <c r="AQ186" t="str">
        <f t="shared" si="76"/>
        <v>"name":"0",</v>
      </c>
      <c r="AR186" t="str">
        <f t="shared" si="77"/>
        <v>"team":"0",</v>
      </c>
      <c r="AS186" t="str">
        <f t="shared" si="78"/>
        <v>"year":"0",</v>
      </c>
      <c r="AT186" t="str">
        <f t="shared" si="79"/>
        <v>"division":"--",</v>
      </c>
      <c r="AU186" t="str">
        <f t="shared" si="80"/>
        <v>"bw":"0",</v>
      </c>
      <c r="AV186" t="str">
        <f t="shared" si="81"/>
        <v>"idx":"23",</v>
      </c>
      <c r="AW186" t="str">
        <f t="shared" si="82"/>
        <v>"sr":"0",</v>
      </c>
      <c r="AX186" t="str">
        <f t="shared" si="83"/>
        <v>"br":"0",</v>
      </c>
      <c r="AY186" t="str">
        <f t="shared" si="84"/>
        <v>"row":0,</v>
      </c>
      <c r="AZ186" t="s">
        <v>67</v>
      </c>
      <c r="BA186" t="str">
        <f t="shared" si="71"/>
        <v>"sq":{"a1":0,"a2":"","a3":"","s1":0,"s2":0,"s3":0},"bp":{"a1":0,"a2":"","a3":"","s1":0,"s2":0,"s3":0},"dl":{"a1":0,"a2":"","a3":"","s1":0,"s2":0,"s3":0},"sortOrder":0,"act":{}}</v>
      </c>
      <c r="BB186" t="str">
        <f t="shared" si="72"/>
        <v>"23":{"group":"A","lot":0,"name":"0","team":"0","year":"0","division":"--","bw":"0","idx":"23","sr":"0","br":"0","row":0,"sq":{"a1":0,"a2":"","a3":"","s1":0,"s2":0,"s3":0},"bp":{"a1":0,"a2":"","a3":"","s1":0,"s2":0,"s3":0},"dl":{"a1":0,"a2":"","a3":"","s1":0,"s2":0,"s3":0},"sortOrder":0,"act":{}}</v>
      </c>
    </row>
    <row r="187" spans="5:54" x14ac:dyDescent="0.25">
      <c r="E187" s="163"/>
      <c r="F187" s="126"/>
      <c r="G187" s="126"/>
      <c r="H187" s="126"/>
      <c r="I187" s="126"/>
      <c r="J187" s="126"/>
      <c r="K187" s="126"/>
      <c r="L187" s="126"/>
      <c r="M187" s="126"/>
      <c r="N187" s="126"/>
      <c r="O187" s="126"/>
      <c r="P187" s="126"/>
      <c r="Q187" s="126"/>
      <c r="R187" s="126"/>
      <c r="S187" s="126"/>
      <c r="T187" s="127"/>
      <c r="U187" s="128"/>
      <c r="V187" s="128"/>
      <c r="W187" s="129"/>
      <c r="Z187" s="15" t="str">
        <f t="shared" si="73"/>
        <v>A</v>
      </c>
      <c r="AA187" s="8">
        <f t="shared" si="62"/>
        <v>0</v>
      </c>
      <c r="AB187" s="9">
        <f t="shared" si="65"/>
        <v>0</v>
      </c>
      <c r="AC187" s="8">
        <f t="shared" si="63"/>
        <v>0</v>
      </c>
      <c r="AD187" s="8">
        <f t="shared" si="64"/>
        <v>0</v>
      </c>
      <c r="AE187" s="8" t="str">
        <f t="shared" si="66"/>
        <v>--</v>
      </c>
      <c r="AF187" s="10">
        <f t="shared" si="67"/>
        <v>0</v>
      </c>
      <c r="AG187" s="8">
        <v>23</v>
      </c>
      <c r="AH187" s="9">
        <f t="shared" si="68"/>
        <v>0</v>
      </c>
      <c r="AI187" s="11">
        <f t="shared" si="69"/>
        <v>0</v>
      </c>
      <c r="AJ187" s="6"/>
      <c r="AK187" s="6"/>
      <c r="AL187" s="6"/>
      <c r="AN187" t="str">
        <f t="shared" si="74"/>
        <v>"23":{</v>
      </c>
      <c r="AO187" t="str">
        <f t="shared" si="75"/>
        <v>"group":"A",</v>
      </c>
      <c r="AP187" t="str">
        <f t="shared" si="70"/>
        <v>"lot":0,</v>
      </c>
      <c r="AQ187" t="str">
        <f t="shared" si="76"/>
        <v>"name":"0",</v>
      </c>
      <c r="AR187" t="str">
        <f t="shared" si="77"/>
        <v>"team":"0",</v>
      </c>
      <c r="AS187" t="str">
        <f t="shared" si="78"/>
        <v>"year":"0",</v>
      </c>
      <c r="AT187" t="str">
        <f t="shared" si="79"/>
        <v>"division":"--",</v>
      </c>
      <c r="AU187" t="str">
        <f t="shared" si="80"/>
        <v>"bw":"0",</v>
      </c>
      <c r="AV187" t="str">
        <f t="shared" si="81"/>
        <v>"idx":"23",</v>
      </c>
      <c r="AW187" t="str">
        <f t="shared" si="82"/>
        <v>"sr":"0",</v>
      </c>
      <c r="AX187" t="str">
        <f t="shared" si="83"/>
        <v>"br":"0",</v>
      </c>
      <c r="AY187" t="str">
        <f t="shared" si="84"/>
        <v>"row":0,</v>
      </c>
      <c r="AZ187" t="s">
        <v>67</v>
      </c>
      <c r="BA187" t="str">
        <f t="shared" si="71"/>
        <v>"sq":{"a1":0,"a2":"","a3":"","s1":0,"s2":0,"s3":0},"bp":{"a1":0,"a2":"","a3":"","s1":0,"s2":0,"s3":0},"dl":{"a1":0,"a2":"","a3":"","s1":0,"s2":0,"s3":0},"sortOrder":0,"act":{}}</v>
      </c>
      <c r="BB187" t="str">
        <f t="shared" si="72"/>
        <v>"23":{"group":"A","lot":0,"name":"0","team":"0","year":"0","division":"--","bw":"0","idx":"23","sr":"0","br":"0","row":0,"sq":{"a1":0,"a2":"","a3":"","s1":0,"s2":0,"s3":0},"bp":{"a1":0,"a2":"","a3":"","s1":0,"s2":0,"s3":0},"dl":{"a1":0,"a2":"","a3":"","s1":0,"s2":0,"s3":0},"sortOrder":0,"act":{}}</v>
      </c>
    </row>
    <row r="188" spans="5:54" x14ac:dyDescent="0.25">
      <c r="E188" s="163"/>
      <c r="F188" s="126"/>
      <c r="G188" s="126"/>
      <c r="H188" s="126"/>
      <c r="I188" s="126"/>
      <c r="J188" s="126"/>
      <c r="K188" s="126"/>
      <c r="L188" s="126"/>
      <c r="M188" s="126"/>
      <c r="N188" s="126"/>
      <c r="O188" s="126"/>
      <c r="P188" s="126"/>
      <c r="Q188" s="126"/>
      <c r="R188" s="126"/>
      <c r="S188" s="126"/>
      <c r="T188" s="127"/>
      <c r="U188" s="128"/>
      <c r="V188" s="128"/>
      <c r="W188" s="129"/>
      <c r="Z188" s="15" t="str">
        <f t="shared" si="73"/>
        <v>A</v>
      </c>
      <c r="AA188" s="8">
        <f t="shared" si="62"/>
        <v>0</v>
      </c>
      <c r="AB188" s="9">
        <f t="shared" si="65"/>
        <v>0</v>
      </c>
      <c r="AC188" s="8">
        <f t="shared" si="63"/>
        <v>0</v>
      </c>
      <c r="AD188" s="8">
        <f t="shared" si="64"/>
        <v>0</v>
      </c>
      <c r="AE188" s="8" t="str">
        <f t="shared" si="66"/>
        <v>--</v>
      </c>
      <c r="AF188" s="10">
        <f t="shared" si="67"/>
        <v>0</v>
      </c>
      <c r="AG188" s="8">
        <v>23</v>
      </c>
      <c r="AH188" s="9">
        <f t="shared" si="68"/>
        <v>0</v>
      </c>
      <c r="AI188" s="11">
        <f t="shared" si="69"/>
        <v>0</v>
      </c>
      <c r="AJ188" s="6"/>
      <c r="AK188" s="6"/>
      <c r="AL188" s="6"/>
      <c r="AN188" t="str">
        <f t="shared" si="74"/>
        <v>"23":{</v>
      </c>
      <c r="AO188" t="str">
        <f t="shared" si="75"/>
        <v>"group":"A",</v>
      </c>
      <c r="AP188" t="str">
        <f t="shared" si="70"/>
        <v>"lot":0,</v>
      </c>
      <c r="AQ188" t="str">
        <f t="shared" si="76"/>
        <v>"name":"0",</v>
      </c>
      <c r="AR188" t="str">
        <f t="shared" si="77"/>
        <v>"team":"0",</v>
      </c>
      <c r="AS188" t="str">
        <f t="shared" si="78"/>
        <v>"year":"0",</v>
      </c>
      <c r="AT188" t="str">
        <f t="shared" si="79"/>
        <v>"division":"--",</v>
      </c>
      <c r="AU188" t="str">
        <f t="shared" si="80"/>
        <v>"bw":"0",</v>
      </c>
      <c r="AV188" t="str">
        <f t="shared" si="81"/>
        <v>"idx":"23",</v>
      </c>
      <c r="AW188" t="str">
        <f t="shared" si="82"/>
        <v>"sr":"0",</v>
      </c>
      <c r="AX188" t="str">
        <f t="shared" si="83"/>
        <v>"br":"0",</v>
      </c>
      <c r="AY188" t="str">
        <f t="shared" si="84"/>
        <v>"row":0,</v>
      </c>
      <c r="AZ188" t="s">
        <v>67</v>
      </c>
      <c r="BA188" t="str">
        <f t="shared" si="71"/>
        <v>"sq":{"a1":0,"a2":"","a3":"","s1":0,"s2":0,"s3":0},"bp":{"a1":0,"a2":"","a3":"","s1":0,"s2":0,"s3":0},"dl":{"a1":0,"a2":"","a3":"","s1":0,"s2":0,"s3":0},"sortOrder":0,"act":{}}</v>
      </c>
      <c r="BB188" t="str">
        <f t="shared" si="72"/>
        <v>"23":{"group":"A","lot":0,"name":"0","team":"0","year":"0","division":"--","bw":"0","idx":"23","sr":"0","br":"0","row":0,"sq":{"a1":0,"a2":"","a3":"","s1":0,"s2":0,"s3":0},"bp":{"a1":0,"a2":"","a3":"","s1":0,"s2":0,"s3":0},"dl":{"a1":0,"a2":"","a3":"","s1":0,"s2":0,"s3":0},"sortOrder":0,"act":{}}</v>
      </c>
    </row>
    <row r="189" spans="5:54" x14ac:dyDescent="0.25">
      <c r="E189" s="163"/>
      <c r="F189" s="126"/>
      <c r="G189" s="126"/>
      <c r="H189" s="126"/>
      <c r="I189" s="126"/>
      <c r="J189" s="126"/>
      <c r="K189" s="126"/>
      <c r="L189" s="126"/>
      <c r="M189" s="126"/>
      <c r="N189" s="126"/>
      <c r="O189" s="126"/>
      <c r="P189" s="126"/>
      <c r="Q189" s="126"/>
      <c r="R189" s="126"/>
      <c r="S189" s="126"/>
      <c r="T189" s="127"/>
      <c r="U189" s="128"/>
      <c r="V189" s="128"/>
      <c r="W189" s="129"/>
      <c r="Z189" s="15" t="str">
        <f t="shared" si="73"/>
        <v>A</v>
      </c>
      <c r="AA189" s="8">
        <f t="shared" si="62"/>
        <v>0</v>
      </c>
      <c r="AB189" s="9">
        <f t="shared" si="65"/>
        <v>0</v>
      </c>
      <c r="AC189" s="8">
        <f t="shared" si="63"/>
        <v>0</v>
      </c>
      <c r="AD189" s="8">
        <f t="shared" si="64"/>
        <v>0</v>
      </c>
      <c r="AE189" s="8" t="str">
        <f t="shared" si="66"/>
        <v>--</v>
      </c>
      <c r="AF189" s="10">
        <f t="shared" si="67"/>
        <v>0</v>
      </c>
      <c r="AG189" s="8">
        <v>23</v>
      </c>
      <c r="AH189" s="9">
        <f t="shared" si="68"/>
        <v>0</v>
      </c>
      <c r="AI189" s="11">
        <f t="shared" si="69"/>
        <v>0</v>
      </c>
      <c r="AJ189" s="6"/>
      <c r="AK189" s="6"/>
      <c r="AL189" s="6"/>
      <c r="AN189" t="str">
        <f t="shared" si="74"/>
        <v>"23":{</v>
      </c>
      <c r="AO189" t="str">
        <f t="shared" si="75"/>
        <v>"group":"A",</v>
      </c>
      <c r="AP189" t="str">
        <f t="shared" si="70"/>
        <v>"lot":0,</v>
      </c>
      <c r="AQ189" t="str">
        <f t="shared" si="76"/>
        <v>"name":"0",</v>
      </c>
      <c r="AR189" t="str">
        <f t="shared" si="77"/>
        <v>"team":"0",</v>
      </c>
      <c r="AS189" t="str">
        <f t="shared" si="78"/>
        <v>"year":"0",</v>
      </c>
      <c r="AT189" t="str">
        <f t="shared" si="79"/>
        <v>"division":"--",</v>
      </c>
      <c r="AU189" t="str">
        <f t="shared" si="80"/>
        <v>"bw":"0",</v>
      </c>
      <c r="AV189" t="str">
        <f t="shared" si="81"/>
        <v>"idx":"23",</v>
      </c>
      <c r="AW189" t="str">
        <f t="shared" si="82"/>
        <v>"sr":"0",</v>
      </c>
      <c r="AX189" t="str">
        <f t="shared" si="83"/>
        <v>"br":"0",</v>
      </c>
      <c r="AY189" t="str">
        <f t="shared" si="84"/>
        <v>"row":0,</v>
      </c>
      <c r="AZ189" t="s">
        <v>67</v>
      </c>
      <c r="BA189" t="str">
        <f t="shared" si="71"/>
        <v>"sq":{"a1":0,"a2":"","a3":"","s1":0,"s2":0,"s3":0},"bp":{"a1":0,"a2":"","a3":"","s1":0,"s2":0,"s3":0},"dl":{"a1":0,"a2":"","a3":"","s1":0,"s2":0,"s3":0},"sortOrder":0,"act":{}}</v>
      </c>
      <c r="BB189" t="str">
        <f t="shared" si="72"/>
        <v>"23":{"group":"A","lot":0,"name":"0","team":"0","year":"0","division":"--","bw":"0","idx":"23","sr":"0","br":"0","row":0,"sq":{"a1":0,"a2":"","a3":"","s1":0,"s2":0,"s3":0},"bp":{"a1":0,"a2":"","a3":"","s1":0,"s2":0,"s3":0},"dl":{"a1":0,"a2":"","a3":"","s1":0,"s2":0,"s3":0},"sortOrder":0,"act":{}}</v>
      </c>
    </row>
    <row r="190" spans="5:54" x14ac:dyDescent="0.25">
      <c r="E190" s="163"/>
      <c r="F190" s="126"/>
      <c r="G190" s="126"/>
      <c r="H190" s="126"/>
      <c r="I190" s="126"/>
      <c r="J190" s="126"/>
      <c r="K190" s="126"/>
      <c r="L190" s="126"/>
      <c r="M190" s="126"/>
      <c r="N190" s="126"/>
      <c r="O190" s="126"/>
      <c r="P190" s="126"/>
      <c r="Q190" s="126"/>
      <c r="R190" s="126"/>
      <c r="S190" s="126"/>
      <c r="T190" s="127"/>
      <c r="U190" s="128"/>
      <c r="V190" s="128"/>
      <c r="W190" s="129"/>
      <c r="Z190" s="15" t="str">
        <f t="shared" si="73"/>
        <v>A</v>
      </c>
      <c r="AA190" s="8">
        <f t="shared" si="62"/>
        <v>0</v>
      </c>
      <c r="AB190" s="9">
        <f t="shared" si="65"/>
        <v>0</v>
      </c>
      <c r="AC190" s="8">
        <f t="shared" si="63"/>
        <v>0</v>
      </c>
      <c r="AD190" s="8">
        <f t="shared" si="64"/>
        <v>0</v>
      </c>
      <c r="AE190" s="8" t="str">
        <f t="shared" si="66"/>
        <v>--</v>
      </c>
      <c r="AF190" s="10">
        <f t="shared" si="67"/>
        <v>0</v>
      </c>
      <c r="AG190" s="8">
        <v>23</v>
      </c>
      <c r="AH190" s="9">
        <f t="shared" si="68"/>
        <v>0</v>
      </c>
      <c r="AI190" s="11">
        <f t="shared" si="69"/>
        <v>0</v>
      </c>
      <c r="AJ190" s="6"/>
      <c r="AK190" s="6"/>
      <c r="AL190" s="6"/>
      <c r="AN190" t="str">
        <f t="shared" si="74"/>
        <v>"23":{</v>
      </c>
      <c r="AO190" t="str">
        <f t="shared" si="75"/>
        <v>"group":"A",</v>
      </c>
      <c r="AP190" t="str">
        <f t="shared" si="70"/>
        <v>"lot":0,</v>
      </c>
      <c r="AQ190" t="str">
        <f t="shared" si="76"/>
        <v>"name":"0",</v>
      </c>
      <c r="AR190" t="str">
        <f t="shared" si="77"/>
        <v>"team":"0",</v>
      </c>
      <c r="AS190" t="str">
        <f t="shared" si="78"/>
        <v>"year":"0",</v>
      </c>
      <c r="AT190" t="str">
        <f t="shared" si="79"/>
        <v>"division":"--",</v>
      </c>
      <c r="AU190" t="str">
        <f t="shared" si="80"/>
        <v>"bw":"0",</v>
      </c>
      <c r="AV190" t="str">
        <f t="shared" si="81"/>
        <v>"idx":"23",</v>
      </c>
      <c r="AW190" t="str">
        <f t="shared" si="82"/>
        <v>"sr":"0",</v>
      </c>
      <c r="AX190" t="str">
        <f t="shared" si="83"/>
        <v>"br":"0",</v>
      </c>
      <c r="AY190" t="str">
        <f t="shared" si="84"/>
        <v>"row":0,</v>
      </c>
      <c r="AZ190" t="s">
        <v>67</v>
      </c>
      <c r="BA190" t="str">
        <f t="shared" si="71"/>
        <v>"sq":{"a1":0,"a2":"","a3":"","s1":0,"s2":0,"s3":0},"bp":{"a1":0,"a2":"","a3":"","s1":0,"s2":0,"s3":0},"dl":{"a1":0,"a2":"","a3":"","s1":0,"s2":0,"s3":0},"sortOrder":0,"act":{}}</v>
      </c>
      <c r="BB190" t="str">
        <f t="shared" si="72"/>
        <v>"23":{"group":"A","lot":0,"name":"0","team":"0","year":"0","division":"--","bw":"0","idx":"23","sr":"0","br":"0","row":0,"sq":{"a1":0,"a2":"","a3":"","s1":0,"s2":0,"s3":0},"bp":{"a1":0,"a2":"","a3":"","s1":0,"s2":0,"s3":0},"dl":{"a1":0,"a2":"","a3":"","s1":0,"s2":0,"s3":0},"sortOrder":0,"act":{}}</v>
      </c>
    </row>
    <row r="191" spans="5:54" x14ac:dyDescent="0.25">
      <c r="E191" s="163"/>
      <c r="F191" s="126"/>
      <c r="G191" s="126"/>
      <c r="H191" s="126"/>
      <c r="I191" s="126"/>
      <c r="J191" s="126"/>
      <c r="K191" s="126"/>
      <c r="L191" s="126"/>
      <c r="M191" s="126"/>
      <c r="N191" s="126"/>
      <c r="O191" s="126"/>
      <c r="P191" s="126"/>
      <c r="Q191" s="126"/>
      <c r="R191" s="126"/>
      <c r="S191" s="126"/>
      <c r="T191" s="127"/>
      <c r="U191" s="128"/>
      <c r="V191" s="128"/>
      <c r="W191" s="129"/>
      <c r="Z191" s="15" t="str">
        <f t="shared" si="73"/>
        <v>A</v>
      </c>
      <c r="AA191" s="8">
        <f t="shared" si="62"/>
        <v>0</v>
      </c>
      <c r="AB191" s="9">
        <f t="shared" si="65"/>
        <v>0</v>
      </c>
      <c r="AC191" s="8">
        <f t="shared" si="63"/>
        <v>0</v>
      </c>
      <c r="AD191" s="8">
        <f t="shared" si="64"/>
        <v>0</v>
      </c>
      <c r="AE191" s="8" t="str">
        <f t="shared" si="66"/>
        <v>--</v>
      </c>
      <c r="AF191" s="10">
        <f t="shared" si="67"/>
        <v>0</v>
      </c>
      <c r="AG191" s="8">
        <v>23</v>
      </c>
      <c r="AH191" s="9">
        <f t="shared" si="68"/>
        <v>0</v>
      </c>
      <c r="AI191" s="11">
        <f t="shared" si="69"/>
        <v>0</v>
      </c>
      <c r="AJ191" s="6"/>
      <c r="AK191" s="6"/>
      <c r="AL191" s="6"/>
      <c r="AN191" t="str">
        <f t="shared" si="74"/>
        <v>"23":{</v>
      </c>
      <c r="AO191" t="str">
        <f t="shared" si="75"/>
        <v>"group":"A",</v>
      </c>
      <c r="AP191" t="str">
        <f t="shared" si="70"/>
        <v>"lot":0,</v>
      </c>
      <c r="AQ191" t="str">
        <f t="shared" si="76"/>
        <v>"name":"0",</v>
      </c>
      <c r="AR191" t="str">
        <f t="shared" si="77"/>
        <v>"team":"0",</v>
      </c>
      <c r="AS191" t="str">
        <f t="shared" si="78"/>
        <v>"year":"0",</v>
      </c>
      <c r="AT191" t="str">
        <f t="shared" si="79"/>
        <v>"division":"--",</v>
      </c>
      <c r="AU191" t="str">
        <f t="shared" si="80"/>
        <v>"bw":"0",</v>
      </c>
      <c r="AV191" t="str">
        <f t="shared" si="81"/>
        <v>"idx":"23",</v>
      </c>
      <c r="AW191" t="str">
        <f t="shared" si="82"/>
        <v>"sr":"0",</v>
      </c>
      <c r="AX191" t="str">
        <f t="shared" si="83"/>
        <v>"br":"0",</v>
      </c>
      <c r="AY191" t="str">
        <f t="shared" si="84"/>
        <v>"row":0,</v>
      </c>
      <c r="AZ191" t="s">
        <v>67</v>
      </c>
      <c r="BA191" t="str">
        <f t="shared" si="71"/>
        <v>"sq":{"a1":0,"a2":"","a3":"","s1":0,"s2":0,"s3":0},"bp":{"a1":0,"a2":"","a3":"","s1":0,"s2":0,"s3":0},"dl":{"a1":0,"a2":"","a3":"","s1":0,"s2":0,"s3":0},"sortOrder":0,"act":{}}</v>
      </c>
      <c r="BB191" t="str">
        <f t="shared" si="72"/>
        <v>"23":{"group":"A","lot":0,"name":"0","team":"0","year":"0","division":"--","bw":"0","idx":"23","sr":"0","br":"0","row":0,"sq":{"a1":0,"a2":"","a3":"","s1":0,"s2":0,"s3":0},"bp":{"a1":0,"a2":"","a3":"","s1":0,"s2":0,"s3":0},"dl":{"a1":0,"a2":"","a3":"","s1":0,"s2":0,"s3":0},"sortOrder":0,"act":{}}</v>
      </c>
    </row>
    <row r="192" spans="5:54" x14ac:dyDescent="0.25">
      <c r="E192" s="163"/>
      <c r="F192" s="126"/>
      <c r="G192" s="126"/>
      <c r="H192" s="126"/>
      <c r="I192" s="126"/>
      <c r="J192" s="126"/>
      <c r="K192" s="126"/>
      <c r="L192" s="126"/>
      <c r="M192" s="126"/>
      <c r="N192" s="126"/>
      <c r="O192" s="126"/>
      <c r="P192" s="126"/>
      <c r="Q192" s="126"/>
      <c r="R192" s="126"/>
      <c r="S192" s="126"/>
      <c r="T192" s="127"/>
      <c r="U192" s="128"/>
      <c r="V192" s="128"/>
      <c r="W192" s="129"/>
      <c r="Z192" s="15" t="str">
        <f t="shared" si="73"/>
        <v>A</v>
      </c>
      <c r="AA192" s="8">
        <f t="shared" si="62"/>
        <v>0</v>
      </c>
      <c r="AB192" s="9">
        <f t="shared" si="65"/>
        <v>0</v>
      </c>
      <c r="AC192" s="8">
        <f t="shared" si="63"/>
        <v>0</v>
      </c>
      <c r="AD192" s="8">
        <f t="shared" si="64"/>
        <v>0</v>
      </c>
      <c r="AE192" s="8" t="str">
        <f t="shared" si="66"/>
        <v>--</v>
      </c>
      <c r="AF192" s="10">
        <f t="shared" si="67"/>
        <v>0</v>
      </c>
      <c r="AG192" s="8">
        <v>23</v>
      </c>
      <c r="AH192" s="9">
        <f t="shared" si="68"/>
        <v>0</v>
      </c>
      <c r="AI192" s="11">
        <f t="shared" si="69"/>
        <v>0</v>
      </c>
      <c r="AJ192" s="6"/>
      <c r="AK192" s="6"/>
      <c r="AL192" s="6"/>
      <c r="AN192" t="str">
        <f t="shared" si="74"/>
        <v>"23":{</v>
      </c>
      <c r="AO192" t="str">
        <f t="shared" si="75"/>
        <v>"group":"A",</v>
      </c>
      <c r="AP192" t="str">
        <f t="shared" si="70"/>
        <v>"lot":0,</v>
      </c>
      <c r="AQ192" t="str">
        <f t="shared" si="76"/>
        <v>"name":"0",</v>
      </c>
      <c r="AR192" t="str">
        <f t="shared" si="77"/>
        <v>"team":"0",</v>
      </c>
      <c r="AS192" t="str">
        <f t="shared" si="78"/>
        <v>"year":"0",</v>
      </c>
      <c r="AT192" t="str">
        <f t="shared" si="79"/>
        <v>"division":"--",</v>
      </c>
      <c r="AU192" t="str">
        <f t="shared" si="80"/>
        <v>"bw":"0",</v>
      </c>
      <c r="AV192" t="str">
        <f t="shared" si="81"/>
        <v>"idx":"23",</v>
      </c>
      <c r="AW192" t="str">
        <f t="shared" si="82"/>
        <v>"sr":"0",</v>
      </c>
      <c r="AX192" t="str">
        <f t="shared" si="83"/>
        <v>"br":"0",</v>
      </c>
      <c r="AY192" t="str">
        <f t="shared" si="84"/>
        <v>"row":0,</v>
      </c>
      <c r="AZ192" t="s">
        <v>67</v>
      </c>
      <c r="BA192" t="str">
        <f t="shared" si="71"/>
        <v>"sq":{"a1":0,"a2":"","a3":"","s1":0,"s2":0,"s3":0},"bp":{"a1":0,"a2":"","a3":"","s1":0,"s2":0,"s3":0},"dl":{"a1":0,"a2":"","a3":"","s1":0,"s2":0,"s3":0},"sortOrder":0,"act":{}}</v>
      </c>
      <c r="BB192" t="str">
        <f t="shared" si="72"/>
        <v>"23":{"group":"A","lot":0,"name":"0","team":"0","year":"0","division":"--","bw":"0","idx":"23","sr":"0","br":"0","row":0,"sq":{"a1":0,"a2":"","a3":"","s1":0,"s2":0,"s3":0},"bp":{"a1":0,"a2":"","a3":"","s1":0,"s2":0,"s3":0},"dl":{"a1":0,"a2":"","a3":"","s1":0,"s2":0,"s3":0},"sortOrder":0,"act":{}}</v>
      </c>
    </row>
    <row r="193" spans="5:54" x14ac:dyDescent="0.25">
      <c r="E193" s="163"/>
      <c r="F193" s="126"/>
      <c r="G193" s="126"/>
      <c r="H193" s="126"/>
      <c r="I193" s="126"/>
      <c r="J193" s="126"/>
      <c r="K193" s="126"/>
      <c r="L193" s="126"/>
      <c r="M193" s="126"/>
      <c r="N193" s="126"/>
      <c r="O193" s="126"/>
      <c r="P193" s="126"/>
      <c r="Q193" s="126"/>
      <c r="R193" s="126"/>
      <c r="S193" s="126"/>
      <c r="T193" s="127"/>
      <c r="U193" s="128"/>
      <c r="V193" s="128"/>
      <c r="W193" s="129"/>
      <c r="Z193" s="15" t="str">
        <f t="shared" si="73"/>
        <v>A</v>
      </c>
      <c r="AA193" s="8">
        <f t="shared" si="62"/>
        <v>0</v>
      </c>
      <c r="AB193" s="9">
        <f t="shared" si="65"/>
        <v>0</v>
      </c>
      <c r="AC193" s="8">
        <f t="shared" si="63"/>
        <v>0</v>
      </c>
      <c r="AD193" s="8">
        <f t="shared" si="64"/>
        <v>0</v>
      </c>
      <c r="AE193" s="8" t="str">
        <f t="shared" si="66"/>
        <v>--</v>
      </c>
      <c r="AF193" s="10">
        <f t="shared" si="67"/>
        <v>0</v>
      </c>
      <c r="AG193" s="8">
        <v>23</v>
      </c>
      <c r="AH193" s="9">
        <f t="shared" si="68"/>
        <v>0</v>
      </c>
      <c r="AI193" s="11">
        <f t="shared" si="69"/>
        <v>0</v>
      </c>
      <c r="AJ193" s="6"/>
      <c r="AK193" s="6"/>
      <c r="AL193" s="6"/>
      <c r="AN193" t="str">
        <f t="shared" si="74"/>
        <v>"23":{</v>
      </c>
      <c r="AO193" t="str">
        <f t="shared" si="75"/>
        <v>"group":"A",</v>
      </c>
      <c r="AP193" t="str">
        <f t="shared" si="70"/>
        <v>"lot":0,</v>
      </c>
      <c r="AQ193" t="str">
        <f t="shared" si="76"/>
        <v>"name":"0",</v>
      </c>
      <c r="AR193" t="str">
        <f t="shared" si="77"/>
        <v>"team":"0",</v>
      </c>
      <c r="AS193" t="str">
        <f t="shared" si="78"/>
        <v>"year":"0",</v>
      </c>
      <c r="AT193" t="str">
        <f t="shared" si="79"/>
        <v>"division":"--",</v>
      </c>
      <c r="AU193" t="str">
        <f t="shared" si="80"/>
        <v>"bw":"0",</v>
      </c>
      <c r="AV193" t="str">
        <f t="shared" si="81"/>
        <v>"idx":"23",</v>
      </c>
      <c r="AW193" t="str">
        <f t="shared" si="82"/>
        <v>"sr":"0",</v>
      </c>
      <c r="AX193" t="str">
        <f t="shared" si="83"/>
        <v>"br":"0",</v>
      </c>
      <c r="AY193" t="str">
        <f t="shared" si="84"/>
        <v>"row":0,</v>
      </c>
      <c r="AZ193" t="s">
        <v>67</v>
      </c>
      <c r="BA193" t="str">
        <f t="shared" si="71"/>
        <v>"sq":{"a1":0,"a2":"","a3":"","s1":0,"s2":0,"s3":0},"bp":{"a1":0,"a2":"","a3":"","s1":0,"s2":0,"s3":0},"dl":{"a1":0,"a2":"","a3":"","s1":0,"s2":0,"s3":0},"sortOrder":0,"act":{}}</v>
      </c>
      <c r="BB193" t="str">
        <f t="shared" si="72"/>
        <v>"23":{"group":"A","lot":0,"name":"0","team":"0","year":"0","division":"--","bw":"0","idx":"23","sr":"0","br":"0","row":0,"sq":{"a1":0,"a2":"","a3":"","s1":0,"s2":0,"s3":0},"bp":{"a1":0,"a2":"","a3":"","s1":0,"s2":0,"s3":0},"dl":{"a1":0,"a2":"","a3":"","s1":0,"s2":0,"s3":0},"sortOrder":0,"act":{}}</v>
      </c>
    </row>
    <row r="194" spans="5:54" x14ac:dyDescent="0.25">
      <c r="E194" s="163"/>
      <c r="F194" s="126"/>
      <c r="G194" s="126"/>
      <c r="H194" s="126"/>
      <c r="I194" s="126"/>
      <c r="J194" s="126"/>
      <c r="K194" s="126"/>
      <c r="L194" s="126"/>
      <c r="M194" s="126"/>
      <c r="N194" s="126"/>
      <c r="O194" s="126"/>
      <c r="P194" s="126"/>
      <c r="Q194" s="126"/>
      <c r="R194" s="126"/>
      <c r="S194" s="126"/>
      <c r="T194" s="127"/>
      <c r="U194" s="128"/>
      <c r="V194" s="128"/>
      <c r="W194" s="129"/>
      <c r="Z194" s="15" t="str">
        <f t="shared" si="73"/>
        <v>A</v>
      </c>
      <c r="AA194" s="8">
        <f t="shared" si="62"/>
        <v>0</v>
      </c>
      <c r="AB194" s="9">
        <f t="shared" si="65"/>
        <v>0</v>
      </c>
      <c r="AC194" s="8">
        <f t="shared" si="63"/>
        <v>0</v>
      </c>
      <c r="AD194" s="8">
        <f t="shared" si="64"/>
        <v>0</v>
      </c>
      <c r="AE194" s="8" t="str">
        <f t="shared" si="66"/>
        <v>--</v>
      </c>
      <c r="AF194" s="10">
        <f t="shared" si="67"/>
        <v>0</v>
      </c>
      <c r="AG194" s="8">
        <v>23</v>
      </c>
      <c r="AH194" s="9">
        <f t="shared" si="68"/>
        <v>0</v>
      </c>
      <c r="AI194" s="11">
        <f t="shared" si="69"/>
        <v>0</v>
      </c>
      <c r="AJ194" s="6"/>
      <c r="AK194" s="6"/>
      <c r="AL194" s="6"/>
      <c r="AN194" t="str">
        <f t="shared" si="74"/>
        <v>"23":{</v>
      </c>
      <c r="AO194" t="str">
        <f t="shared" si="75"/>
        <v>"group":"A",</v>
      </c>
      <c r="AP194" t="str">
        <f t="shared" si="70"/>
        <v>"lot":0,</v>
      </c>
      <c r="AQ194" t="str">
        <f t="shared" si="76"/>
        <v>"name":"0",</v>
      </c>
      <c r="AR194" t="str">
        <f t="shared" si="77"/>
        <v>"team":"0",</v>
      </c>
      <c r="AS194" t="str">
        <f t="shared" si="78"/>
        <v>"year":"0",</v>
      </c>
      <c r="AT194" t="str">
        <f t="shared" si="79"/>
        <v>"division":"--",</v>
      </c>
      <c r="AU194" t="str">
        <f t="shared" si="80"/>
        <v>"bw":"0",</v>
      </c>
      <c r="AV194" t="str">
        <f t="shared" si="81"/>
        <v>"idx":"23",</v>
      </c>
      <c r="AW194" t="str">
        <f t="shared" si="82"/>
        <v>"sr":"0",</v>
      </c>
      <c r="AX194" t="str">
        <f t="shared" si="83"/>
        <v>"br":"0",</v>
      </c>
      <c r="AY194" t="str">
        <f t="shared" si="84"/>
        <v>"row":0,</v>
      </c>
      <c r="AZ194" t="s">
        <v>67</v>
      </c>
      <c r="BA194" t="str">
        <f t="shared" si="71"/>
        <v>"sq":{"a1":0,"a2":"","a3":"","s1":0,"s2":0,"s3":0},"bp":{"a1":0,"a2":"","a3":"","s1":0,"s2":0,"s3":0},"dl":{"a1":0,"a2":"","a3":"","s1":0,"s2":0,"s3":0},"sortOrder":0,"act":{}}</v>
      </c>
      <c r="BB194" t="str">
        <f t="shared" si="72"/>
        <v>"23":{"group":"A","lot":0,"name":"0","team":"0","year":"0","division":"--","bw":"0","idx":"23","sr":"0","br":"0","row":0,"sq":{"a1":0,"a2":"","a3":"","s1":0,"s2":0,"s3":0},"bp":{"a1":0,"a2":"","a3":"","s1":0,"s2":0,"s3":0},"dl":{"a1":0,"a2":"","a3":"","s1":0,"s2":0,"s3":0},"sortOrder":0,"act":{}}</v>
      </c>
    </row>
    <row r="195" spans="5:54" x14ac:dyDescent="0.25">
      <c r="E195" s="163"/>
      <c r="F195" s="126"/>
      <c r="G195" s="126"/>
      <c r="H195" s="126"/>
      <c r="I195" s="126"/>
      <c r="J195" s="126"/>
      <c r="K195" s="126"/>
      <c r="L195" s="126"/>
      <c r="M195" s="126"/>
      <c r="N195" s="126"/>
      <c r="O195" s="126"/>
      <c r="P195" s="126"/>
      <c r="Q195" s="126"/>
      <c r="R195" s="126"/>
      <c r="S195" s="126"/>
      <c r="T195" s="127"/>
      <c r="U195" s="128"/>
      <c r="V195" s="128"/>
      <c r="W195" s="129"/>
      <c r="Z195" s="15" t="str">
        <f t="shared" si="73"/>
        <v>A</v>
      </c>
      <c r="AA195" s="8">
        <f t="shared" si="62"/>
        <v>0</v>
      </c>
      <c r="AB195" s="9">
        <f t="shared" si="65"/>
        <v>0</v>
      </c>
      <c r="AC195" s="8">
        <f t="shared" si="63"/>
        <v>0</v>
      </c>
      <c r="AD195" s="8">
        <f t="shared" si="64"/>
        <v>0</v>
      </c>
      <c r="AE195" s="8" t="str">
        <f t="shared" si="66"/>
        <v>--</v>
      </c>
      <c r="AF195" s="10">
        <f t="shared" si="67"/>
        <v>0</v>
      </c>
      <c r="AG195" s="8">
        <v>23</v>
      </c>
      <c r="AH195" s="9">
        <f t="shared" si="68"/>
        <v>0</v>
      </c>
      <c r="AI195" s="11">
        <f t="shared" si="69"/>
        <v>0</v>
      </c>
      <c r="AJ195" s="6"/>
      <c r="AK195" s="6"/>
      <c r="AL195" s="6"/>
      <c r="AN195" t="str">
        <f t="shared" si="74"/>
        <v>"23":{</v>
      </c>
      <c r="AO195" t="str">
        <f t="shared" si="75"/>
        <v>"group":"A",</v>
      </c>
      <c r="AP195" t="str">
        <f t="shared" si="70"/>
        <v>"lot":0,</v>
      </c>
      <c r="AQ195" t="str">
        <f t="shared" si="76"/>
        <v>"name":"0",</v>
      </c>
      <c r="AR195" t="str">
        <f t="shared" si="77"/>
        <v>"team":"0",</v>
      </c>
      <c r="AS195" t="str">
        <f t="shared" si="78"/>
        <v>"year":"0",</v>
      </c>
      <c r="AT195" t="str">
        <f t="shared" si="79"/>
        <v>"division":"--",</v>
      </c>
      <c r="AU195" t="str">
        <f t="shared" si="80"/>
        <v>"bw":"0",</v>
      </c>
      <c r="AV195" t="str">
        <f t="shared" si="81"/>
        <v>"idx":"23",</v>
      </c>
      <c r="AW195" t="str">
        <f t="shared" si="82"/>
        <v>"sr":"0",</v>
      </c>
      <c r="AX195" t="str">
        <f t="shared" si="83"/>
        <v>"br":"0",</v>
      </c>
      <c r="AY195" t="str">
        <f t="shared" si="84"/>
        <v>"row":0,</v>
      </c>
      <c r="AZ195" t="s">
        <v>67</v>
      </c>
      <c r="BA195" t="str">
        <f t="shared" si="71"/>
        <v>"sq":{"a1":0,"a2":"","a3":"","s1":0,"s2":0,"s3":0},"bp":{"a1":0,"a2":"","a3":"","s1":0,"s2":0,"s3":0},"dl":{"a1":0,"a2":"","a3":"","s1":0,"s2":0,"s3":0},"sortOrder":0,"act":{}}</v>
      </c>
      <c r="BB195" t="str">
        <f t="shared" si="72"/>
        <v>"23":{"group":"A","lot":0,"name":"0","team":"0","year":"0","division":"--","bw":"0","idx":"23","sr":"0","br":"0","row":0,"sq":{"a1":0,"a2":"","a3":"","s1":0,"s2":0,"s3":0},"bp":{"a1":0,"a2":"","a3":"","s1":0,"s2":0,"s3":0},"dl":{"a1":0,"a2":"","a3":"","s1":0,"s2":0,"s3":0},"sortOrder":0,"act":{}}</v>
      </c>
    </row>
    <row r="196" spans="5:54" x14ac:dyDescent="0.25">
      <c r="E196" s="163"/>
      <c r="F196" s="126"/>
      <c r="G196" s="126"/>
      <c r="H196" s="126"/>
      <c r="I196" s="126"/>
      <c r="J196" s="126"/>
      <c r="K196" s="126"/>
      <c r="L196" s="126"/>
      <c r="M196" s="126"/>
      <c r="N196" s="126"/>
      <c r="O196" s="126"/>
      <c r="P196" s="126"/>
      <c r="Q196" s="126"/>
      <c r="R196" s="126"/>
      <c r="S196" s="126"/>
      <c r="T196" s="127"/>
      <c r="U196" s="128"/>
      <c r="V196" s="128"/>
      <c r="W196" s="129"/>
      <c r="Z196" s="15" t="str">
        <f t="shared" si="73"/>
        <v>A</v>
      </c>
      <c r="AA196" s="8">
        <f t="shared" ref="AA196:AA259" si="85">G196</f>
        <v>0</v>
      </c>
      <c r="AB196" s="9">
        <f t="shared" si="65"/>
        <v>0</v>
      </c>
      <c r="AC196" s="8">
        <f t="shared" ref="AC196:AC259" si="86">J196</f>
        <v>0</v>
      </c>
      <c r="AD196" s="8">
        <f t="shared" ref="AD196:AD259" si="87">K196</f>
        <v>0</v>
      </c>
      <c r="AE196" s="8" t="str">
        <f t="shared" si="66"/>
        <v>--</v>
      </c>
      <c r="AF196" s="10">
        <f t="shared" si="67"/>
        <v>0</v>
      </c>
      <c r="AG196" s="8">
        <v>23</v>
      </c>
      <c r="AH196" s="9">
        <f t="shared" si="68"/>
        <v>0</v>
      </c>
      <c r="AI196" s="11">
        <f t="shared" si="69"/>
        <v>0</v>
      </c>
      <c r="AJ196" s="6"/>
      <c r="AK196" s="6"/>
      <c r="AL196" s="6"/>
      <c r="AN196" t="str">
        <f t="shared" si="74"/>
        <v>"23":{</v>
      </c>
      <c r="AO196" t="str">
        <f t="shared" si="75"/>
        <v>"group":"A",</v>
      </c>
      <c r="AP196" t="str">
        <f t="shared" si="70"/>
        <v>"lot":0,</v>
      </c>
      <c r="AQ196" t="str">
        <f t="shared" si="76"/>
        <v>"name":"0",</v>
      </c>
      <c r="AR196" t="str">
        <f t="shared" si="77"/>
        <v>"team":"0",</v>
      </c>
      <c r="AS196" t="str">
        <f t="shared" si="78"/>
        <v>"year":"0",</v>
      </c>
      <c r="AT196" t="str">
        <f t="shared" si="79"/>
        <v>"division":"--",</v>
      </c>
      <c r="AU196" t="str">
        <f t="shared" si="80"/>
        <v>"bw":"0",</v>
      </c>
      <c r="AV196" t="str">
        <f t="shared" si="81"/>
        <v>"idx":"23",</v>
      </c>
      <c r="AW196" t="str">
        <f t="shared" si="82"/>
        <v>"sr":"0",</v>
      </c>
      <c r="AX196" t="str">
        <f t="shared" si="83"/>
        <v>"br":"0",</v>
      </c>
      <c r="AY196" t="str">
        <f t="shared" si="84"/>
        <v>"row":0,</v>
      </c>
      <c r="AZ196" t="s">
        <v>67</v>
      </c>
      <c r="BA196" t="str">
        <f t="shared" si="71"/>
        <v>"sq":{"a1":0,"a2":"","a3":"","s1":0,"s2":0,"s3":0},"bp":{"a1":0,"a2":"","a3":"","s1":0,"s2":0,"s3":0},"dl":{"a1":0,"a2":"","a3":"","s1":0,"s2":0,"s3":0},"sortOrder":0,"act":{}}</v>
      </c>
      <c r="BB196" t="str">
        <f t="shared" si="72"/>
        <v>"23":{"group":"A","lot":0,"name":"0","team":"0","year":"0","division":"--","bw":"0","idx":"23","sr":"0","br":"0","row":0,"sq":{"a1":0,"a2":"","a3":"","s1":0,"s2":0,"s3":0},"bp":{"a1":0,"a2":"","a3":"","s1":0,"s2":0,"s3":0},"dl":{"a1":0,"a2":"","a3":"","s1":0,"s2":0,"s3":0},"sortOrder":0,"act":{}}</v>
      </c>
    </row>
    <row r="197" spans="5:54" x14ac:dyDescent="0.25">
      <c r="E197" s="163"/>
      <c r="F197" s="126"/>
      <c r="G197" s="126"/>
      <c r="H197" s="126"/>
      <c r="I197" s="126"/>
      <c r="J197" s="126"/>
      <c r="K197" s="126"/>
      <c r="L197" s="126"/>
      <c r="M197" s="126"/>
      <c r="N197" s="126"/>
      <c r="O197" s="126"/>
      <c r="P197" s="126"/>
      <c r="Q197" s="126"/>
      <c r="R197" s="126"/>
      <c r="S197" s="126"/>
      <c r="T197" s="127"/>
      <c r="U197" s="128"/>
      <c r="V197" s="128"/>
      <c r="W197" s="129"/>
      <c r="Z197" s="15" t="str">
        <f t="shared" si="73"/>
        <v>A</v>
      </c>
      <c r="AA197" s="8">
        <f t="shared" si="85"/>
        <v>0</v>
      </c>
      <c r="AB197" s="9">
        <f t="shared" ref="AB197:AB260" si="88">IF(ISBLANK(H197),I197,H197&amp;" " &amp;I197)</f>
        <v>0</v>
      </c>
      <c r="AC197" s="8">
        <f t="shared" si="86"/>
        <v>0</v>
      </c>
      <c r="AD197" s="8">
        <f t="shared" si="87"/>
        <v>0</v>
      </c>
      <c r="AE197" s="8" t="str">
        <f t="shared" ref="AE197:AE260" si="89">LEFT(N197,1)&amp;"-"&amp;L197&amp;"-"&amp;M197</f>
        <v>--</v>
      </c>
      <c r="AF197" s="10">
        <f t="shared" ref="AF197:AF260" si="90">R197</f>
        <v>0</v>
      </c>
      <c r="AG197" s="8">
        <v>23</v>
      </c>
      <c r="AH197" s="9">
        <f t="shared" ref="AH197:AH260" si="91">S197</f>
        <v>0</v>
      </c>
      <c r="AI197" s="11">
        <f t="shared" ref="AI197:AI260" si="92">T197</f>
        <v>0</v>
      </c>
      <c r="AJ197" s="6"/>
      <c r="AK197" s="6"/>
      <c r="AL197" s="6"/>
      <c r="AN197" t="str">
        <f t="shared" si="74"/>
        <v>"23":{</v>
      </c>
      <c r="AO197" t="str">
        <f t="shared" si="75"/>
        <v>"group":"A",</v>
      </c>
      <c r="AP197" t="str">
        <f t="shared" ref="AP197:AP260" si="93">AA$3&amp;":"&amp;AA197&amp;","</f>
        <v>"lot":0,</v>
      </c>
      <c r="AQ197" t="str">
        <f t="shared" si="76"/>
        <v>"name":"0",</v>
      </c>
      <c r="AR197" t="str">
        <f t="shared" si="77"/>
        <v>"team":"0",</v>
      </c>
      <c r="AS197" t="str">
        <f t="shared" si="78"/>
        <v>"year":"0",</v>
      </c>
      <c r="AT197" t="str">
        <f t="shared" si="79"/>
        <v>"division":"--",</v>
      </c>
      <c r="AU197" t="str">
        <f t="shared" si="80"/>
        <v>"bw":"0",</v>
      </c>
      <c r="AV197" t="str">
        <f t="shared" si="81"/>
        <v>"idx":"23",</v>
      </c>
      <c r="AW197" t="str">
        <f t="shared" si="82"/>
        <v>"sr":"0",</v>
      </c>
      <c r="AX197" t="str">
        <f t="shared" si="83"/>
        <v>"br":"0",</v>
      </c>
      <c r="AY197" t="str">
        <f t="shared" si="84"/>
        <v>"row":0,</v>
      </c>
      <c r="AZ197" t="s">
        <v>67</v>
      </c>
      <c r="BA197" t="str">
        <f t="shared" ref="BA197:BA260" si="94">SUBSTITUTE(SUBSTITUTE(SUBSTITUTE(AZ197,"999.5",IF(ISBLANK(U197),"0",U197)),"888.5",IF(ISBLANK(V197),"0",V197)),"555.5",IF(ISBLANK(W197),"0",W197))</f>
        <v>"sq":{"a1":0,"a2":"","a3":"","s1":0,"s2":0,"s3":0},"bp":{"a1":0,"a2":"","a3":"","s1":0,"s2":0,"s3":0},"dl":{"a1":0,"a2":"","a3":"","s1":0,"s2":0,"s3":0},"sortOrder":0,"act":{}}</v>
      </c>
      <c r="BB197" t="str">
        <f t="shared" ref="BB197:BB260" si="95">AN197&amp;AO197&amp;AP197&amp;AQ197&amp;AR197&amp;AS197&amp;AT197&amp;AU197&amp;AV197&amp;AW197&amp;AX197&amp;AY197&amp;BA197</f>
        <v>"23":{"group":"A","lot":0,"name":"0","team":"0","year":"0","division":"--","bw":"0","idx":"23","sr":"0","br":"0","row":0,"sq":{"a1":0,"a2":"","a3":"","s1":0,"s2":0,"s3":0},"bp":{"a1":0,"a2":"","a3":"","s1":0,"s2":0,"s3":0},"dl":{"a1":0,"a2":"","a3":"","s1":0,"s2":0,"s3":0},"sortOrder":0,"act":{}}</v>
      </c>
    </row>
    <row r="198" spans="5:54" x14ac:dyDescent="0.25">
      <c r="E198" s="163"/>
      <c r="F198" s="126"/>
      <c r="G198" s="126"/>
      <c r="H198" s="126"/>
      <c r="I198" s="126"/>
      <c r="J198" s="126"/>
      <c r="K198" s="126"/>
      <c r="L198" s="126"/>
      <c r="M198" s="126"/>
      <c r="N198" s="126"/>
      <c r="O198" s="126"/>
      <c r="P198" s="126"/>
      <c r="Q198" s="126"/>
      <c r="R198" s="126"/>
      <c r="S198" s="126"/>
      <c r="T198" s="127"/>
      <c r="U198" s="128"/>
      <c r="V198" s="128"/>
      <c r="W198" s="129"/>
      <c r="Z198" s="15" t="str">
        <f t="shared" si="73"/>
        <v>A</v>
      </c>
      <c r="AA198" s="8">
        <f t="shared" si="85"/>
        <v>0</v>
      </c>
      <c r="AB198" s="9">
        <f t="shared" si="88"/>
        <v>0</v>
      </c>
      <c r="AC198" s="8">
        <f t="shared" si="86"/>
        <v>0</v>
      </c>
      <c r="AD198" s="8">
        <f t="shared" si="87"/>
        <v>0</v>
      </c>
      <c r="AE198" s="8" t="str">
        <f t="shared" si="89"/>
        <v>--</v>
      </c>
      <c r="AF198" s="10">
        <f t="shared" si="90"/>
        <v>0</v>
      </c>
      <c r="AG198" s="8">
        <v>23</v>
      </c>
      <c r="AH198" s="9">
        <f t="shared" si="91"/>
        <v>0</v>
      </c>
      <c r="AI198" s="11">
        <f t="shared" si="92"/>
        <v>0</v>
      </c>
      <c r="AJ198" s="6"/>
      <c r="AK198" s="6"/>
      <c r="AL198" s="6"/>
      <c r="AN198" t="str">
        <f t="shared" si="74"/>
        <v>"23":{</v>
      </c>
      <c r="AO198" t="str">
        <f t="shared" si="75"/>
        <v>"group":"A",</v>
      </c>
      <c r="AP198" t="str">
        <f t="shared" si="93"/>
        <v>"lot":0,</v>
      </c>
      <c r="AQ198" t="str">
        <f t="shared" si="76"/>
        <v>"name":"0",</v>
      </c>
      <c r="AR198" t="str">
        <f t="shared" si="77"/>
        <v>"team":"0",</v>
      </c>
      <c r="AS198" t="str">
        <f t="shared" si="78"/>
        <v>"year":"0",</v>
      </c>
      <c r="AT198" t="str">
        <f t="shared" si="79"/>
        <v>"division":"--",</v>
      </c>
      <c r="AU198" t="str">
        <f t="shared" si="80"/>
        <v>"bw":"0",</v>
      </c>
      <c r="AV198" t="str">
        <f t="shared" si="81"/>
        <v>"idx":"23",</v>
      </c>
      <c r="AW198" t="str">
        <f t="shared" si="82"/>
        <v>"sr":"0",</v>
      </c>
      <c r="AX198" t="str">
        <f t="shared" si="83"/>
        <v>"br":"0",</v>
      </c>
      <c r="AY198" t="str">
        <f t="shared" si="84"/>
        <v>"row":0,</v>
      </c>
      <c r="AZ198" t="s">
        <v>67</v>
      </c>
      <c r="BA198" t="str">
        <f t="shared" si="94"/>
        <v>"sq":{"a1":0,"a2":"","a3":"","s1":0,"s2":0,"s3":0},"bp":{"a1":0,"a2":"","a3":"","s1":0,"s2":0,"s3":0},"dl":{"a1":0,"a2":"","a3":"","s1":0,"s2":0,"s3":0},"sortOrder":0,"act":{}}</v>
      </c>
      <c r="BB198" t="str">
        <f t="shared" si="95"/>
        <v>"23":{"group":"A","lot":0,"name":"0","team":"0","year":"0","division":"--","bw":"0","idx":"23","sr":"0","br":"0","row":0,"sq":{"a1":0,"a2":"","a3":"","s1":0,"s2":0,"s3":0},"bp":{"a1":0,"a2":"","a3":"","s1":0,"s2":0,"s3":0},"dl":{"a1":0,"a2":"","a3":"","s1":0,"s2":0,"s3":0},"sortOrder":0,"act":{}}</v>
      </c>
    </row>
    <row r="199" spans="5:54" x14ac:dyDescent="0.25">
      <c r="E199" s="163"/>
      <c r="F199" s="126"/>
      <c r="G199" s="126"/>
      <c r="H199" s="126"/>
      <c r="I199" s="126"/>
      <c r="J199" s="126"/>
      <c r="K199" s="126"/>
      <c r="L199" s="126"/>
      <c r="M199" s="126"/>
      <c r="N199" s="126"/>
      <c r="O199" s="126"/>
      <c r="P199" s="126"/>
      <c r="Q199" s="126"/>
      <c r="R199" s="126"/>
      <c r="S199" s="126"/>
      <c r="T199" s="127"/>
      <c r="U199" s="128"/>
      <c r="V199" s="128"/>
      <c r="W199" s="129"/>
      <c r="Z199" s="15" t="str">
        <f t="shared" si="73"/>
        <v>A</v>
      </c>
      <c r="AA199" s="8">
        <f t="shared" si="85"/>
        <v>0</v>
      </c>
      <c r="AB199" s="9">
        <f t="shared" si="88"/>
        <v>0</v>
      </c>
      <c r="AC199" s="8">
        <f t="shared" si="86"/>
        <v>0</v>
      </c>
      <c r="AD199" s="8">
        <f t="shared" si="87"/>
        <v>0</v>
      </c>
      <c r="AE199" s="8" t="str">
        <f t="shared" si="89"/>
        <v>--</v>
      </c>
      <c r="AF199" s="10">
        <f t="shared" si="90"/>
        <v>0</v>
      </c>
      <c r="AG199" s="8">
        <v>23</v>
      </c>
      <c r="AH199" s="9">
        <f t="shared" si="91"/>
        <v>0</v>
      </c>
      <c r="AI199" s="11">
        <f t="shared" si="92"/>
        <v>0</v>
      </c>
      <c r="AJ199" s="6"/>
      <c r="AK199" s="6"/>
      <c r="AL199" s="6"/>
      <c r="AN199" t="str">
        <f t="shared" si="74"/>
        <v>"23":{</v>
      </c>
      <c r="AO199" t="str">
        <f t="shared" si="75"/>
        <v>"group":"A",</v>
      </c>
      <c r="AP199" t="str">
        <f t="shared" si="93"/>
        <v>"lot":0,</v>
      </c>
      <c r="AQ199" t="str">
        <f t="shared" si="76"/>
        <v>"name":"0",</v>
      </c>
      <c r="AR199" t="str">
        <f t="shared" si="77"/>
        <v>"team":"0",</v>
      </c>
      <c r="AS199" t="str">
        <f t="shared" si="78"/>
        <v>"year":"0",</v>
      </c>
      <c r="AT199" t="str">
        <f t="shared" si="79"/>
        <v>"division":"--",</v>
      </c>
      <c r="AU199" t="str">
        <f t="shared" si="80"/>
        <v>"bw":"0",</v>
      </c>
      <c r="AV199" t="str">
        <f t="shared" si="81"/>
        <v>"idx":"23",</v>
      </c>
      <c r="AW199" t="str">
        <f t="shared" si="82"/>
        <v>"sr":"0",</v>
      </c>
      <c r="AX199" t="str">
        <f t="shared" si="83"/>
        <v>"br":"0",</v>
      </c>
      <c r="AY199" t="str">
        <f t="shared" si="84"/>
        <v>"row":0,</v>
      </c>
      <c r="AZ199" t="s">
        <v>67</v>
      </c>
      <c r="BA199" t="str">
        <f t="shared" si="94"/>
        <v>"sq":{"a1":0,"a2":"","a3":"","s1":0,"s2":0,"s3":0},"bp":{"a1":0,"a2":"","a3":"","s1":0,"s2":0,"s3":0},"dl":{"a1":0,"a2":"","a3":"","s1":0,"s2":0,"s3":0},"sortOrder":0,"act":{}}</v>
      </c>
      <c r="BB199" t="str">
        <f t="shared" si="95"/>
        <v>"23":{"group":"A","lot":0,"name":"0","team":"0","year":"0","division":"--","bw":"0","idx":"23","sr":"0","br":"0","row":0,"sq":{"a1":0,"a2":"","a3":"","s1":0,"s2":0,"s3":0},"bp":{"a1":0,"a2":"","a3":"","s1":0,"s2":0,"s3":0},"dl":{"a1":0,"a2":"","a3":"","s1":0,"s2":0,"s3":0},"sortOrder":0,"act":{}}</v>
      </c>
    </row>
    <row r="200" spans="5:54" x14ac:dyDescent="0.25">
      <c r="E200" s="163"/>
      <c r="F200" s="126"/>
      <c r="G200" s="126"/>
      <c r="H200" s="126"/>
      <c r="I200" s="126"/>
      <c r="J200" s="126"/>
      <c r="K200" s="126"/>
      <c r="L200" s="126"/>
      <c r="M200" s="126"/>
      <c r="N200" s="126"/>
      <c r="O200" s="126"/>
      <c r="P200" s="126"/>
      <c r="Q200" s="126"/>
      <c r="R200" s="126"/>
      <c r="S200" s="126"/>
      <c r="T200" s="127"/>
      <c r="U200" s="128"/>
      <c r="V200" s="128"/>
      <c r="W200" s="129"/>
      <c r="Z200" s="15" t="str">
        <f t="shared" si="73"/>
        <v>A</v>
      </c>
      <c r="AA200" s="8">
        <f t="shared" si="85"/>
        <v>0</v>
      </c>
      <c r="AB200" s="9">
        <f t="shared" si="88"/>
        <v>0</v>
      </c>
      <c r="AC200" s="8">
        <f t="shared" si="86"/>
        <v>0</v>
      </c>
      <c r="AD200" s="8">
        <f t="shared" si="87"/>
        <v>0</v>
      </c>
      <c r="AE200" s="8" t="str">
        <f t="shared" si="89"/>
        <v>--</v>
      </c>
      <c r="AF200" s="10">
        <f t="shared" si="90"/>
        <v>0</v>
      </c>
      <c r="AG200" s="8">
        <v>23</v>
      </c>
      <c r="AH200" s="9">
        <f t="shared" si="91"/>
        <v>0</v>
      </c>
      <c r="AI200" s="11">
        <f t="shared" si="92"/>
        <v>0</v>
      </c>
      <c r="AJ200" s="6"/>
      <c r="AK200" s="6"/>
      <c r="AL200" s="6"/>
      <c r="AN200" t="str">
        <f t="shared" si="74"/>
        <v>"23":{</v>
      </c>
      <c r="AO200" t="str">
        <f t="shared" si="75"/>
        <v>"group":"A",</v>
      </c>
      <c r="AP200" t="str">
        <f t="shared" si="93"/>
        <v>"lot":0,</v>
      </c>
      <c r="AQ200" t="str">
        <f t="shared" si="76"/>
        <v>"name":"0",</v>
      </c>
      <c r="AR200" t="str">
        <f t="shared" si="77"/>
        <v>"team":"0",</v>
      </c>
      <c r="AS200" t="str">
        <f t="shared" si="78"/>
        <v>"year":"0",</v>
      </c>
      <c r="AT200" t="str">
        <f t="shared" si="79"/>
        <v>"division":"--",</v>
      </c>
      <c r="AU200" t="str">
        <f t="shared" si="80"/>
        <v>"bw":"0",</v>
      </c>
      <c r="AV200" t="str">
        <f t="shared" si="81"/>
        <v>"idx":"23",</v>
      </c>
      <c r="AW200" t="str">
        <f t="shared" si="82"/>
        <v>"sr":"0",</v>
      </c>
      <c r="AX200" t="str">
        <f t="shared" si="83"/>
        <v>"br":"0",</v>
      </c>
      <c r="AY200" t="str">
        <f t="shared" si="84"/>
        <v>"row":0,</v>
      </c>
      <c r="AZ200" t="s">
        <v>67</v>
      </c>
      <c r="BA200" t="str">
        <f t="shared" si="94"/>
        <v>"sq":{"a1":0,"a2":"","a3":"","s1":0,"s2":0,"s3":0},"bp":{"a1":0,"a2":"","a3":"","s1":0,"s2":0,"s3":0},"dl":{"a1":0,"a2":"","a3":"","s1":0,"s2":0,"s3":0},"sortOrder":0,"act":{}}</v>
      </c>
      <c r="BB200" t="str">
        <f t="shared" si="95"/>
        <v>"23":{"group":"A","lot":0,"name":"0","team":"0","year":"0","division":"--","bw":"0","idx":"23","sr":"0","br":"0","row":0,"sq":{"a1":0,"a2":"","a3":"","s1":0,"s2":0,"s3":0},"bp":{"a1":0,"a2":"","a3":"","s1":0,"s2":0,"s3":0},"dl":{"a1":0,"a2":"","a3":"","s1":0,"s2":0,"s3":0},"sortOrder":0,"act":{}}</v>
      </c>
    </row>
    <row r="201" spans="5:54" x14ac:dyDescent="0.25">
      <c r="E201" s="163"/>
      <c r="F201" s="126"/>
      <c r="G201" s="126"/>
      <c r="H201" s="126"/>
      <c r="I201" s="126"/>
      <c r="J201" s="126"/>
      <c r="K201" s="126"/>
      <c r="L201" s="126"/>
      <c r="M201" s="126"/>
      <c r="N201" s="126"/>
      <c r="O201" s="126"/>
      <c r="P201" s="126"/>
      <c r="Q201" s="126"/>
      <c r="R201" s="126"/>
      <c r="S201" s="126"/>
      <c r="T201" s="127"/>
      <c r="U201" s="128"/>
      <c r="V201" s="128"/>
      <c r="W201" s="129"/>
      <c r="Z201" s="15" t="str">
        <f t="shared" si="73"/>
        <v>A</v>
      </c>
      <c r="AA201" s="8">
        <f t="shared" si="85"/>
        <v>0</v>
      </c>
      <c r="AB201" s="9">
        <f t="shared" si="88"/>
        <v>0</v>
      </c>
      <c r="AC201" s="8">
        <f t="shared" si="86"/>
        <v>0</v>
      </c>
      <c r="AD201" s="8">
        <f t="shared" si="87"/>
        <v>0</v>
      </c>
      <c r="AE201" s="8" t="str">
        <f t="shared" si="89"/>
        <v>--</v>
      </c>
      <c r="AF201" s="10">
        <f t="shared" si="90"/>
        <v>0</v>
      </c>
      <c r="AG201" s="8">
        <v>23</v>
      </c>
      <c r="AH201" s="9">
        <f t="shared" si="91"/>
        <v>0</v>
      </c>
      <c r="AI201" s="11">
        <f t="shared" si="92"/>
        <v>0</v>
      </c>
      <c r="AJ201" s="6"/>
      <c r="AK201" s="6"/>
      <c r="AL201" s="6"/>
      <c r="AN201" t="str">
        <f t="shared" si="74"/>
        <v>"23":{</v>
      </c>
      <c r="AO201" t="str">
        <f t="shared" si="75"/>
        <v>"group":"A",</v>
      </c>
      <c r="AP201" t="str">
        <f t="shared" si="93"/>
        <v>"lot":0,</v>
      </c>
      <c r="AQ201" t="str">
        <f t="shared" si="76"/>
        <v>"name":"0",</v>
      </c>
      <c r="AR201" t="str">
        <f t="shared" si="77"/>
        <v>"team":"0",</v>
      </c>
      <c r="AS201" t="str">
        <f t="shared" si="78"/>
        <v>"year":"0",</v>
      </c>
      <c r="AT201" t="str">
        <f t="shared" si="79"/>
        <v>"division":"--",</v>
      </c>
      <c r="AU201" t="str">
        <f t="shared" si="80"/>
        <v>"bw":"0",</v>
      </c>
      <c r="AV201" t="str">
        <f t="shared" si="81"/>
        <v>"idx":"23",</v>
      </c>
      <c r="AW201" t="str">
        <f t="shared" si="82"/>
        <v>"sr":"0",</v>
      </c>
      <c r="AX201" t="str">
        <f t="shared" si="83"/>
        <v>"br":"0",</v>
      </c>
      <c r="AY201" t="str">
        <f t="shared" si="84"/>
        <v>"row":0,</v>
      </c>
      <c r="AZ201" t="s">
        <v>67</v>
      </c>
      <c r="BA201" t="str">
        <f t="shared" si="94"/>
        <v>"sq":{"a1":0,"a2":"","a3":"","s1":0,"s2":0,"s3":0},"bp":{"a1":0,"a2":"","a3":"","s1":0,"s2":0,"s3":0},"dl":{"a1":0,"a2":"","a3":"","s1":0,"s2":0,"s3":0},"sortOrder":0,"act":{}}</v>
      </c>
      <c r="BB201" t="str">
        <f t="shared" si="95"/>
        <v>"23":{"group":"A","lot":0,"name":"0","team":"0","year":"0","division":"--","bw":"0","idx":"23","sr":"0","br":"0","row":0,"sq":{"a1":0,"a2":"","a3":"","s1":0,"s2":0,"s3":0},"bp":{"a1":0,"a2":"","a3":"","s1":0,"s2":0,"s3":0},"dl":{"a1":0,"a2":"","a3":"","s1":0,"s2":0,"s3":0},"sortOrder":0,"act":{}}</v>
      </c>
    </row>
    <row r="202" spans="5:54" x14ac:dyDescent="0.25">
      <c r="E202" s="163"/>
      <c r="F202" s="126"/>
      <c r="G202" s="126"/>
      <c r="H202" s="126"/>
      <c r="I202" s="126"/>
      <c r="J202" s="126"/>
      <c r="K202" s="126"/>
      <c r="L202" s="126"/>
      <c r="M202" s="126"/>
      <c r="N202" s="126"/>
      <c r="O202" s="126"/>
      <c r="P202" s="126"/>
      <c r="Q202" s="126"/>
      <c r="R202" s="126"/>
      <c r="S202" s="126"/>
      <c r="T202" s="127"/>
      <c r="U202" s="128"/>
      <c r="V202" s="128"/>
      <c r="W202" s="129"/>
      <c r="Z202" s="15" t="str">
        <f t="shared" si="73"/>
        <v>A</v>
      </c>
      <c r="AA202" s="8">
        <f t="shared" si="85"/>
        <v>0</v>
      </c>
      <c r="AB202" s="9">
        <f t="shared" si="88"/>
        <v>0</v>
      </c>
      <c r="AC202" s="8">
        <f t="shared" si="86"/>
        <v>0</v>
      </c>
      <c r="AD202" s="8">
        <f t="shared" si="87"/>
        <v>0</v>
      </c>
      <c r="AE202" s="8" t="str">
        <f t="shared" si="89"/>
        <v>--</v>
      </c>
      <c r="AF202" s="10">
        <f t="shared" si="90"/>
        <v>0</v>
      </c>
      <c r="AG202" s="8">
        <v>23</v>
      </c>
      <c r="AH202" s="9">
        <f t="shared" si="91"/>
        <v>0</v>
      </c>
      <c r="AI202" s="11">
        <f t="shared" si="92"/>
        <v>0</v>
      </c>
      <c r="AJ202" s="6"/>
      <c r="AK202" s="6"/>
      <c r="AL202" s="6"/>
      <c r="AN202" t="str">
        <f t="shared" si="74"/>
        <v>"23":{</v>
      </c>
      <c r="AO202" t="str">
        <f t="shared" si="75"/>
        <v>"group":"A",</v>
      </c>
      <c r="AP202" t="str">
        <f t="shared" si="93"/>
        <v>"lot":0,</v>
      </c>
      <c r="AQ202" t="str">
        <f t="shared" si="76"/>
        <v>"name":"0",</v>
      </c>
      <c r="AR202" t="str">
        <f t="shared" si="77"/>
        <v>"team":"0",</v>
      </c>
      <c r="AS202" t="str">
        <f t="shared" si="78"/>
        <v>"year":"0",</v>
      </c>
      <c r="AT202" t="str">
        <f t="shared" si="79"/>
        <v>"division":"--",</v>
      </c>
      <c r="AU202" t="str">
        <f t="shared" si="80"/>
        <v>"bw":"0",</v>
      </c>
      <c r="AV202" t="str">
        <f t="shared" si="81"/>
        <v>"idx":"23",</v>
      </c>
      <c r="AW202" t="str">
        <f t="shared" si="82"/>
        <v>"sr":"0",</v>
      </c>
      <c r="AX202" t="str">
        <f t="shared" si="83"/>
        <v>"br":"0",</v>
      </c>
      <c r="AY202" t="str">
        <f t="shared" si="84"/>
        <v>"row":0,</v>
      </c>
      <c r="AZ202" t="s">
        <v>67</v>
      </c>
      <c r="BA202" t="str">
        <f t="shared" si="94"/>
        <v>"sq":{"a1":0,"a2":"","a3":"","s1":0,"s2":0,"s3":0},"bp":{"a1":0,"a2":"","a3":"","s1":0,"s2":0,"s3":0},"dl":{"a1":0,"a2":"","a3":"","s1":0,"s2":0,"s3":0},"sortOrder":0,"act":{}}</v>
      </c>
      <c r="BB202" t="str">
        <f t="shared" si="95"/>
        <v>"23":{"group":"A","lot":0,"name":"0","team":"0","year":"0","division":"--","bw":"0","idx":"23","sr":"0","br":"0","row":0,"sq":{"a1":0,"a2":"","a3":"","s1":0,"s2":0,"s3":0},"bp":{"a1":0,"a2":"","a3":"","s1":0,"s2":0,"s3":0},"dl":{"a1":0,"a2":"","a3":"","s1":0,"s2":0,"s3":0},"sortOrder":0,"act":{}}</v>
      </c>
    </row>
    <row r="203" spans="5:54" x14ac:dyDescent="0.25">
      <c r="E203" s="163"/>
      <c r="F203" s="126"/>
      <c r="G203" s="126"/>
      <c r="H203" s="126"/>
      <c r="I203" s="126"/>
      <c r="J203" s="126"/>
      <c r="K203" s="126"/>
      <c r="L203" s="126"/>
      <c r="M203" s="126"/>
      <c r="N203" s="126"/>
      <c r="O203" s="126"/>
      <c r="P203" s="126"/>
      <c r="Q203" s="126"/>
      <c r="R203" s="126"/>
      <c r="S203" s="126"/>
      <c r="T203" s="127"/>
      <c r="U203" s="128"/>
      <c r="V203" s="128"/>
      <c r="W203" s="129"/>
      <c r="Z203" s="15" t="str">
        <f t="shared" si="73"/>
        <v>A</v>
      </c>
      <c r="AA203" s="8">
        <f t="shared" si="85"/>
        <v>0</v>
      </c>
      <c r="AB203" s="9">
        <f t="shared" si="88"/>
        <v>0</v>
      </c>
      <c r="AC203" s="8">
        <f t="shared" si="86"/>
        <v>0</v>
      </c>
      <c r="AD203" s="8">
        <f t="shared" si="87"/>
        <v>0</v>
      </c>
      <c r="AE203" s="8" t="str">
        <f t="shared" si="89"/>
        <v>--</v>
      </c>
      <c r="AF203" s="10">
        <f t="shared" si="90"/>
        <v>0</v>
      </c>
      <c r="AG203" s="8">
        <v>23</v>
      </c>
      <c r="AH203" s="9">
        <f t="shared" si="91"/>
        <v>0</v>
      </c>
      <c r="AI203" s="11">
        <f t="shared" si="92"/>
        <v>0</v>
      </c>
      <c r="AJ203" s="6"/>
      <c r="AK203" s="6"/>
      <c r="AL203" s="6"/>
      <c r="AN203" t="str">
        <f t="shared" si="74"/>
        <v>"23":{</v>
      </c>
      <c r="AO203" t="str">
        <f t="shared" si="75"/>
        <v>"group":"A",</v>
      </c>
      <c r="AP203" t="str">
        <f t="shared" si="93"/>
        <v>"lot":0,</v>
      </c>
      <c r="AQ203" t="str">
        <f t="shared" si="76"/>
        <v>"name":"0",</v>
      </c>
      <c r="AR203" t="str">
        <f t="shared" si="77"/>
        <v>"team":"0",</v>
      </c>
      <c r="AS203" t="str">
        <f t="shared" si="78"/>
        <v>"year":"0",</v>
      </c>
      <c r="AT203" t="str">
        <f t="shared" si="79"/>
        <v>"division":"--",</v>
      </c>
      <c r="AU203" t="str">
        <f t="shared" si="80"/>
        <v>"bw":"0",</v>
      </c>
      <c r="AV203" t="str">
        <f t="shared" si="81"/>
        <v>"idx":"23",</v>
      </c>
      <c r="AW203" t="str">
        <f t="shared" si="82"/>
        <v>"sr":"0",</v>
      </c>
      <c r="AX203" t="str">
        <f t="shared" si="83"/>
        <v>"br":"0",</v>
      </c>
      <c r="AY203" t="str">
        <f t="shared" si="84"/>
        <v>"row":0,</v>
      </c>
      <c r="AZ203" t="s">
        <v>67</v>
      </c>
      <c r="BA203" t="str">
        <f t="shared" si="94"/>
        <v>"sq":{"a1":0,"a2":"","a3":"","s1":0,"s2":0,"s3":0},"bp":{"a1":0,"a2":"","a3":"","s1":0,"s2":0,"s3":0},"dl":{"a1":0,"a2":"","a3":"","s1":0,"s2":0,"s3":0},"sortOrder":0,"act":{}}</v>
      </c>
      <c r="BB203" t="str">
        <f t="shared" si="95"/>
        <v>"23":{"group":"A","lot":0,"name":"0","team":"0","year":"0","division":"--","bw":"0","idx":"23","sr":"0","br":"0","row":0,"sq":{"a1":0,"a2":"","a3":"","s1":0,"s2":0,"s3":0},"bp":{"a1":0,"a2":"","a3":"","s1":0,"s2":0,"s3":0},"dl":{"a1":0,"a2":"","a3":"","s1":0,"s2":0,"s3":0},"sortOrder":0,"act":{}}</v>
      </c>
    </row>
    <row r="204" spans="5:54" x14ac:dyDescent="0.25">
      <c r="E204" s="163"/>
      <c r="F204" s="126"/>
      <c r="G204" s="126"/>
      <c r="H204" s="126"/>
      <c r="I204" s="126"/>
      <c r="J204" s="126"/>
      <c r="K204" s="126"/>
      <c r="L204" s="126"/>
      <c r="M204" s="126"/>
      <c r="N204" s="126"/>
      <c r="O204" s="126"/>
      <c r="P204" s="126"/>
      <c r="Q204" s="126"/>
      <c r="R204" s="126"/>
      <c r="S204" s="126"/>
      <c r="T204" s="127"/>
      <c r="U204" s="128"/>
      <c r="V204" s="128"/>
      <c r="W204" s="129"/>
      <c r="Z204" s="15" t="str">
        <f t="shared" si="73"/>
        <v>A</v>
      </c>
      <c r="AA204" s="8">
        <f t="shared" si="85"/>
        <v>0</v>
      </c>
      <c r="AB204" s="9">
        <f t="shared" si="88"/>
        <v>0</v>
      </c>
      <c r="AC204" s="8">
        <f t="shared" si="86"/>
        <v>0</v>
      </c>
      <c r="AD204" s="8">
        <f t="shared" si="87"/>
        <v>0</v>
      </c>
      <c r="AE204" s="8" t="str">
        <f t="shared" si="89"/>
        <v>--</v>
      </c>
      <c r="AF204" s="10">
        <f t="shared" si="90"/>
        <v>0</v>
      </c>
      <c r="AG204" s="8">
        <v>23</v>
      </c>
      <c r="AH204" s="9">
        <f t="shared" si="91"/>
        <v>0</v>
      </c>
      <c r="AI204" s="11">
        <f t="shared" si="92"/>
        <v>0</v>
      </c>
      <c r="AJ204" s="6"/>
      <c r="AK204" s="6"/>
      <c r="AL204" s="6"/>
      <c r="AN204" t="str">
        <f t="shared" si="74"/>
        <v>"23":{</v>
      </c>
      <c r="AO204" t="str">
        <f t="shared" si="75"/>
        <v>"group":"A",</v>
      </c>
      <c r="AP204" t="str">
        <f t="shared" si="93"/>
        <v>"lot":0,</v>
      </c>
      <c r="AQ204" t="str">
        <f t="shared" si="76"/>
        <v>"name":"0",</v>
      </c>
      <c r="AR204" t="str">
        <f t="shared" si="77"/>
        <v>"team":"0",</v>
      </c>
      <c r="AS204" t="str">
        <f t="shared" si="78"/>
        <v>"year":"0",</v>
      </c>
      <c r="AT204" t="str">
        <f t="shared" si="79"/>
        <v>"division":"--",</v>
      </c>
      <c r="AU204" t="str">
        <f t="shared" si="80"/>
        <v>"bw":"0",</v>
      </c>
      <c r="AV204" t="str">
        <f t="shared" si="81"/>
        <v>"idx":"23",</v>
      </c>
      <c r="AW204" t="str">
        <f t="shared" si="82"/>
        <v>"sr":"0",</v>
      </c>
      <c r="AX204" t="str">
        <f t="shared" si="83"/>
        <v>"br":"0",</v>
      </c>
      <c r="AY204" t="str">
        <f t="shared" si="84"/>
        <v>"row":0,</v>
      </c>
      <c r="AZ204" t="s">
        <v>67</v>
      </c>
      <c r="BA204" t="str">
        <f t="shared" si="94"/>
        <v>"sq":{"a1":0,"a2":"","a3":"","s1":0,"s2":0,"s3":0},"bp":{"a1":0,"a2":"","a3":"","s1":0,"s2":0,"s3":0},"dl":{"a1":0,"a2":"","a3":"","s1":0,"s2":0,"s3":0},"sortOrder":0,"act":{}}</v>
      </c>
      <c r="BB204" t="str">
        <f t="shared" si="95"/>
        <v>"23":{"group":"A","lot":0,"name":"0","team":"0","year":"0","division":"--","bw":"0","idx":"23","sr":"0","br":"0","row":0,"sq":{"a1":0,"a2":"","a3":"","s1":0,"s2":0,"s3":0},"bp":{"a1":0,"a2":"","a3":"","s1":0,"s2":0,"s3":0},"dl":{"a1":0,"a2":"","a3":"","s1":0,"s2":0,"s3":0},"sortOrder":0,"act":{}}</v>
      </c>
    </row>
    <row r="205" spans="5:54" x14ac:dyDescent="0.25">
      <c r="E205" s="163"/>
      <c r="F205" s="126"/>
      <c r="G205" s="126"/>
      <c r="H205" s="126"/>
      <c r="I205" s="126"/>
      <c r="J205" s="126"/>
      <c r="K205" s="126"/>
      <c r="L205" s="126"/>
      <c r="M205" s="126"/>
      <c r="N205" s="126"/>
      <c r="O205" s="126"/>
      <c r="P205" s="126"/>
      <c r="Q205" s="126"/>
      <c r="R205" s="126"/>
      <c r="S205" s="126"/>
      <c r="T205" s="127"/>
      <c r="U205" s="128"/>
      <c r="V205" s="128"/>
      <c r="W205" s="129"/>
      <c r="Z205" s="15" t="str">
        <f t="shared" si="73"/>
        <v>A</v>
      </c>
      <c r="AA205" s="8">
        <f t="shared" si="85"/>
        <v>0</v>
      </c>
      <c r="AB205" s="9">
        <f t="shared" si="88"/>
        <v>0</v>
      </c>
      <c r="AC205" s="8">
        <f t="shared" si="86"/>
        <v>0</v>
      </c>
      <c r="AD205" s="8">
        <f t="shared" si="87"/>
        <v>0</v>
      </c>
      <c r="AE205" s="8" t="str">
        <f t="shared" si="89"/>
        <v>--</v>
      </c>
      <c r="AF205" s="10">
        <f t="shared" si="90"/>
        <v>0</v>
      </c>
      <c r="AG205" s="8">
        <v>23</v>
      </c>
      <c r="AH205" s="9">
        <f t="shared" si="91"/>
        <v>0</v>
      </c>
      <c r="AI205" s="11">
        <f t="shared" si="92"/>
        <v>0</v>
      </c>
      <c r="AJ205" s="6"/>
      <c r="AK205" s="6"/>
      <c r="AL205" s="6"/>
      <c r="AN205" t="str">
        <f t="shared" si="74"/>
        <v>"23":{</v>
      </c>
      <c r="AO205" t="str">
        <f t="shared" si="75"/>
        <v>"group":"A",</v>
      </c>
      <c r="AP205" t="str">
        <f t="shared" si="93"/>
        <v>"lot":0,</v>
      </c>
      <c r="AQ205" t="str">
        <f t="shared" si="76"/>
        <v>"name":"0",</v>
      </c>
      <c r="AR205" t="str">
        <f t="shared" si="77"/>
        <v>"team":"0",</v>
      </c>
      <c r="AS205" t="str">
        <f t="shared" si="78"/>
        <v>"year":"0",</v>
      </c>
      <c r="AT205" t="str">
        <f t="shared" si="79"/>
        <v>"division":"--",</v>
      </c>
      <c r="AU205" t="str">
        <f t="shared" si="80"/>
        <v>"bw":"0",</v>
      </c>
      <c r="AV205" t="str">
        <f t="shared" si="81"/>
        <v>"idx":"23",</v>
      </c>
      <c r="AW205" t="str">
        <f t="shared" si="82"/>
        <v>"sr":"0",</v>
      </c>
      <c r="AX205" t="str">
        <f t="shared" si="83"/>
        <v>"br":"0",</v>
      </c>
      <c r="AY205" t="str">
        <f t="shared" si="84"/>
        <v>"row":0,</v>
      </c>
      <c r="AZ205" t="s">
        <v>67</v>
      </c>
      <c r="BA205" t="str">
        <f t="shared" si="94"/>
        <v>"sq":{"a1":0,"a2":"","a3":"","s1":0,"s2":0,"s3":0},"bp":{"a1":0,"a2":"","a3":"","s1":0,"s2":0,"s3":0},"dl":{"a1":0,"a2":"","a3":"","s1":0,"s2":0,"s3":0},"sortOrder":0,"act":{}}</v>
      </c>
      <c r="BB205" t="str">
        <f t="shared" si="95"/>
        <v>"23":{"group":"A","lot":0,"name":"0","team":"0","year":"0","division":"--","bw":"0","idx":"23","sr":"0","br":"0","row":0,"sq":{"a1":0,"a2":"","a3":"","s1":0,"s2":0,"s3":0},"bp":{"a1":0,"a2":"","a3":"","s1":0,"s2":0,"s3":0},"dl":{"a1":0,"a2":"","a3":"","s1":0,"s2":0,"s3":0},"sortOrder":0,"act":{}}</v>
      </c>
    </row>
    <row r="206" spans="5:54" x14ac:dyDescent="0.25">
      <c r="E206" s="163"/>
      <c r="F206" s="126"/>
      <c r="G206" s="126"/>
      <c r="H206" s="126"/>
      <c r="I206" s="126"/>
      <c r="J206" s="126"/>
      <c r="K206" s="126"/>
      <c r="L206" s="126"/>
      <c r="M206" s="126"/>
      <c r="N206" s="126"/>
      <c r="O206" s="126"/>
      <c r="P206" s="126"/>
      <c r="Q206" s="126"/>
      <c r="R206" s="126"/>
      <c r="S206" s="126"/>
      <c r="T206" s="127"/>
      <c r="U206" s="128"/>
      <c r="V206" s="128"/>
      <c r="W206" s="129"/>
      <c r="Z206" s="15" t="str">
        <f t="shared" si="73"/>
        <v>A</v>
      </c>
      <c r="AA206" s="8">
        <f t="shared" si="85"/>
        <v>0</v>
      </c>
      <c r="AB206" s="9">
        <f t="shared" si="88"/>
        <v>0</v>
      </c>
      <c r="AC206" s="8">
        <f t="shared" si="86"/>
        <v>0</v>
      </c>
      <c r="AD206" s="8">
        <f t="shared" si="87"/>
        <v>0</v>
      </c>
      <c r="AE206" s="8" t="str">
        <f t="shared" si="89"/>
        <v>--</v>
      </c>
      <c r="AF206" s="10">
        <f t="shared" si="90"/>
        <v>0</v>
      </c>
      <c r="AG206" s="8">
        <v>23</v>
      </c>
      <c r="AH206" s="9">
        <f t="shared" si="91"/>
        <v>0</v>
      </c>
      <c r="AI206" s="11">
        <f t="shared" si="92"/>
        <v>0</v>
      </c>
      <c r="AJ206" s="6"/>
      <c r="AK206" s="6"/>
      <c r="AL206" s="6"/>
      <c r="AN206" t="str">
        <f t="shared" si="74"/>
        <v>"23":{</v>
      </c>
      <c r="AO206" t="str">
        <f t="shared" si="75"/>
        <v>"group":"A",</v>
      </c>
      <c r="AP206" t="str">
        <f t="shared" si="93"/>
        <v>"lot":0,</v>
      </c>
      <c r="AQ206" t="str">
        <f t="shared" si="76"/>
        <v>"name":"0",</v>
      </c>
      <c r="AR206" t="str">
        <f t="shared" si="77"/>
        <v>"team":"0",</v>
      </c>
      <c r="AS206" t="str">
        <f t="shared" si="78"/>
        <v>"year":"0",</v>
      </c>
      <c r="AT206" t="str">
        <f t="shared" si="79"/>
        <v>"division":"--",</v>
      </c>
      <c r="AU206" t="str">
        <f t="shared" si="80"/>
        <v>"bw":"0",</v>
      </c>
      <c r="AV206" t="str">
        <f t="shared" si="81"/>
        <v>"idx":"23",</v>
      </c>
      <c r="AW206" t="str">
        <f t="shared" si="82"/>
        <v>"sr":"0",</v>
      </c>
      <c r="AX206" t="str">
        <f t="shared" si="83"/>
        <v>"br":"0",</v>
      </c>
      <c r="AY206" t="str">
        <f t="shared" si="84"/>
        <v>"row":0,</v>
      </c>
      <c r="AZ206" t="s">
        <v>67</v>
      </c>
      <c r="BA206" t="str">
        <f t="shared" si="94"/>
        <v>"sq":{"a1":0,"a2":"","a3":"","s1":0,"s2":0,"s3":0},"bp":{"a1":0,"a2":"","a3":"","s1":0,"s2":0,"s3":0},"dl":{"a1":0,"a2":"","a3":"","s1":0,"s2":0,"s3":0},"sortOrder":0,"act":{}}</v>
      </c>
      <c r="BB206" t="str">
        <f t="shared" si="95"/>
        <v>"23":{"group":"A","lot":0,"name":"0","team":"0","year":"0","division":"--","bw":"0","idx":"23","sr":"0","br":"0","row":0,"sq":{"a1":0,"a2":"","a3":"","s1":0,"s2":0,"s3":0},"bp":{"a1":0,"a2":"","a3":"","s1":0,"s2":0,"s3":0},"dl":{"a1":0,"a2":"","a3":"","s1":0,"s2":0,"s3":0},"sortOrder":0,"act":{}}</v>
      </c>
    </row>
    <row r="207" spans="5:54" x14ac:dyDescent="0.25">
      <c r="E207" s="163"/>
      <c r="F207" s="126"/>
      <c r="G207" s="126"/>
      <c r="H207" s="126"/>
      <c r="I207" s="126"/>
      <c r="J207" s="126"/>
      <c r="K207" s="126"/>
      <c r="L207" s="126"/>
      <c r="M207" s="126"/>
      <c r="N207" s="126"/>
      <c r="O207" s="126"/>
      <c r="P207" s="126"/>
      <c r="Q207" s="126"/>
      <c r="R207" s="126"/>
      <c r="S207" s="126"/>
      <c r="T207" s="127"/>
      <c r="U207" s="128"/>
      <c r="V207" s="128"/>
      <c r="W207" s="129"/>
      <c r="Z207" s="15" t="str">
        <f t="shared" si="73"/>
        <v>A</v>
      </c>
      <c r="AA207" s="8">
        <f t="shared" si="85"/>
        <v>0</v>
      </c>
      <c r="AB207" s="9">
        <f t="shared" si="88"/>
        <v>0</v>
      </c>
      <c r="AC207" s="8">
        <f t="shared" si="86"/>
        <v>0</v>
      </c>
      <c r="AD207" s="8">
        <f t="shared" si="87"/>
        <v>0</v>
      </c>
      <c r="AE207" s="8" t="str">
        <f t="shared" si="89"/>
        <v>--</v>
      </c>
      <c r="AF207" s="10">
        <f t="shared" si="90"/>
        <v>0</v>
      </c>
      <c r="AG207" s="8">
        <v>23</v>
      </c>
      <c r="AH207" s="9">
        <f t="shared" si="91"/>
        <v>0</v>
      </c>
      <c r="AI207" s="11">
        <f t="shared" si="92"/>
        <v>0</v>
      </c>
      <c r="AJ207" s="6"/>
      <c r="AK207" s="6"/>
      <c r="AL207" s="6"/>
      <c r="AN207" t="str">
        <f t="shared" si="74"/>
        <v>"23":{</v>
      </c>
      <c r="AO207" t="str">
        <f t="shared" si="75"/>
        <v>"group":"A",</v>
      </c>
      <c r="AP207" t="str">
        <f t="shared" si="93"/>
        <v>"lot":0,</v>
      </c>
      <c r="AQ207" t="str">
        <f t="shared" si="76"/>
        <v>"name":"0",</v>
      </c>
      <c r="AR207" t="str">
        <f t="shared" si="77"/>
        <v>"team":"0",</v>
      </c>
      <c r="AS207" t="str">
        <f t="shared" si="78"/>
        <v>"year":"0",</v>
      </c>
      <c r="AT207" t="str">
        <f t="shared" si="79"/>
        <v>"division":"--",</v>
      </c>
      <c r="AU207" t="str">
        <f t="shared" si="80"/>
        <v>"bw":"0",</v>
      </c>
      <c r="AV207" t="str">
        <f t="shared" si="81"/>
        <v>"idx":"23",</v>
      </c>
      <c r="AW207" t="str">
        <f t="shared" si="82"/>
        <v>"sr":"0",</v>
      </c>
      <c r="AX207" t="str">
        <f t="shared" si="83"/>
        <v>"br":"0",</v>
      </c>
      <c r="AY207" t="str">
        <f t="shared" si="84"/>
        <v>"row":0,</v>
      </c>
      <c r="AZ207" t="s">
        <v>67</v>
      </c>
      <c r="BA207" t="str">
        <f t="shared" si="94"/>
        <v>"sq":{"a1":0,"a2":"","a3":"","s1":0,"s2":0,"s3":0},"bp":{"a1":0,"a2":"","a3":"","s1":0,"s2":0,"s3":0},"dl":{"a1":0,"a2":"","a3":"","s1":0,"s2":0,"s3":0},"sortOrder":0,"act":{}}</v>
      </c>
      <c r="BB207" t="str">
        <f t="shared" si="95"/>
        <v>"23":{"group":"A","lot":0,"name":"0","team":"0","year":"0","division":"--","bw":"0","idx":"23","sr":"0","br":"0","row":0,"sq":{"a1":0,"a2":"","a3":"","s1":0,"s2":0,"s3":0},"bp":{"a1":0,"a2":"","a3":"","s1":0,"s2":0,"s3":0},"dl":{"a1":0,"a2":"","a3":"","s1":0,"s2":0,"s3":0},"sortOrder":0,"act":{}}</v>
      </c>
    </row>
    <row r="208" spans="5:54" x14ac:dyDescent="0.25">
      <c r="E208" s="163"/>
      <c r="F208" s="126"/>
      <c r="G208" s="126"/>
      <c r="H208" s="126"/>
      <c r="I208" s="126"/>
      <c r="J208" s="126"/>
      <c r="K208" s="126"/>
      <c r="L208" s="126"/>
      <c r="M208" s="126"/>
      <c r="N208" s="126"/>
      <c r="O208" s="126"/>
      <c r="P208" s="126"/>
      <c r="Q208" s="126"/>
      <c r="R208" s="126"/>
      <c r="S208" s="126"/>
      <c r="T208" s="127"/>
      <c r="U208" s="128"/>
      <c r="V208" s="128"/>
      <c r="W208" s="129"/>
      <c r="Z208" s="15" t="str">
        <f t="shared" si="73"/>
        <v>A</v>
      </c>
      <c r="AA208" s="8">
        <f t="shared" si="85"/>
        <v>0</v>
      </c>
      <c r="AB208" s="9">
        <f t="shared" si="88"/>
        <v>0</v>
      </c>
      <c r="AC208" s="8">
        <f t="shared" si="86"/>
        <v>0</v>
      </c>
      <c r="AD208" s="8">
        <f t="shared" si="87"/>
        <v>0</v>
      </c>
      <c r="AE208" s="8" t="str">
        <f t="shared" si="89"/>
        <v>--</v>
      </c>
      <c r="AF208" s="10">
        <f t="shared" si="90"/>
        <v>0</v>
      </c>
      <c r="AG208" s="8">
        <v>23</v>
      </c>
      <c r="AH208" s="9">
        <f t="shared" si="91"/>
        <v>0</v>
      </c>
      <c r="AI208" s="11">
        <f t="shared" si="92"/>
        <v>0</v>
      </c>
      <c r="AJ208" s="6"/>
      <c r="AK208" s="6"/>
      <c r="AL208" s="6"/>
      <c r="AN208" t="str">
        <f t="shared" si="74"/>
        <v>"23":{</v>
      </c>
      <c r="AO208" t="str">
        <f t="shared" si="75"/>
        <v>"group":"A",</v>
      </c>
      <c r="AP208" t="str">
        <f t="shared" si="93"/>
        <v>"lot":0,</v>
      </c>
      <c r="AQ208" t="str">
        <f t="shared" si="76"/>
        <v>"name":"0",</v>
      </c>
      <c r="AR208" t="str">
        <f t="shared" si="77"/>
        <v>"team":"0",</v>
      </c>
      <c r="AS208" t="str">
        <f t="shared" si="78"/>
        <v>"year":"0",</v>
      </c>
      <c r="AT208" t="str">
        <f t="shared" si="79"/>
        <v>"division":"--",</v>
      </c>
      <c r="AU208" t="str">
        <f t="shared" si="80"/>
        <v>"bw":"0",</v>
      </c>
      <c r="AV208" t="str">
        <f t="shared" si="81"/>
        <v>"idx":"23",</v>
      </c>
      <c r="AW208" t="str">
        <f t="shared" si="82"/>
        <v>"sr":"0",</v>
      </c>
      <c r="AX208" t="str">
        <f t="shared" si="83"/>
        <v>"br":"0",</v>
      </c>
      <c r="AY208" t="str">
        <f t="shared" si="84"/>
        <v>"row":0,</v>
      </c>
      <c r="AZ208" t="s">
        <v>67</v>
      </c>
      <c r="BA208" t="str">
        <f t="shared" si="94"/>
        <v>"sq":{"a1":0,"a2":"","a3":"","s1":0,"s2":0,"s3":0},"bp":{"a1":0,"a2":"","a3":"","s1":0,"s2":0,"s3":0},"dl":{"a1":0,"a2":"","a3":"","s1":0,"s2":0,"s3":0},"sortOrder":0,"act":{}}</v>
      </c>
      <c r="BB208" t="str">
        <f t="shared" si="95"/>
        <v>"23":{"group":"A","lot":0,"name":"0","team":"0","year":"0","division":"--","bw":"0","idx":"23","sr":"0","br":"0","row":0,"sq":{"a1":0,"a2":"","a3":"","s1":0,"s2":0,"s3":0},"bp":{"a1":0,"a2":"","a3":"","s1":0,"s2":0,"s3":0},"dl":{"a1":0,"a2":"","a3":"","s1":0,"s2":0,"s3":0},"sortOrder":0,"act":{}}</v>
      </c>
    </row>
    <row r="209" spans="5:54" x14ac:dyDescent="0.25">
      <c r="E209" s="163"/>
      <c r="F209" s="126"/>
      <c r="G209" s="126"/>
      <c r="H209" s="126"/>
      <c r="I209" s="126"/>
      <c r="J209" s="126"/>
      <c r="K209" s="126"/>
      <c r="L209" s="126"/>
      <c r="M209" s="126"/>
      <c r="N209" s="126"/>
      <c r="O209" s="126"/>
      <c r="P209" s="126"/>
      <c r="Q209" s="126"/>
      <c r="R209" s="126"/>
      <c r="S209" s="126"/>
      <c r="T209" s="127"/>
      <c r="U209" s="128"/>
      <c r="V209" s="128"/>
      <c r="W209" s="129"/>
      <c r="Z209" s="15" t="str">
        <f t="shared" si="73"/>
        <v>A</v>
      </c>
      <c r="AA209" s="8">
        <f t="shared" si="85"/>
        <v>0</v>
      </c>
      <c r="AB209" s="9">
        <f t="shared" si="88"/>
        <v>0</v>
      </c>
      <c r="AC209" s="8">
        <f t="shared" si="86"/>
        <v>0</v>
      </c>
      <c r="AD209" s="8">
        <f t="shared" si="87"/>
        <v>0</v>
      </c>
      <c r="AE209" s="8" t="str">
        <f t="shared" si="89"/>
        <v>--</v>
      </c>
      <c r="AF209" s="10">
        <f t="shared" si="90"/>
        <v>0</v>
      </c>
      <c r="AG209" s="8">
        <v>23</v>
      </c>
      <c r="AH209" s="9">
        <f t="shared" si="91"/>
        <v>0</v>
      </c>
      <c r="AI209" s="11">
        <f t="shared" si="92"/>
        <v>0</v>
      </c>
      <c r="AJ209" s="6"/>
      <c r="AK209" s="6"/>
      <c r="AL209" s="6"/>
      <c r="AN209" t="str">
        <f t="shared" si="74"/>
        <v>"23":{</v>
      </c>
      <c r="AO209" t="str">
        <f t="shared" si="75"/>
        <v>"group":"A",</v>
      </c>
      <c r="AP209" t="str">
        <f t="shared" si="93"/>
        <v>"lot":0,</v>
      </c>
      <c r="AQ209" t="str">
        <f t="shared" si="76"/>
        <v>"name":"0",</v>
      </c>
      <c r="AR209" t="str">
        <f t="shared" si="77"/>
        <v>"team":"0",</v>
      </c>
      <c r="AS209" t="str">
        <f t="shared" si="78"/>
        <v>"year":"0",</v>
      </c>
      <c r="AT209" t="str">
        <f t="shared" si="79"/>
        <v>"division":"--",</v>
      </c>
      <c r="AU209" t="str">
        <f t="shared" si="80"/>
        <v>"bw":"0",</v>
      </c>
      <c r="AV209" t="str">
        <f t="shared" si="81"/>
        <v>"idx":"23",</v>
      </c>
      <c r="AW209" t="str">
        <f t="shared" si="82"/>
        <v>"sr":"0",</v>
      </c>
      <c r="AX209" t="str">
        <f t="shared" si="83"/>
        <v>"br":"0",</v>
      </c>
      <c r="AY209" t="str">
        <f t="shared" si="84"/>
        <v>"row":0,</v>
      </c>
      <c r="AZ209" t="s">
        <v>67</v>
      </c>
      <c r="BA209" t="str">
        <f t="shared" si="94"/>
        <v>"sq":{"a1":0,"a2":"","a3":"","s1":0,"s2":0,"s3":0},"bp":{"a1":0,"a2":"","a3":"","s1":0,"s2":0,"s3":0},"dl":{"a1":0,"a2":"","a3":"","s1":0,"s2":0,"s3":0},"sortOrder":0,"act":{}}</v>
      </c>
      <c r="BB209" t="str">
        <f t="shared" si="95"/>
        <v>"23":{"group":"A","lot":0,"name":"0","team":"0","year":"0","division":"--","bw":"0","idx":"23","sr":"0","br":"0","row":0,"sq":{"a1":0,"a2":"","a3":"","s1":0,"s2":0,"s3":0},"bp":{"a1":0,"a2":"","a3":"","s1":0,"s2":0,"s3":0},"dl":{"a1":0,"a2":"","a3":"","s1":0,"s2":0,"s3":0},"sortOrder":0,"act":{}}</v>
      </c>
    </row>
    <row r="210" spans="5:54" x14ac:dyDescent="0.25">
      <c r="E210" s="163"/>
      <c r="F210" s="126"/>
      <c r="G210" s="126"/>
      <c r="H210" s="126"/>
      <c r="I210" s="126"/>
      <c r="J210" s="126"/>
      <c r="K210" s="126"/>
      <c r="L210" s="126"/>
      <c r="M210" s="126"/>
      <c r="N210" s="126"/>
      <c r="O210" s="126"/>
      <c r="P210" s="126"/>
      <c r="Q210" s="126"/>
      <c r="R210" s="126"/>
      <c r="S210" s="126"/>
      <c r="T210" s="127"/>
      <c r="U210" s="128"/>
      <c r="V210" s="128"/>
      <c r="W210" s="129"/>
      <c r="Z210" s="15" t="str">
        <f t="shared" si="73"/>
        <v>A</v>
      </c>
      <c r="AA210" s="8">
        <f t="shared" si="85"/>
        <v>0</v>
      </c>
      <c r="AB210" s="9">
        <f t="shared" si="88"/>
        <v>0</v>
      </c>
      <c r="AC210" s="8">
        <f t="shared" si="86"/>
        <v>0</v>
      </c>
      <c r="AD210" s="8">
        <f t="shared" si="87"/>
        <v>0</v>
      </c>
      <c r="AE210" s="8" t="str">
        <f t="shared" si="89"/>
        <v>--</v>
      </c>
      <c r="AF210" s="10">
        <f t="shared" si="90"/>
        <v>0</v>
      </c>
      <c r="AG210" s="8">
        <v>23</v>
      </c>
      <c r="AH210" s="9">
        <f t="shared" si="91"/>
        <v>0</v>
      </c>
      <c r="AI210" s="11">
        <f t="shared" si="92"/>
        <v>0</v>
      </c>
      <c r="AJ210" s="6"/>
      <c r="AK210" s="6"/>
      <c r="AL210" s="6"/>
      <c r="AN210" t="str">
        <f t="shared" si="74"/>
        <v>"23":{</v>
      </c>
      <c r="AO210" t="str">
        <f t="shared" si="75"/>
        <v>"group":"A",</v>
      </c>
      <c r="AP210" t="str">
        <f t="shared" si="93"/>
        <v>"lot":0,</v>
      </c>
      <c r="AQ210" t="str">
        <f t="shared" si="76"/>
        <v>"name":"0",</v>
      </c>
      <c r="AR210" t="str">
        <f t="shared" si="77"/>
        <v>"team":"0",</v>
      </c>
      <c r="AS210" t="str">
        <f t="shared" si="78"/>
        <v>"year":"0",</v>
      </c>
      <c r="AT210" t="str">
        <f t="shared" si="79"/>
        <v>"division":"--",</v>
      </c>
      <c r="AU210" t="str">
        <f t="shared" si="80"/>
        <v>"bw":"0",</v>
      </c>
      <c r="AV210" t="str">
        <f t="shared" si="81"/>
        <v>"idx":"23",</v>
      </c>
      <c r="AW210" t="str">
        <f t="shared" si="82"/>
        <v>"sr":"0",</v>
      </c>
      <c r="AX210" t="str">
        <f t="shared" si="83"/>
        <v>"br":"0",</v>
      </c>
      <c r="AY210" t="str">
        <f t="shared" si="84"/>
        <v>"row":0,</v>
      </c>
      <c r="AZ210" t="s">
        <v>67</v>
      </c>
      <c r="BA210" t="str">
        <f t="shared" si="94"/>
        <v>"sq":{"a1":0,"a2":"","a3":"","s1":0,"s2":0,"s3":0},"bp":{"a1":0,"a2":"","a3":"","s1":0,"s2":0,"s3":0},"dl":{"a1":0,"a2":"","a3":"","s1":0,"s2":0,"s3":0},"sortOrder":0,"act":{}}</v>
      </c>
      <c r="BB210" t="str">
        <f t="shared" si="95"/>
        <v>"23":{"group":"A","lot":0,"name":"0","team":"0","year":"0","division":"--","bw":"0","idx":"23","sr":"0","br":"0","row":0,"sq":{"a1":0,"a2":"","a3":"","s1":0,"s2":0,"s3":0},"bp":{"a1":0,"a2":"","a3":"","s1":0,"s2":0,"s3":0},"dl":{"a1":0,"a2":"","a3":"","s1":0,"s2":0,"s3":0},"sortOrder":0,"act":{}}</v>
      </c>
    </row>
    <row r="211" spans="5:54" x14ac:dyDescent="0.25">
      <c r="E211" s="163"/>
      <c r="F211" s="126"/>
      <c r="G211" s="126"/>
      <c r="H211" s="126"/>
      <c r="I211" s="126"/>
      <c r="J211" s="126"/>
      <c r="K211" s="126"/>
      <c r="L211" s="126"/>
      <c r="M211" s="126"/>
      <c r="N211" s="126"/>
      <c r="O211" s="126"/>
      <c r="P211" s="126"/>
      <c r="Q211" s="126"/>
      <c r="R211" s="126"/>
      <c r="S211" s="126"/>
      <c r="T211" s="127"/>
      <c r="U211" s="128"/>
      <c r="V211" s="128"/>
      <c r="W211" s="129"/>
      <c r="Z211" s="15" t="str">
        <f t="shared" si="73"/>
        <v>A</v>
      </c>
      <c r="AA211" s="8">
        <f t="shared" si="85"/>
        <v>0</v>
      </c>
      <c r="AB211" s="9">
        <f t="shared" si="88"/>
        <v>0</v>
      </c>
      <c r="AC211" s="8">
        <f t="shared" si="86"/>
        <v>0</v>
      </c>
      <c r="AD211" s="8">
        <f t="shared" si="87"/>
        <v>0</v>
      </c>
      <c r="AE211" s="8" t="str">
        <f t="shared" si="89"/>
        <v>--</v>
      </c>
      <c r="AF211" s="10">
        <f t="shared" si="90"/>
        <v>0</v>
      </c>
      <c r="AG211" s="8">
        <v>23</v>
      </c>
      <c r="AH211" s="9">
        <f t="shared" si="91"/>
        <v>0</v>
      </c>
      <c r="AI211" s="11">
        <f t="shared" si="92"/>
        <v>0</v>
      </c>
      <c r="AJ211" s="6"/>
      <c r="AK211" s="6"/>
      <c r="AL211" s="6"/>
      <c r="AN211" t="str">
        <f t="shared" si="74"/>
        <v>"23":{</v>
      </c>
      <c r="AO211" t="str">
        <f t="shared" si="75"/>
        <v>"group":"A",</v>
      </c>
      <c r="AP211" t="str">
        <f t="shared" si="93"/>
        <v>"lot":0,</v>
      </c>
      <c r="AQ211" t="str">
        <f t="shared" si="76"/>
        <v>"name":"0",</v>
      </c>
      <c r="AR211" t="str">
        <f t="shared" si="77"/>
        <v>"team":"0",</v>
      </c>
      <c r="AS211" t="str">
        <f t="shared" si="78"/>
        <v>"year":"0",</v>
      </c>
      <c r="AT211" t="str">
        <f t="shared" si="79"/>
        <v>"division":"--",</v>
      </c>
      <c r="AU211" t="str">
        <f t="shared" si="80"/>
        <v>"bw":"0",</v>
      </c>
      <c r="AV211" t="str">
        <f t="shared" si="81"/>
        <v>"idx":"23",</v>
      </c>
      <c r="AW211" t="str">
        <f t="shared" si="82"/>
        <v>"sr":"0",</v>
      </c>
      <c r="AX211" t="str">
        <f t="shared" si="83"/>
        <v>"br":"0",</v>
      </c>
      <c r="AY211" t="str">
        <f t="shared" si="84"/>
        <v>"row":0,</v>
      </c>
      <c r="AZ211" t="s">
        <v>67</v>
      </c>
      <c r="BA211" t="str">
        <f t="shared" si="94"/>
        <v>"sq":{"a1":0,"a2":"","a3":"","s1":0,"s2":0,"s3":0},"bp":{"a1":0,"a2":"","a3":"","s1":0,"s2":0,"s3":0},"dl":{"a1":0,"a2":"","a3":"","s1":0,"s2":0,"s3":0},"sortOrder":0,"act":{}}</v>
      </c>
      <c r="BB211" t="str">
        <f t="shared" si="95"/>
        <v>"23":{"group":"A","lot":0,"name":"0","team":"0","year":"0","division":"--","bw":"0","idx":"23","sr":"0","br":"0","row":0,"sq":{"a1":0,"a2":"","a3":"","s1":0,"s2":0,"s3":0},"bp":{"a1":0,"a2":"","a3":"","s1":0,"s2":0,"s3":0},"dl":{"a1":0,"a2":"","a3":"","s1":0,"s2":0,"s3":0},"sortOrder":0,"act":{}}</v>
      </c>
    </row>
    <row r="212" spans="5:54" x14ac:dyDescent="0.25">
      <c r="E212" s="163"/>
      <c r="F212" s="126"/>
      <c r="G212" s="126"/>
      <c r="H212" s="126"/>
      <c r="I212" s="126"/>
      <c r="J212" s="126"/>
      <c r="K212" s="126"/>
      <c r="L212" s="126"/>
      <c r="M212" s="126"/>
      <c r="N212" s="126"/>
      <c r="O212" s="126"/>
      <c r="P212" s="126"/>
      <c r="Q212" s="126"/>
      <c r="R212" s="126"/>
      <c r="S212" s="126"/>
      <c r="T212" s="127"/>
      <c r="U212" s="128"/>
      <c r="V212" s="128"/>
      <c r="W212" s="129"/>
      <c r="Z212" s="15" t="str">
        <f t="shared" si="73"/>
        <v>A</v>
      </c>
      <c r="AA212" s="8">
        <f t="shared" si="85"/>
        <v>0</v>
      </c>
      <c r="AB212" s="9">
        <f t="shared" si="88"/>
        <v>0</v>
      </c>
      <c r="AC212" s="8">
        <f t="shared" si="86"/>
        <v>0</v>
      </c>
      <c r="AD212" s="8">
        <f t="shared" si="87"/>
        <v>0</v>
      </c>
      <c r="AE212" s="8" t="str">
        <f t="shared" si="89"/>
        <v>--</v>
      </c>
      <c r="AF212" s="10">
        <f t="shared" si="90"/>
        <v>0</v>
      </c>
      <c r="AG212" s="8">
        <v>23</v>
      </c>
      <c r="AH212" s="9">
        <f t="shared" si="91"/>
        <v>0</v>
      </c>
      <c r="AI212" s="11">
        <f t="shared" si="92"/>
        <v>0</v>
      </c>
      <c r="AJ212" s="6"/>
      <c r="AK212" s="6"/>
      <c r="AL212" s="6"/>
      <c r="AN212" t="str">
        <f t="shared" si="74"/>
        <v>"23":{</v>
      </c>
      <c r="AO212" t="str">
        <f t="shared" si="75"/>
        <v>"group":"A",</v>
      </c>
      <c r="AP212" t="str">
        <f t="shared" si="93"/>
        <v>"lot":0,</v>
      </c>
      <c r="AQ212" t="str">
        <f t="shared" si="76"/>
        <v>"name":"0",</v>
      </c>
      <c r="AR212" t="str">
        <f t="shared" si="77"/>
        <v>"team":"0",</v>
      </c>
      <c r="AS212" t="str">
        <f t="shared" si="78"/>
        <v>"year":"0",</v>
      </c>
      <c r="AT212" t="str">
        <f t="shared" si="79"/>
        <v>"division":"--",</v>
      </c>
      <c r="AU212" t="str">
        <f t="shared" si="80"/>
        <v>"bw":"0",</v>
      </c>
      <c r="AV212" t="str">
        <f t="shared" si="81"/>
        <v>"idx":"23",</v>
      </c>
      <c r="AW212" t="str">
        <f t="shared" si="82"/>
        <v>"sr":"0",</v>
      </c>
      <c r="AX212" t="str">
        <f t="shared" si="83"/>
        <v>"br":"0",</v>
      </c>
      <c r="AY212" t="str">
        <f t="shared" si="84"/>
        <v>"row":0,</v>
      </c>
      <c r="AZ212" t="s">
        <v>67</v>
      </c>
      <c r="BA212" t="str">
        <f t="shared" si="94"/>
        <v>"sq":{"a1":0,"a2":"","a3":"","s1":0,"s2":0,"s3":0},"bp":{"a1":0,"a2":"","a3":"","s1":0,"s2":0,"s3":0},"dl":{"a1":0,"a2":"","a3":"","s1":0,"s2":0,"s3":0},"sortOrder":0,"act":{}}</v>
      </c>
      <c r="BB212" t="str">
        <f t="shared" si="95"/>
        <v>"23":{"group":"A","lot":0,"name":"0","team":"0","year":"0","division":"--","bw":"0","idx":"23","sr":"0","br":"0","row":0,"sq":{"a1":0,"a2":"","a3":"","s1":0,"s2":0,"s3":0},"bp":{"a1":0,"a2":"","a3":"","s1":0,"s2":0,"s3":0},"dl":{"a1":0,"a2":"","a3":"","s1":0,"s2":0,"s3":0},"sortOrder":0,"act":{}}</v>
      </c>
    </row>
    <row r="213" spans="5:54" x14ac:dyDescent="0.25">
      <c r="E213" s="163"/>
      <c r="F213" s="126"/>
      <c r="G213" s="126"/>
      <c r="H213" s="126"/>
      <c r="I213" s="126"/>
      <c r="J213" s="126"/>
      <c r="K213" s="126"/>
      <c r="L213" s="126"/>
      <c r="M213" s="126"/>
      <c r="N213" s="126"/>
      <c r="O213" s="126"/>
      <c r="P213" s="126"/>
      <c r="Q213" s="126"/>
      <c r="R213" s="126"/>
      <c r="S213" s="126"/>
      <c r="T213" s="127"/>
      <c r="U213" s="128"/>
      <c r="V213" s="128"/>
      <c r="W213" s="129"/>
      <c r="Z213" s="15" t="str">
        <f t="shared" si="73"/>
        <v>A</v>
      </c>
      <c r="AA213" s="8">
        <f t="shared" si="85"/>
        <v>0</v>
      </c>
      <c r="AB213" s="9">
        <f t="shared" si="88"/>
        <v>0</v>
      </c>
      <c r="AC213" s="8">
        <f t="shared" si="86"/>
        <v>0</v>
      </c>
      <c r="AD213" s="8">
        <f t="shared" si="87"/>
        <v>0</v>
      </c>
      <c r="AE213" s="8" t="str">
        <f t="shared" si="89"/>
        <v>--</v>
      </c>
      <c r="AF213" s="10">
        <f t="shared" si="90"/>
        <v>0</v>
      </c>
      <c r="AG213" s="8">
        <v>23</v>
      </c>
      <c r="AH213" s="9">
        <f t="shared" si="91"/>
        <v>0</v>
      </c>
      <c r="AI213" s="11">
        <f t="shared" si="92"/>
        <v>0</v>
      </c>
      <c r="AJ213" s="6"/>
      <c r="AK213" s="6"/>
      <c r="AL213" s="6"/>
      <c r="AN213" t="str">
        <f t="shared" si="74"/>
        <v>"23":{</v>
      </c>
      <c r="AO213" t="str">
        <f t="shared" si="75"/>
        <v>"group":"A",</v>
      </c>
      <c r="AP213" t="str">
        <f t="shared" si="93"/>
        <v>"lot":0,</v>
      </c>
      <c r="AQ213" t="str">
        <f t="shared" si="76"/>
        <v>"name":"0",</v>
      </c>
      <c r="AR213" t="str">
        <f t="shared" si="77"/>
        <v>"team":"0",</v>
      </c>
      <c r="AS213" t="str">
        <f t="shared" si="78"/>
        <v>"year":"0",</v>
      </c>
      <c r="AT213" t="str">
        <f t="shared" si="79"/>
        <v>"division":"--",</v>
      </c>
      <c r="AU213" t="str">
        <f t="shared" si="80"/>
        <v>"bw":"0",</v>
      </c>
      <c r="AV213" t="str">
        <f t="shared" si="81"/>
        <v>"idx":"23",</v>
      </c>
      <c r="AW213" t="str">
        <f t="shared" si="82"/>
        <v>"sr":"0",</v>
      </c>
      <c r="AX213" t="str">
        <f t="shared" si="83"/>
        <v>"br":"0",</v>
      </c>
      <c r="AY213" t="str">
        <f t="shared" si="84"/>
        <v>"row":0,</v>
      </c>
      <c r="AZ213" t="s">
        <v>67</v>
      </c>
      <c r="BA213" t="str">
        <f t="shared" si="94"/>
        <v>"sq":{"a1":0,"a2":"","a3":"","s1":0,"s2":0,"s3":0},"bp":{"a1":0,"a2":"","a3":"","s1":0,"s2":0,"s3":0},"dl":{"a1":0,"a2":"","a3":"","s1":0,"s2":0,"s3":0},"sortOrder":0,"act":{}}</v>
      </c>
      <c r="BB213" t="str">
        <f t="shared" si="95"/>
        <v>"23":{"group":"A","lot":0,"name":"0","team":"0","year":"0","division":"--","bw":"0","idx":"23","sr":"0","br":"0","row":0,"sq":{"a1":0,"a2":"","a3":"","s1":0,"s2":0,"s3":0},"bp":{"a1":0,"a2":"","a3":"","s1":0,"s2":0,"s3":0},"dl":{"a1":0,"a2":"","a3":"","s1":0,"s2":0,"s3":0},"sortOrder":0,"act":{}}</v>
      </c>
    </row>
    <row r="214" spans="5:54" x14ac:dyDescent="0.25">
      <c r="E214" s="163"/>
      <c r="F214" s="126"/>
      <c r="G214" s="126"/>
      <c r="H214" s="126"/>
      <c r="I214" s="126"/>
      <c r="J214" s="126"/>
      <c r="K214" s="126"/>
      <c r="L214" s="126"/>
      <c r="M214" s="126"/>
      <c r="N214" s="126"/>
      <c r="O214" s="126"/>
      <c r="P214" s="126"/>
      <c r="Q214" s="126"/>
      <c r="R214" s="126"/>
      <c r="S214" s="126"/>
      <c r="T214" s="127"/>
      <c r="U214" s="128"/>
      <c r="V214" s="128"/>
      <c r="W214" s="129"/>
      <c r="Z214" s="15" t="str">
        <f t="shared" si="73"/>
        <v>A</v>
      </c>
      <c r="AA214" s="8">
        <f t="shared" si="85"/>
        <v>0</v>
      </c>
      <c r="AB214" s="9">
        <f t="shared" si="88"/>
        <v>0</v>
      </c>
      <c r="AC214" s="8">
        <f t="shared" si="86"/>
        <v>0</v>
      </c>
      <c r="AD214" s="8">
        <f t="shared" si="87"/>
        <v>0</v>
      </c>
      <c r="AE214" s="8" t="str">
        <f t="shared" si="89"/>
        <v>--</v>
      </c>
      <c r="AF214" s="10">
        <f t="shared" si="90"/>
        <v>0</v>
      </c>
      <c r="AG214" s="8">
        <v>23</v>
      </c>
      <c r="AH214" s="9">
        <f t="shared" si="91"/>
        <v>0</v>
      </c>
      <c r="AI214" s="11">
        <f t="shared" si="92"/>
        <v>0</v>
      </c>
      <c r="AJ214" s="6"/>
      <c r="AK214" s="6"/>
      <c r="AL214" s="6"/>
      <c r="AN214" t="str">
        <f t="shared" si="74"/>
        <v>"23":{</v>
      </c>
      <c r="AO214" t="str">
        <f t="shared" si="75"/>
        <v>"group":"A",</v>
      </c>
      <c r="AP214" t="str">
        <f t="shared" si="93"/>
        <v>"lot":0,</v>
      </c>
      <c r="AQ214" t="str">
        <f t="shared" si="76"/>
        <v>"name":"0",</v>
      </c>
      <c r="AR214" t="str">
        <f t="shared" si="77"/>
        <v>"team":"0",</v>
      </c>
      <c r="AS214" t="str">
        <f t="shared" si="78"/>
        <v>"year":"0",</v>
      </c>
      <c r="AT214" t="str">
        <f t="shared" si="79"/>
        <v>"division":"--",</v>
      </c>
      <c r="AU214" t="str">
        <f t="shared" si="80"/>
        <v>"bw":"0",</v>
      </c>
      <c r="AV214" t="str">
        <f t="shared" si="81"/>
        <v>"idx":"23",</v>
      </c>
      <c r="AW214" t="str">
        <f t="shared" si="82"/>
        <v>"sr":"0",</v>
      </c>
      <c r="AX214" t="str">
        <f t="shared" si="83"/>
        <v>"br":"0",</v>
      </c>
      <c r="AY214" t="str">
        <f t="shared" si="84"/>
        <v>"row":0,</v>
      </c>
      <c r="AZ214" t="s">
        <v>67</v>
      </c>
      <c r="BA214" t="str">
        <f t="shared" si="94"/>
        <v>"sq":{"a1":0,"a2":"","a3":"","s1":0,"s2":0,"s3":0},"bp":{"a1":0,"a2":"","a3":"","s1":0,"s2":0,"s3":0},"dl":{"a1":0,"a2":"","a3":"","s1":0,"s2":0,"s3":0},"sortOrder":0,"act":{}}</v>
      </c>
      <c r="BB214" t="str">
        <f t="shared" si="95"/>
        <v>"23":{"group":"A","lot":0,"name":"0","team":"0","year":"0","division":"--","bw":"0","idx":"23","sr":"0","br":"0","row":0,"sq":{"a1":0,"a2":"","a3":"","s1":0,"s2":0,"s3":0},"bp":{"a1":0,"a2":"","a3":"","s1":0,"s2":0,"s3":0},"dl":{"a1":0,"a2":"","a3":"","s1":0,"s2":0,"s3":0},"sortOrder":0,"act":{}}</v>
      </c>
    </row>
    <row r="215" spans="5:54" x14ac:dyDescent="0.25">
      <c r="E215" s="163"/>
      <c r="F215" s="126"/>
      <c r="G215" s="126"/>
      <c r="H215" s="126"/>
      <c r="I215" s="126"/>
      <c r="J215" s="126"/>
      <c r="K215" s="126"/>
      <c r="L215" s="126"/>
      <c r="M215" s="126"/>
      <c r="N215" s="126"/>
      <c r="O215" s="126"/>
      <c r="P215" s="126"/>
      <c r="Q215" s="126"/>
      <c r="R215" s="126"/>
      <c r="S215" s="126"/>
      <c r="T215" s="127"/>
      <c r="U215" s="128"/>
      <c r="V215" s="128"/>
      <c r="W215" s="129"/>
      <c r="Z215" s="15" t="str">
        <f t="shared" si="73"/>
        <v>A</v>
      </c>
      <c r="AA215" s="8">
        <f t="shared" si="85"/>
        <v>0</v>
      </c>
      <c r="AB215" s="9">
        <f t="shared" si="88"/>
        <v>0</v>
      </c>
      <c r="AC215" s="8">
        <f t="shared" si="86"/>
        <v>0</v>
      </c>
      <c r="AD215" s="8">
        <f t="shared" si="87"/>
        <v>0</v>
      </c>
      <c r="AE215" s="8" t="str">
        <f t="shared" si="89"/>
        <v>--</v>
      </c>
      <c r="AF215" s="10">
        <f t="shared" si="90"/>
        <v>0</v>
      </c>
      <c r="AG215" s="8">
        <v>23</v>
      </c>
      <c r="AH215" s="9">
        <f t="shared" si="91"/>
        <v>0</v>
      </c>
      <c r="AI215" s="11">
        <f t="shared" si="92"/>
        <v>0</v>
      </c>
      <c r="AJ215" s="6"/>
      <c r="AK215" s="6"/>
      <c r="AL215" s="6"/>
      <c r="AN215" t="str">
        <f t="shared" si="74"/>
        <v>"23":{</v>
      </c>
      <c r="AO215" t="str">
        <f t="shared" si="75"/>
        <v>"group":"A",</v>
      </c>
      <c r="AP215" t="str">
        <f t="shared" si="93"/>
        <v>"lot":0,</v>
      </c>
      <c r="AQ215" t="str">
        <f t="shared" si="76"/>
        <v>"name":"0",</v>
      </c>
      <c r="AR215" t="str">
        <f t="shared" si="77"/>
        <v>"team":"0",</v>
      </c>
      <c r="AS215" t="str">
        <f t="shared" si="78"/>
        <v>"year":"0",</v>
      </c>
      <c r="AT215" t="str">
        <f t="shared" si="79"/>
        <v>"division":"--",</v>
      </c>
      <c r="AU215" t="str">
        <f t="shared" si="80"/>
        <v>"bw":"0",</v>
      </c>
      <c r="AV215" t="str">
        <f t="shared" si="81"/>
        <v>"idx":"23",</v>
      </c>
      <c r="AW215" t="str">
        <f t="shared" si="82"/>
        <v>"sr":"0",</v>
      </c>
      <c r="AX215" t="str">
        <f t="shared" si="83"/>
        <v>"br":"0",</v>
      </c>
      <c r="AY215" t="str">
        <f t="shared" si="84"/>
        <v>"row":0,</v>
      </c>
      <c r="AZ215" t="s">
        <v>67</v>
      </c>
      <c r="BA215" t="str">
        <f t="shared" si="94"/>
        <v>"sq":{"a1":0,"a2":"","a3":"","s1":0,"s2":0,"s3":0},"bp":{"a1":0,"a2":"","a3":"","s1":0,"s2":0,"s3":0},"dl":{"a1":0,"a2":"","a3":"","s1":0,"s2":0,"s3":0},"sortOrder":0,"act":{}}</v>
      </c>
      <c r="BB215" t="str">
        <f t="shared" si="95"/>
        <v>"23":{"group":"A","lot":0,"name":"0","team":"0","year":"0","division":"--","bw":"0","idx":"23","sr":"0","br":"0","row":0,"sq":{"a1":0,"a2":"","a3":"","s1":0,"s2":0,"s3":0},"bp":{"a1":0,"a2":"","a3":"","s1":0,"s2":0,"s3":0},"dl":{"a1":0,"a2":"","a3":"","s1":0,"s2":0,"s3":0},"sortOrder":0,"act":{}}</v>
      </c>
    </row>
    <row r="216" spans="5:54" x14ac:dyDescent="0.25">
      <c r="E216" s="163"/>
      <c r="F216" s="126"/>
      <c r="G216" s="126"/>
      <c r="H216" s="126"/>
      <c r="I216" s="126"/>
      <c r="J216" s="126"/>
      <c r="K216" s="126"/>
      <c r="L216" s="126"/>
      <c r="M216" s="126"/>
      <c r="N216" s="126"/>
      <c r="O216" s="126"/>
      <c r="P216" s="126"/>
      <c r="Q216" s="126"/>
      <c r="R216" s="126"/>
      <c r="S216" s="126"/>
      <c r="T216" s="127"/>
      <c r="U216" s="128"/>
      <c r="V216" s="128"/>
      <c r="W216" s="129"/>
      <c r="Z216" s="15" t="str">
        <f t="shared" si="73"/>
        <v>A</v>
      </c>
      <c r="AA216" s="8">
        <f t="shared" si="85"/>
        <v>0</v>
      </c>
      <c r="AB216" s="9">
        <f t="shared" si="88"/>
        <v>0</v>
      </c>
      <c r="AC216" s="8">
        <f t="shared" si="86"/>
        <v>0</v>
      </c>
      <c r="AD216" s="8">
        <f t="shared" si="87"/>
        <v>0</v>
      </c>
      <c r="AE216" s="8" t="str">
        <f t="shared" si="89"/>
        <v>--</v>
      </c>
      <c r="AF216" s="10">
        <f t="shared" si="90"/>
        <v>0</v>
      </c>
      <c r="AG216" s="8">
        <v>23</v>
      </c>
      <c r="AH216" s="9">
        <f t="shared" si="91"/>
        <v>0</v>
      </c>
      <c r="AI216" s="11">
        <f t="shared" si="92"/>
        <v>0</v>
      </c>
      <c r="AJ216" s="6"/>
      <c r="AK216" s="6"/>
      <c r="AL216" s="6"/>
      <c r="AN216" t="str">
        <f t="shared" si="74"/>
        <v>"23":{</v>
      </c>
      <c r="AO216" t="str">
        <f t="shared" si="75"/>
        <v>"group":"A",</v>
      </c>
      <c r="AP216" t="str">
        <f t="shared" si="93"/>
        <v>"lot":0,</v>
      </c>
      <c r="AQ216" t="str">
        <f t="shared" si="76"/>
        <v>"name":"0",</v>
      </c>
      <c r="AR216" t="str">
        <f t="shared" si="77"/>
        <v>"team":"0",</v>
      </c>
      <c r="AS216" t="str">
        <f t="shared" si="78"/>
        <v>"year":"0",</v>
      </c>
      <c r="AT216" t="str">
        <f t="shared" si="79"/>
        <v>"division":"--",</v>
      </c>
      <c r="AU216" t="str">
        <f t="shared" si="80"/>
        <v>"bw":"0",</v>
      </c>
      <c r="AV216" t="str">
        <f t="shared" si="81"/>
        <v>"idx":"23",</v>
      </c>
      <c r="AW216" t="str">
        <f t="shared" si="82"/>
        <v>"sr":"0",</v>
      </c>
      <c r="AX216" t="str">
        <f t="shared" si="83"/>
        <v>"br":"0",</v>
      </c>
      <c r="AY216" t="str">
        <f t="shared" si="84"/>
        <v>"row":0,</v>
      </c>
      <c r="AZ216" t="s">
        <v>67</v>
      </c>
      <c r="BA216" t="str">
        <f t="shared" si="94"/>
        <v>"sq":{"a1":0,"a2":"","a3":"","s1":0,"s2":0,"s3":0},"bp":{"a1":0,"a2":"","a3":"","s1":0,"s2":0,"s3":0},"dl":{"a1":0,"a2":"","a3":"","s1":0,"s2":0,"s3":0},"sortOrder":0,"act":{}}</v>
      </c>
      <c r="BB216" t="str">
        <f t="shared" si="95"/>
        <v>"23":{"group":"A","lot":0,"name":"0","team":"0","year":"0","division":"--","bw":"0","idx":"23","sr":"0","br":"0","row":0,"sq":{"a1":0,"a2":"","a3":"","s1":0,"s2":0,"s3":0},"bp":{"a1":0,"a2":"","a3":"","s1":0,"s2":0,"s3":0},"dl":{"a1":0,"a2":"","a3":"","s1":0,"s2":0,"s3":0},"sortOrder":0,"act":{}}</v>
      </c>
    </row>
    <row r="217" spans="5:54" x14ac:dyDescent="0.25">
      <c r="E217" s="163"/>
      <c r="F217" s="126"/>
      <c r="G217" s="126"/>
      <c r="H217" s="126"/>
      <c r="I217" s="126"/>
      <c r="J217" s="126"/>
      <c r="K217" s="126"/>
      <c r="L217" s="126"/>
      <c r="M217" s="126"/>
      <c r="N217" s="126"/>
      <c r="O217" s="126"/>
      <c r="P217" s="126"/>
      <c r="Q217" s="126"/>
      <c r="R217" s="126"/>
      <c r="S217" s="126"/>
      <c r="T217" s="127"/>
      <c r="U217" s="128"/>
      <c r="V217" s="128"/>
      <c r="W217" s="129"/>
      <c r="Z217" s="15" t="str">
        <f t="shared" si="73"/>
        <v>A</v>
      </c>
      <c r="AA217" s="8">
        <f t="shared" si="85"/>
        <v>0</v>
      </c>
      <c r="AB217" s="9">
        <f t="shared" si="88"/>
        <v>0</v>
      </c>
      <c r="AC217" s="8">
        <f t="shared" si="86"/>
        <v>0</v>
      </c>
      <c r="AD217" s="8">
        <f t="shared" si="87"/>
        <v>0</v>
      </c>
      <c r="AE217" s="8" t="str">
        <f t="shared" si="89"/>
        <v>--</v>
      </c>
      <c r="AF217" s="10">
        <f t="shared" si="90"/>
        <v>0</v>
      </c>
      <c r="AG217" s="8">
        <v>23</v>
      </c>
      <c r="AH217" s="9">
        <f t="shared" si="91"/>
        <v>0</v>
      </c>
      <c r="AI217" s="11">
        <f t="shared" si="92"/>
        <v>0</v>
      </c>
      <c r="AJ217" s="6"/>
      <c r="AK217" s="6"/>
      <c r="AL217" s="6"/>
      <c r="AN217" t="str">
        <f t="shared" si="74"/>
        <v>"23":{</v>
      </c>
      <c r="AO217" t="str">
        <f t="shared" si="75"/>
        <v>"group":"A",</v>
      </c>
      <c r="AP217" t="str">
        <f t="shared" si="93"/>
        <v>"lot":0,</v>
      </c>
      <c r="AQ217" t="str">
        <f t="shared" si="76"/>
        <v>"name":"0",</v>
      </c>
      <c r="AR217" t="str">
        <f t="shared" si="77"/>
        <v>"team":"0",</v>
      </c>
      <c r="AS217" t="str">
        <f t="shared" si="78"/>
        <v>"year":"0",</v>
      </c>
      <c r="AT217" t="str">
        <f t="shared" si="79"/>
        <v>"division":"--",</v>
      </c>
      <c r="AU217" t="str">
        <f t="shared" si="80"/>
        <v>"bw":"0",</v>
      </c>
      <c r="AV217" t="str">
        <f t="shared" si="81"/>
        <v>"idx":"23",</v>
      </c>
      <c r="AW217" t="str">
        <f t="shared" si="82"/>
        <v>"sr":"0",</v>
      </c>
      <c r="AX217" t="str">
        <f t="shared" si="83"/>
        <v>"br":"0",</v>
      </c>
      <c r="AY217" t="str">
        <f t="shared" si="84"/>
        <v>"row":0,</v>
      </c>
      <c r="AZ217" t="s">
        <v>67</v>
      </c>
      <c r="BA217" t="str">
        <f t="shared" si="94"/>
        <v>"sq":{"a1":0,"a2":"","a3":"","s1":0,"s2":0,"s3":0},"bp":{"a1":0,"a2":"","a3":"","s1":0,"s2":0,"s3":0},"dl":{"a1":0,"a2":"","a3":"","s1":0,"s2":0,"s3":0},"sortOrder":0,"act":{}}</v>
      </c>
      <c r="BB217" t="str">
        <f t="shared" si="95"/>
        <v>"23":{"group":"A","lot":0,"name":"0","team":"0","year":"0","division":"--","bw":"0","idx":"23","sr":"0","br":"0","row":0,"sq":{"a1":0,"a2":"","a3":"","s1":0,"s2":0,"s3":0},"bp":{"a1":0,"a2":"","a3":"","s1":0,"s2":0,"s3":0},"dl":{"a1":0,"a2":"","a3":"","s1":0,"s2":0,"s3":0},"sortOrder":0,"act":{}}</v>
      </c>
    </row>
    <row r="218" spans="5:54" x14ac:dyDescent="0.25">
      <c r="E218" s="163"/>
      <c r="F218" s="126"/>
      <c r="G218" s="126"/>
      <c r="H218" s="126"/>
      <c r="I218" s="126"/>
      <c r="J218" s="126"/>
      <c r="K218" s="126"/>
      <c r="L218" s="126"/>
      <c r="M218" s="126"/>
      <c r="N218" s="126"/>
      <c r="O218" s="126"/>
      <c r="P218" s="126"/>
      <c r="Q218" s="126"/>
      <c r="R218" s="126"/>
      <c r="S218" s="126"/>
      <c r="T218" s="127"/>
      <c r="U218" s="128"/>
      <c r="V218" s="128"/>
      <c r="W218" s="129"/>
      <c r="Z218" s="15" t="str">
        <f t="shared" si="73"/>
        <v>A</v>
      </c>
      <c r="AA218" s="8">
        <f t="shared" si="85"/>
        <v>0</v>
      </c>
      <c r="AB218" s="9">
        <f t="shared" si="88"/>
        <v>0</v>
      </c>
      <c r="AC218" s="8">
        <f t="shared" si="86"/>
        <v>0</v>
      </c>
      <c r="AD218" s="8">
        <f t="shared" si="87"/>
        <v>0</v>
      </c>
      <c r="AE218" s="8" t="str">
        <f t="shared" si="89"/>
        <v>--</v>
      </c>
      <c r="AF218" s="10">
        <f t="shared" si="90"/>
        <v>0</v>
      </c>
      <c r="AG218" s="8">
        <v>23</v>
      </c>
      <c r="AH218" s="9">
        <f t="shared" si="91"/>
        <v>0</v>
      </c>
      <c r="AI218" s="11">
        <f t="shared" si="92"/>
        <v>0</v>
      </c>
      <c r="AJ218" s="6"/>
      <c r="AK218" s="6"/>
      <c r="AL218" s="6"/>
      <c r="AN218" t="str">
        <f t="shared" si="74"/>
        <v>"23":{</v>
      </c>
      <c r="AO218" t="str">
        <f t="shared" si="75"/>
        <v>"group":"A",</v>
      </c>
      <c r="AP218" t="str">
        <f t="shared" si="93"/>
        <v>"lot":0,</v>
      </c>
      <c r="AQ218" t="str">
        <f t="shared" si="76"/>
        <v>"name":"0",</v>
      </c>
      <c r="AR218" t="str">
        <f t="shared" si="77"/>
        <v>"team":"0",</v>
      </c>
      <c r="AS218" t="str">
        <f t="shared" si="78"/>
        <v>"year":"0",</v>
      </c>
      <c r="AT218" t="str">
        <f t="shared" si="79"/>
        <v>"division":"--",</v>
      </c>
      <c r="AU218" t="str">
        <f t="shared" si="80"/>
        <v>"bw":"0",</v>
      </c>
      <c r="AV218" t="str">
        <f t="shared" si="81"/>
        <v>"idx":"23",</v>
      </c>
      <c r="AW218" t="str">
        <f t="shared" si="82"/>
        <v>"sr":"0",</v>
      </c>
      <c r="AX218" t="str">
        <f t="shared" si="83"/>
        <v>"br":"0",</v>
      </c>
      <c r="AY218" t="str">
        <f t="shared" si="84"/>
        <v>"row":0,</v>
      </c>
      <c r="AZ218" t="s">
        <v>67</v>
      </c>
      <c r="BA218" t="str">
        <f t="shared" si="94"/>
        <v>"sq":{"a1":0,"a2":"","a3":"","s1":0,"s2":0,"s3":0},"bp":{"a1":0,"a2":"","a3":"","s1":0,"s2":0,"s3":0},"dl":{"a1":0,"a2":"","a3":"","s1":0,"s2":0,"s3":0},"sortOrder":0,"act":{}}</v>
      </c>
      <c r="BB218" t="str">
        <f t="shared" si="95"/>
        <v>"23":{"group":"A","lot":0,"name":"0","team":"0","year":"0","division":"--","bw":"0","idx":"23","sr":"0","br":"0","row":0,"sq":{"a1":0,"a2":"","a3":"","s1":0,"s2":0,"s3":0},"bp":{"a1":0,"a2":"","a3":"","s1":0,"s2":0,"s3":0},"dl":{"a1":0,"a2":"","a3":"","s1":0,"s2":0,"s3":0},"sortOrder":0,"act":{}}</v>
      </c>
    </row>
    <row r="219" spans="5:54" x14ac:dyDescent="0.25">
      <c r="E219" s="163"/>
      <c r="F219" s="126"/>
      <c r="G219" s="126"/>
      <c r="H219" s="126"/>
      <c r="I219" s="126"/>
      <c r="J219" s="126"/>
      <c r="K219" s="126"/>
      <c r="L219" s="126"/>
      <c r="M219" s="126"/>
      <c r="N219" s="126"/>
      <c r="O219" s="126"/>
      <c r="P219" s="126"/>
      <c r="Q219" s="126"/>
      <c r="R219" s="126"/>
      <c r="S219" s="126"/>
      <c r="T219" s="127"/>
      <c r="U219" s="128"/>
      <c r="V219" s="128"/>
      <c r="W219" s="129"/>
      <c r="Z219" s="15" t="str">
        <f t="shared" si="73"/>
        <v>A</v>
      </c>
      <c r="AA219" s="8">
        <f t="shared" si="85"/>
        <v>0</v>
      </c>
      <c r="AB219" s="9">
        <f t="shared" si="88"/>
        <v>0</v>
      </c>
      <c r="AC219" s="8">
        <f t="shared" si="86"/>
        <v>0</v>
      </c>
      <c r="AD219" s="8">
        <f t="shared" si="87"/>
        <v>0</v>
      </c>
      <c r="AE219" s="8" t="str">
        <f t="shared" si="89"/>
        <v>--</v>
      </c>
      <c r="AF219" s="10">
        <f t="shared" si="90"/>
        <v>0</v>
      </c>
      <c r="AG219" s="8">
        <v>23</v>
      </c>
      <c r="AH219" s="9">
        <f t="shared" si="91"/>
        <v>0</v>
      </c>
      <c r="AI219" s="11">
        <f t="shared" si="92"/>
        <v>0</v>
      </c>
      <c r="AJ219" s="6"/>
      <c r="AK219" s="6"/>
      <c r="AL219" s="6"/>
      <c r="AN219" t="str">
        <f t="shared" si="74"/>
        <v>"23":{</v>
      </c>
      <c r="AO219" t="str">
        <f t="shared" si="75"/>
        <v>"group":"A",</v>
      </c>
      <c r="AP219" t="str">
        <f t="shared" si="93"/>
        <v>"lot":0,</v>
      </c>
      <c r="AQ219" t="str">
        <f t="shared" si="76"/>
        <v>"name":"0",</v>
      </c>
      <c r="AR219" t="str">
        <f t="shared" si="77"/>
        <v>"team":"0",</v>
      </c>
      <c r="AS219" t="str">
        <f t="shared" si="78"/>
        <v>"year":"0",</v>
      </c>
      <c r="AT219" t="str">
        <f t="shared" si="79"/>
        <v>"division":"--",</v>
      </c>
      <c r="AU219" t="str">
        <f t="shared" si="80"/>
        <v>"bw":"0",</v>
      </c>
      <c r="AV219" t="str">
        <f t="shared" si="81"/>
        <v>"idx":"23",</v>
      </c>
      <c r="AW219" t="str">
        <f t="shared" si="82"/>
        <v>"sr":"0",</v>
      </c>
      <c r="AX219" t="str">
        <f t="shared" si="83"/>
        <v>"br":"0",</v>
      </c>
      <c r="AY219" t="str">
        <f t="shared" si="84"/>
        <v>"row":0,</v>
      </c>
      <c r="AZ219" t="s">
        <v>67</v>
      </c>
      <c r="BA219" t="str">
        <f t="shared" si="94"/>
        <v>"sq":{"a1":0,"a2":"","a3":"","s1":0,"s2":0,"s3":0},"bp":{"a1":0,"a2":"","a3":"","s1":0,"s2":0,"s3":0},"dl":{"a1":0,"a2":"","a3":"","s1":0,"s2":0,"s3":0},"sortOrder":0,"act":{}}</v>
      </c>
      <c r="BB219" t="str">
        <f t="shared" si="95"/>
        <v>"23":{"group":"A","lot":0,"name":"0","team":"0","year":"0","division":"--","bw":"0","idx":"23","sr":"0","br":"0","row":0,"sq":{"a1":0,"a2":"","a3":"","s1":0,"s2":0,"s3":0},"bp":{"a1":0,"a2":"","a3":"","s1":0,"s2":0,"s3":0},"dl":{"a1":0,"a2":"","a3":"","s1":0,"s2":0,"s3":0},"sortOrder":0,"act":{}}</v>
      </c>
    </row>
    <row r="220" spans="5:54" x14ac:dyDescent="0.25">
      <c r="E220" s="163"/>
      <c r="F220" s="126"/>
      <c r="G220" s="126"/>
      <c r="H220" s="126"/>
      <c r="I220" s="126"/>
      <c r="J220" s="126"/>
      <c r="K220" s="126"/>
      <c r="L220" s="126"/>
      <c r="M220" s="126"/>
      <c r="N220" s="126"/>
      <c r="O220" s="126"/>
      <c r="P220" s="126"/>
      <c r="Q220" s="126"/>
      <c r="R220" s="126"/>
      <c r="S220" s="126"/>
      <c r="T220" s="127"/>
      <c r="U220" s="128"/>
      <c r="V220" s="128"/>
      <c r="W220" s="129"/>
      <c r="Z220" s="15" t="str">
        <f t="shared" si="73"/>
        <v>A</v>
      </c>
      <c r="AA220" s="8">
        <f t="shared" si="85"/>
        <v>0</v>
      </c>
      <c r="AB220" s="9">
        <f t="shared" si="88"/>
        <v>0</v>
      </c>
      <c r="AC220" s="8">
        <f t="shared" si="86"/>
        <v>0</v>
      </c>
      <c r="AD220" s="8">
        <f t="shared" si="87"/>
        <v>0</v>
      </c>
      <c r="AE220" s="8" t="str">
        <f t="shared" si="89"/>
        <v>--</v>
      </c>
      <c r="AF220" s="10">
        <f t="shared" si="90"/>
        <v>0</v>
      </c>
      <c r="AG220" s="8">
        <v>23</v>
      </c>
      <c r="AH220" s="9">
        <f t="shared" si="91"/>
        <v>0</v>
      </c>
      <c r="AI220" s="11">
        <f t="shared" si="92"/>
        <v>0</v>
      </c>
      <c r="AJ220" s="6"/>
      <c r="AK220" s="6"/>
      <c r="AL220" s="6"/>
      <c r="AN220" t="str">
        <f t="shared" si="74"/>
        <v>"23":{</v>
      </c>
      <c r="AO220" t="str">
        <f t="shared" si="75"/>
        <v>"group":"A",</v>
      </c>
      <c r="AP220" t="str">
        <f t="shared" si="93"/>
        <v>"lot":0,</v>
      </c>
      <c r="AQ220" t="str">
        <f t="shared" si="76"/>
        <v>"name":"0",</v>
      </c>
      <c r="AR220" t="str">
        <f t="shared" si="77"/>
        <v>"team":"0",</v>
      </c>
      <c r="AS220" t="str">
        <f t="shared" si="78"/>
        <v>"year":"0",</v>
      </c>
      <c r="AT220" t="str">
        <f t="shared" si="79"/>
        <v>"division":"--",</v>
      </c>
      <c r="AU220" t="str">
        <f t="shared" si="80"/>
        <v>"bw":"0",</v>
      </c>
      <c r="AV220" t="str">
        <f t="shared" si="81"/>
        <v>"idx":"23",</v>
      </c>
      <c r="AW220" t="str">
        <f t="shared" si="82"/>
        <v>"sr":"0",</v>
      </c>
      <c r="AX220" t="str">
        <f t="shared" si="83"/>
        <v>"br":"0",</v>
      </c>
      <c r="AY220" t="str">
        <f t="shared" si="84"/>
        <v>"row":0,</v>
      </c>
      <c r="AZ220" t="s">
        <v>67</v>
      </c>
      <c r="BA220" t="str">
        <f t="shared" si="94"/>
        <v>"sq":{"a1":0,"a2":"","a3":"","s1":0,"s2":0,"s3":0},"bp":{"a1":0,"a2":"","a3":"","s1":0,"s2":0,"s3":0},"dl":{"a1":0,"a2":"","a3":"","s1":0,"s2":0,"s3":0},"sortOrder":0,"act":{}}</v>
      </c>
      <c r="BB220" t="str">
        <f t="shared" si="95"/>
        <v>"23":{"group":"A","lot":0,"name":"0","team":"0","year":"0","division":"--","bw":"0","idx":"23","sr":"0","br":"0","row":0,"sq":{"a1":0,"a2":"","a3":"","s1":0,"s2":0,"s3":0},"bp":{"a1":0,"a2":"","a3":"","s1":0,"s2":0,"s3":0},"dl":{"a1":0,"a2":"","a3":"","s1":0,"s2":0,"s3":0},"sortOrder":0,"act":{}}</v>
      </c>
    </row>
    <row r="221" spans="5:54" x14ac:dyDescent="0.25">
      <c r="E221" s="163"/>
      <c r="F221" s="126"/>
      <c r="G221" s="126"/>
      <c r="H221" s="126"/>
      <c r="I221" s="126"/>
      <c r="J221" s="126"/>
      <c r="K221" s="126"/>
      <c r="L221" s="126"/>
      <c r="M221" s="126"/>
      <c r="N221" s="126"/>
      <c r="O221" s="126"/>
      <c r="P221" s="126"/>
      <c r="Q221" s="126"/>
      <c r="R221" s="126"/>
      <c r="S221" s="126"/>
      <c r="T221" s="127"/>
      <c r="U221" s="128"/>
      <c r="V221" s="128"/>
      <c r="W221" s="129"/>
      <c r="Z221" s="15" t="str">
        <f t="shared" si="73"/>
        <v>A</v>
      </c>
      <c r="AA221" s="8">
        <f t="shared" si="85"/>
        <v>0</v>
      </c>
      <c r="AB221" s="9">
        <f t="shared" si="88"/>
        <v>0</v>
      </c>
      <c r="AC221" s="8">
        <f t="shared" si="86"/>
        <v>0</v>
      </c>
      <c r="AD221" s="8">
        <f t="shared" si="87"/>
        <v>0</v>
      </c>
      <c r="AE221" s="8" t="str">
        <f t="shared" si="89"/>
        <v>--</v>
      </c>
      <c r="AF221" s="10">
        <f t="shared" si="90"/>
        <v>0</v>
      </c>
      <c r="AG221" s="8">
        <v>23</v>
      </c>
      <c r="AH221" s="9">
        <f t="shared" si="91"/>
        <v>0</v>
      </c>
      <c r="AI221" s="11">
        <f t="shared" si="92"/>
        <v>0</v>
      </c>
      <c r="AJ221" s="6"/>
      <c r="AK221" s="6"/>
      <c r="AL221" s="6"/>
      <c r="AN221" t="str">
        <f t="shared" si="74"/>
        <v>"23":{</v>
      </c>
      <c r="AO221" t="str">
        <f t="shared" si="75"/>
        <v>"group":"A",</v>
      </c>
      <c r="AP221" t="str">
        <f t="shared" si="93"/>
        <v>"lot":0,</v>
      </c>
      <c r="AQ221" t="str">
        <f t="shared" si="76"/>
        <v>"name":"0",</v>
      </c>
      <c r="AR221" t="str">
        <f t="shared" si="77"/>
        <v>"team":"0",</v>
      </c>
      <c r="AS221" t="str">
        <f t="shared" si="78"/>
        <v>"year":"0",</v>
      </c>
      <c r="AT221" t="str">
        <f t="shared" si="79"/>
        <v>"division":"--",</v>
      </c>
      <c r="AU221" t="str">
        <f t="shared" si="80"/>
        <v>"bw":"0",</v>
      </c>
      <c r="AV221" t="str">
        <f t="shared" si="81"/>
        <v>"idx":"23",</v>
      </c>
      <c r="AW221" t="str">
        <f t="shared" si="82"/>
        <v>"sr":"0",</v>
      </c>
      <c r="AX221" t="str">
        <f t="shared" si="83"/>
        <v>"br":"0",</v>
      </c>
      <c r="AY221" t="str">
        <f t="shared" si="84"/>
        <v>"row":0,</v>
      </c>
      <c r="AZ221" t="s">
        <v>67</v>
      </c>
      <c r="BA221" t="str">
        <f t="shared" si="94"/>
        <v>"sq":{"a1":0,"a2":"","a3":"","s1":0,"s2":0,"s3":0},"bp":{"a1":0,"a2":"","a3":"","s1":0,"s2":0,"s3":0},"dl":{"a1":0,"a2":"","a3":"","s1":0,"s2":0,"s3":0},"sortOrder":0,"act":{}}</v>
      </c>
      <c r="BB221" t="str">
        <f t="shared" si="95"/>
        <v>"23":{"group":"A","lot":0,"name":"0","team":"0","year":"0","division":"--","bw":"0","idx":"23","sr":"0","br":"0","row":0,"sq":{"a1":0,"a2":"","a3":"","s1":0,"s2":0,"s3":0},"bp":{"a1":0,"a2":"","a3":"","s1":0,"s2":0,"s3":0},"dl":{"a1":0,"a2":"","a3":"","s1":0,"s2":0,"s3":0},"sortOrder":0,"act":{}}</v>
      </c>
    </row>
    <row r="222" spans="5:54" x14ac:dyDescent="0.25">
      <c r="E222" s="163"/>
      <c r="F222" s="126"/>
      <c r="G222" s="126"/>
      <c r="H222" s="126"/>
      <c r="I222" s="126"/>
      <c r="J222" s="126"/>
      <c r="K222" s="126"/>
      <c r="L222" s="126"/>
      <c r="M222" s="126"/>
      <c r="N222" s="126"/>
      <c r="O222" s="126"/>
      <c r="P222" s="126"/>
      <c r="Q222" s="126"/>
      <c r="R222" s="126"/>
      <c r="S222" s="126"/>
      <c r="T222" s="127"/>
      <c r="U222" s="128"/>
      <c r="V222" s="128"/>
      <c r="W222" s="129"/>
      <c r="Z222" s="15" t="str">
        <f t="shared" si="73"/>
        <v>A</v>
      </c>
      <c r="AA222" s="8">
        <f t="shared" si="85"/>
        <v>0</v>
      </c>
      <c r="AB222" s="9">
        <f t="shared" si="88"/>
        <v>0</v>
      </c>
      <c r="AC222" s="8">
        <f t="shared" si="86"/>
        <v>0</v>
      </c>
      <c r="AD222" s="8">
        <f t="shared" si="87"/>
        <v>0</v>
      </c>
      <c r="AE222" s="8" t="str">
        <f t="shared" si="89"/>
        <v>--</v>
      </c>
      <c r="AF222" s="10">
        <f t="shared" si="90"/>
        <v>0</v>
      </c>
      <c r="AG222" s="8">
        <v>23</v>
      </c>
      <c r="AH222" s="9">
        <f t="shared" si="91"/>
        <v>0</v>
      </c>
      <c r="AI222" s="11">
        <f t="shared" si="92"/>
        <v>0</v>
      </c>
      <c r="AJ222" s="6"/>
      <c r="AK222" s="6"/>
      <c r="AL222" s="6"/>
      <c r="AN222" t="str">
        <f t="shared" si="74"/>
        <v>"23":{</v>
      </c>
      <c r="AO222" t="str">
        <f t="shared" si="75"/>
        <v>"group":"A",</v>
      </c>
      <c r="AP222" t="str">
        <f t="shared" si="93"/>
        <v>"lot":0,</v>
      </c>
      <c r="AQ222" t="str">
        <f t="shared" si="76"/>
        <v>"name":"0",</v>
      </c>
      <c r="AR222" t="str">
        <f t="shared" si="77"/>
        <v>"team":"0",</v>
      </c>
      <c r="AS222" t="str">
        <f t="shared" si="78"/>
        <v>"year":"0",</v>
      </c>
      <c r="AT222" t="str">
        <f t="shared" si="79"/>
        <v>"division":"--",</v>
      </c>
      <c r="AU222" t="str">
        <f t="shared" si="80"/>
        <v>"bw":"0",</v>
      </c>
      <c r="AV222" t="str">
        <f t="shared" si="81"/>
        <v>"idx":"23",</v>
      </c>
      <c r="AW222" t="str">
        <f t="shared" si="82"/>
        <v>"sr":"0",</v>
      </c>
      <c r="AX222" t="str">
        <f t="shared" si="83"/>
        <v>"br":"0",</v>
      </c>
      <c r="AY222" t="str">
        <f t="shared" si="84"/>
        <v>"row":0,</v>
      </c>
      <c r="AZ222" t="s">
        <v>67</v>
      </c>
      <c r="BA222" t="str">
        <f t="shared" si="94"/>
        <v>"sq":{"a1":0,"a2":"","a3":"","s1":0,"s2":0,"s3":0},"bp":{"a1":0,"a2":"","a3":"","s1":0,"s2":0,"s3":0},"dl":{"a1":0,"a2":"","a3":"","s1":0,"s2":0,"s3":0},"sortOrder":0,"act":{}}</v>
      </c>
      <c r="BB222" t="str">
        <f t="shared" si="95"/>
        <v>"23":{"group":"A","lot":0,"name":"0","team":"0","year":"0","division":"--","bw":"0","idx":"23","sr":"0","br":"0","row":0,"sq":{"a1":0,"a2":"","a3":"","s1":0,"s2":0,"s3":0},"bp":{"a1":0,"a2":"","a3":"","s1":0,"s2":0,"s3":0},"dl":{"a1":0,"a2":"","a3":"","s1":0,"s2":0,"s3":0},"sortOrder":0,"act":{}}</v>
      </c>
    </row>
    <row r="223" spans="5:54" x14ac:dyDescent="0.25">
      <c r="E223" s="163"/>
      <c r="F223" s="126"/>
      <c r="G223" s="126"/>
      <c r="H223" s="126"/>
      <c r="I223" s="126"/>
      <c r="J223" s="126"/>
      <c r="K223" s="126"/>
      <c r="L223" s="126"/>
      <c r="M223" s="126"/>
      <c r="N223" s="126"/>
      <c r="O223" s="126"/>
      <c r="P223" s="126"/>
      <c r="Q223" s="126"/>
      <c r="R223" s="126"/>
      <c r="S223" s="126"/>
      <c r="T223" s="127"/>
      <c r="U223" s="128"/>
      <c r="V223" s="128"/>
      <c r="W223" s="129"/>
      <c r="Z223" s="15" t="str">
        <f t="shared" si="73"/>
        <v>A</v>
      </c>
      <c r="AA223" s="8">
        <f t="shared" si="85"/>
        <v>0</v>
      </c>
      <c r="AB223" s="9">
        <f t="shared" si="88"/>
        <v>0</v>
      </c>
      <c r="AC223" s="8">
        <f t="shared" si="86"/>
        <v>0</v>
      </c>
      <c r="AD223" s="8">
        <f t="shared" si="87"/>
        <v>0</v>
      </c>
      <c r="AE223" s="8" t="str">
        <f t="shared" si="89"/>
        <v>--</v>
      </c>
      <c r="AF223" s="10">
        <f t="shared" si="90"/>
        <v>0</v>
      </c>
      <c r="AG223" s="8">
        <v>23</v>
      </c>
      <c r="AH223" s="9">
        <f t="shared" si="91"/>
        <v>0</v>
      </c>
      <c r="AI223" s="11">
        <f t="shared" si="92"/>
        <v>0</v>
      </c>
      <c r="AJ223" s="6"/>
      <c r="AK223" s="6"/>
      <c r="AL223" s="6"/>
      <c r="AN223" t="str">
        <f t="shared" si="74"/>
        <v>"23":{</v>
      </c>
      <c r="AO223" t="str">
        <f t="shared" si="75"/>
        <v>"group":"A",</v>
      </c>
      <c r="AP223" t="str">
        <f t="shared" si="93"/>
        <v>"lot":0,</v>
      </c>
      <c r="AQ223" t="str">
        <f t="shared" si="76"/>
        <v>"name":"0",</v>
      </c>
      <c r="AR223" t="str">
        <f t="shared" si="77"/>
        <v>"team":"0",</v>
      </c>
      <c r="AS223" t="str">
        <f t="shared" si="78"/>
        <v>"year":"0",</v>
      </c>
      <c r="AT223" t="str">
        <f t="shared" si="79"/>
        <v>"division":"--",</v>
      </c>
      <c r="AU223" t="str">
        <f t="shared" si="80"/>
        <v>"bw":"0",</v>
      </c>
      <c r="AV223" t="str">
        <f t="shared" si="81"/>
        <v>"idx":"23",</v>
      </c>
      <c r="AW223" t="str">
        <f t="shared" si="82"/>
        <v>"sr":"0",</v>
      </c>
      <c r="AX223" t="str">
        <f t="shared" si="83"/>
        <v>"br":"0",</v>
      </c>
      <c r="AY223" t="str">
        <f t="shared" si="84"/>
        <v>"row":0,</v>
      </c>
      <c r="AZ223" t="s">
        <v>67</v>
      </c>
      <c r="BA223" t="str">
        <f t="shared" si="94"/>
        <v>"sq":{"a1":0,"a2":"","a3":"","s1":0,"s2":0,"s3":0},"bp":{"a1":0,"a2":"","a3":"","s1":0,"s2":0,"s3":0},"dl":{"a1":0,"a2":"","a3":"","s1":0,"s2":0,"s3":0},"sortOrder":0,"act":{}}</v>
      </c>
      <c r="BB223" t="str">
        <f t="shared" si="95"/>
        <v>"23":{"group":"A","lot":0,"name":"0","team":"0","year":"0","division":"--","bw":"0","idx":"23","sr":"0","br":"0","row":0,"sq":{"a1":0,"a2":"","a3":"","s1":0,"s2":0,"s3":0},"bp":{"a1":0,"a2":"","a3":"","s1":0,"s2":0,"s3":0},"dl":{"a1":0,"a2":"","a3":"","s1":0,"s2":0,"s3":0},"sortOrder":0,"act":{}}</v>
      </c>
    </row>
    <row r="224" spans="5:54" x14ac:dyDescent="0.25">
      <c r="E224" s="163"/>
      <c r="F224" s="126"/>
      <c r="G224" s="126"/>
      <c r="H224" s="126"/>
      <c r="I224" s="126"/>
      <c r="J224" s="126"/>
      <c r="K224" s="126"/>
      <c r="L224" s="126"/>
      <c r="M224" s="126"/>
      <c r="N224" s="126"/>
      <c r="O224" s="126"/>
      <c r="P224" s="126"/>
      <c r="Q224" s="126"/>
      <c r="R224" s="126"/>
      <c r="S224" s="126"/>
      <c r="T224" s="127"/>
      <c r="U224" s="128"/>
      <c r="V224" s="128"/>
      <c r="W224" s="129"/>
      <c r="Z224" s="15" t="str">
        <f t="shared" si="73"/>
        <v>A</v>
      </c>
      <c r="AA224" s="8">
        <f t="shared" si="85"/>
        <v>0</v>
      </c>
      <c r="AB224" s="9">
        <f t="shared" si="88"/>
        <v>0</v>
      </c>
      <c r="AC224" s="8">
        <f t="shared" si="86"/>
        <v>0</v>
      </c>
      <c r="AD224" s="8">
        <f t="shared" si="87"/>
        <v>0</v>
      </c>
      <c r="AE224" s="8" t="str">
        <f t="shared" si="89"/>
        <v>--</v>
      </c>
      <c r="AF224" s="10">
        <f t="shared" si="90"/>
        <v>0</v>
      </c>
      <c r="AG224" s="8">
        <v>23</v>
      </c>
      <c r="AH224" s="9">
        <f t="shared" si="91"/>
        <v>0</v>
      </c>
      <c r="AI224" s="11">
        <f t="shared" si="92"/>
        <v>0</v>
      </c>
      <c r="AJ224" s="6"/>
      <c r="AK224" s="6"/>
      <c r="AL224" s="6"/>
      <c r="AN224" t="str">
        <f t="shared" si="74"/>
        <v>"23":{</v>
      </c>
      <c r="AO224" t="str">
        <f t="shared" si="75"/>
        <v>"group":"A",</v>
      </c>
      <c r="AP224" t="str">
        <f t="shared" si="93"/>
        <v>"lot":0,</v>
      </c>
      <c r="AQ224" t="str">
        <f t="shared" si="76"/>
        <v>"name":"0",</v>
      </c>
      <c r="AR224" t="str">
        <f t="shared" si="77"/>
        <v>"team":"0",</v>
      </c>
      <c r="AS224" t="str">
        <f t="shared" si="78"/>
        <v>"year":"0",</v>
      </c>
      <c r="AT224" t="str">
        <f t="shared" si="79"/>
        <v>"division":"--",</v>
      </c>
      <c r="AU224" t="str">
        <f t="shared" si="80"/>
        <v>"bw":"0",</v>
      </c>
      <c r="AV224" t="str">
        <f t="shared" si="81"/>
        <v>"idx":"23",</v>
      </c>
      <c r="AW224" t="str">
        <f t="shared" si="82"/>
        <v>"sr":"0",</v>
      </c>
      <c r="AX224" t="str">
        <f t="shared" si="83"/>
        <v>"br":"0",</v>
      </c>
      <c r="AY224" t="str">
        <f t="shared" si="84"/>
        <v>"row":0,</v>
      </c>
      <c r="AZ224" t="s">
        <v>67</v>
      </c>
      <c r="BA224" t="str">
        <f t="shared" si="94"/>
        <v>"sq":{"a1":0,"a2":"","a3":"","s1":0,"s2":0,"s3":0},"bp":{"a1":0,"a2":"","a3":"","s1":0,"s2":0,"s3":0},"dl":{"a1":0,"a2":"","a3":"","s1":0,"s2":0,"s3":0},"sortOrder":0,"act":{}}</v>
      </c>
      <c r="BB224" t="str">
        <f t="shared" si="95"/>
        <v>"23":{"group":"A","lot":0,"name":"0","team":"0","year":"0","division":"--","bw":"0","idx":"23","sr":"0","br":"0","row":0,"sq":{"a1":0,"a2":"","a3":"","s1":0,"s2":0,"s3":0},"bp":{"a1":0,"a2":"","a3":"","s1":0,"s2":0,"s3":0},"dl":{"a1":0,"a2":"","a3":"","s1":0,"s2":0,"s3":0},"sortOrder":0,"act":{}}</v>
      </c>
    </row>
    <row r="225" spans="5:54" x14ac:dyDescent="0.25">
      <c r="E225" s="163"/>
      <c r="F225" s="126"/>
      <c r="G225" s="126"/>
      <c r="H225" s="126"/>
      <c r="I225" s="126"/>
      <c r="J225" s="126"/>
      <c r="K225" s="126"/>
      <c r="L225" s="126"/>
      <c r="M225" s="126"/>
      <c r="N225" s="126"/>
      <c r="O225" s="126"/>
      <c r="P225" s="126"/>
      <c r="Q225" s="126"/>
      <c r="R225" s="126"/>
      <c r="S225" s="126"/>
      <c r="T225" s="127"/>
      <c r="U225" s="128"/>
      <c r="V225" s="128"/>
      <c r="W225" s="129"/>
      <c r="Z225" s="15" t="str">
        <f t="shared" si="73"/>
        <v>A</v>
      </c>
      <c r="AA225" s="8">
        <f t="shared" si="85"/>
        <v>0</v>
      </c>
      <c r="AB225" s="9">
        <f t="shared" si="88"/>
        <v>0</v>
      </c>
      <c r="AC225" s="8">
        <f t="shared" si="86"/>
        <v>0</v>
      </c>
      <c r="AD225" s="8">
        <f t="shared" si="87"/>
        <v>0</v>
      </c>
      <c r="AE225" s="8" t="str">
        <f t="shared" si="89"/>
        <v>--</v>
      </c>
      <c r="AF225" s="10">
        <f t="shared" si="90"/>
        <v>0</v>
      </c>
      <c r="AG225" s="8">
        <v>23</v>
      </c>
      <c r="AH225" s="9">
        <f t="shared" si="91"/>
        <v>0</v>
      </c>
      <c r="AI225" s="11">
        <f t="shared" si="92"/>
        <v>0</v>
      </c>
      <c r="AJ225" s="6"/>
      <c r="AK225" s="6"/>
      <c r="AL225" s="6"/>
      <c r="AN225" t="str">
        <f t="shared" si="74"/>
        <v>"23":{</v>
      </c>
      <c r="AO225" t="str">
        <f t="shared" si="75"/>
        <v>"group":"A",</v>
      </c>
      <c r="AP225" t="str">
        <f t="shared" si="93"/>
        <v>"lot":0,</v>
      </c>
      <c r="AQ225" t="str">
        <f t="shared" si="76"/>
        <v>"name":"0",</v>
      </c>
      <c r="AR225" t="str">
        <f t="shared" si="77"/>
        <v>"team":"0",</v>
      </c>
      <c r="AS225" t="str">
        <f t="shared" si="78"/>
        <v>"year":"0",</v>
      </c>
      <c r="AT225" t="str">
        <f t="shared" si="79"/>
        <v>"division":"--",</v>
      </c>
      <c r="AU225" t="str">
        <f t="shared" si="80"/>
        <v>"bw":"0",</v>
      </c>
      <c r="AV225" t="str">
        <f t="shared" si="81"/>
        <v>"idx":"23",</v>
      </c>
      <c r="AW225" t="str">
        <f t="shared" si="82"/>
        <v>"sr":"0",</v>
      </c>
      <c r="AX225" t="str">
        <f t="shared" si="83"/>
        <v>"br":"0",</v>
      </c>
      <c r="AY225" t="str">
        <f t="shared" si="84"/>
        <v>"row":0,</v>
      </c>
      <c r="AZ225" t="s">
        <v>67</v>
      </c>
      <c r="BA225" t="str">
        <f t="shared" si="94"/>
        <v>"sq":{"a1":0,"a2":"","a3":"","s1":0,"s2":0,"s3":0},"bp":{"a1":0,"a2":"","a3":"","s1":0,"s2":0,"s3":0},"dl":{"a1":0,"a2":"","a3":"","s1":0,"s2":0,"s3":0},"sortOrder":0,"act":{}}</v>
      </c>
      <c r="BB225" t="str">
        <f t="shared" si="95"/>
        <v>"23":{"group":"A","lot":0,"name":"0","team":"0","year":"0","division":"--","bw":"0","idx":"23","sr":"0","br":"0","row":0,"sq":{"a1":0,"a2":"","a3":"","s1":0,"s2":0,"s3":0},"bp":{"a1":0,"a2":"","a3":"","s1":0,"s2":0,"s3":0},"dl":{"a1":0,"a2":"","a3":"","s1":0,"s2":0,"s3":0},"sortOrder":0,"act":{}}</v>
      </c>
    </row>
    <row r="226" spans="5:54" x14ac:dyDescent="0.25">
      <c r="E226" s="163"/>
      <c r="F226" s="126"/>
      <c r="G226" s="126"/>
      <c r="H226" s="126"/>
      <c r="I226" s="126"/>
      <c r="J226" s="126"/>
      <c r="K226" s="126"/>
      <c r="L226" s="126"/>
      <c r="M226" s="126"/>
      <c r="N226" s="126"/>
      <c r="O226" s="126"/>
      <c r="P226" s="126"/>
      <c r="Q226" s="126"/>
      <c r="R226" s="126"/>
      <c r="S226" s="126"/>
      <c r="T226" s="127"/>
      <c r="U226" s="128"/>
      <c r="V226" s="128"/>
      <c r="W226" s="129"/>
      <c r="Z226" s="15" t="str">
        <f t="shared" si="73"/>
        <v>A</v>
      </c>
      <c r="AA226" s="8">
        <f t="shared" si="85"/>
        <v>0</v>
      </c>
      <c r="AB226" s="9">
        <f t="shared" si="88"/>
        <v>0</v>
      </c>
      <c r="AC226" s="8">
        <f t="shared" si="86"/>
        <v>0</v>
      </c>
      <c r="AD226" s="8">
        <f t="shared" si="87"/>
        <v>0</v>
      </c>
      <c r="AE226" s="8" t="str">
        <f t="shared" si="89"/>
        <v>--</v>
      </c>
      <c r="AF226" s="10">
        <f t="shared" si="90"/>
        <v>0</v>
      </c>
      <c r="AG226" s="8">
        <v>23</v>
      </c>
      <c r="AH226" s="9">
        <f t="shared" si="91"/>
        <v>0</v>
      </c>
      <c r="AI226" s="11">
        <f t="shared" si="92"/>
        <v>0</v>
      </c>
      <c r="AJ226" s="6"/>
      <c r="AK226" s="6"/>
      <c r="AL226" s="6"/>
      <c r="AN226" t="str">
        <f t="shared" si="74"/>
        <v>"23":{</v>
      </c>
      <c r="AO226" t="str">
        <f t="shared" si="75"/>
        <v>"group":"A",</v>
      </c>
      <c r="AP226" t="str">
        <f t="shared" si="93"/>
        <v>"lot":0,</v>
      </c>
      <c r="AQ226" t="str">
        <f t="shared" si="76"/>
        <v>"name":"0",</v>
      </c>
      <c r="AR226" t="str">
        <f t="shared" si="77"/>
        <v>"team":"0",</v>
      </c>
      <c r="AS226" t="str">
        <f t="shared" si="78"/>
        <v>"year":"0",</v>
      </c>
      <c r="AT226" t="str">
        <f t="shared" si="79"/>
        <v>"division":"--",</v>
      </c>
      <c r="AU226" t="str">
        <f t="shared" si="80"/>
        <v>"bw":"0",</v>
      </c>
      <c r="AV226" t="str">
        <f t="shared" si="81"/>
        <v>"idx":"23",</v>
      </c>
      <c r="AW226" t="str">
        <f t="shared" si="82"/>
        <v>"sr":"0",</v>
      </c>
      <c r="AX226" t="str">
        <f t="shared" si="83"/>
        <v>"br":"0",</v>
      </c>
      <c r="AY226" t="str">
        <f t="shared" si="84"/>
        <v>"row":0,</v>
      </c>
      <c r="AZ226" t="s">
        <v>67</v>
      </c>
      <c r="BA226" t="str">
        <f t="shared" si="94"/>
        <v>"sq":{"a1":0,"a2":"","a3":"","s1":0,"s2":0,"s3":0},"bp":{"a1":0,"a2":"","a3":"","s1":0,"s2":0,"s3":0},"dl":{"a1":0,"a2":"","a3":"","s1":0,"s2":0,"s3":0},"sortOrder":0,"act":{}}</v>
      </c>
      <c r="BB226" t="str">
        <f t="shared" si="95"/>
        <v>"23":{"group":"A","lot":0,"name":"0","team":"0","year":"0","division":"--","bw":"0","idx":"23","sr":"0","br":"0","row":0,"sq":{"a1":0,"a2":"","a3":"","s1":0,"s2":0,"s3":0},"bp":{"a1":0,"a2":"","a3":"","s1":0,"s2":0,"s3":0},"dl":{"a1":0,"a2":"","a3":"","s1":0,"s2":0,"s3":0},"sortOrder":0,"act":{}}</v>
      </c>
    </row>
    <row r="227" spans="5:54" x14ac:dyDescent="0.25">
      <c r="E227" s="163"/>
      <c r="F227" s="126"/>
      <c r="G227" s="126"/>
      <c r="H227" s="126"/>
      <c r="I227" s="126"/>
      <c r="J227" s="126"/>
      <c r="K227" s="126"/>
      <c r="L227" s="126"/>
      <c r="M227" s="126"/>
      <c r="N227" s="126"/>
      <c r="O227" s="126"/>
      <c r="P227" s="126"/>
      <c r="Q227" s="126"/>
      <c r="R227" s="126"/>
      <c r="S227" s="126"/>
      <c r="T227" s="127"/>
      <c r="U227" s="128"/>
      <c r="V227" s="128"/>
      <c r="W227" s="129"/>
      <c r="Z227" s="15" t="str">
        <f t="shared" si="73"/>
        <v>A</v>
      </c>
      <c r="AA227" s="8">
        <f t="shared" si="85"/>
        <v>0</v>
      </c>
      <c r="AB227" s="9">
        <f t="shared" si="88"/>
        <v>0</v>
      </c>
      <c r="AC227" s="8">
        <f t="shared" si="86"/>
        <v>0</v>
      </c>
      <c r="AD227" s="8">
        <f t="shared" si="87"/>
        <v>0</v>
      </c>
      <c r="AE227" s="8" t="str">
        <f t="shared" si="89"/>
        <v>--</v>
      </c>
      <c r="AF227" s="10">
        <f t="shared" si="90"/>
        <v>0</v>
      </c>
      <c r="AG227" s="8">
        <v>23</v>
      </c>
      <c r="AH227" s="9">
        <f t="shared" si="91"/>
        <v>0</v>
      </c>
      <c r="AI227" s="11">
        <f t="shared" si="92"/>
        <v>0</v>
      </c>
      <c r="AJ227" s="6"/>
      <c r="AK227" s="6"/>
      <c r="AL227" s="6"/>
      <c r="AN227" t="str">
        <f t="shared" si="74"/>
        <v>"23":{</v>
      </c>
      <c r="AO227" t="str">
        <f t="shared" si="75"/>
        <v>"group":"A",</v>
      </c>
      <c r="AP227" t="str">
        <f t="shared" si="93"/>
        <v>"lot":0,</v>
      </c>
      <c r="AQ227" t="str">
        <f t="shared" si="76"/>
        <v>"name":"0",</v>
      </c>
      <c r="AR227" t="str">
        <f t="shared" si="77"/>
        <v>"team":"0",</v>
      </c>
      <c r="AS227" t="str">
        <f t="shared" si="78"/>
        <v>"year":"0",</v>
      </c>
      <c r="AT227" t="str">
        <f t="shared" si="79"/>
        <v>"division":"--",</v>
      </c>
      <c r="AU227" t="str">
        <f t="shared" si="80"/>
        <v>"bw":"0",</v>
      </c>
      <c r="AV227" t="str">
        <f t="shared" si="81"/>
        <v>"idx":"23",</v>
      </c>
      <c r="AW227" t="str">
        <f t="shared" si="82"/>
        <v>"sr":"0",</v>
      </c>
      <c r="AX227" t="str">
        <f t="shared" si="83"/>
        <v>"br":"0",</v>
      </c>
      <c r="AY227" t="str">
        <f t="shared" si="84"/>
        <v>"row":0,</v>
      </c>
      <c r="AZ227" t="s">
        <v>67</v>
      </c>
      <c r="BA227" t="str">
        <f t="shared" si="94"/>
        <v>"sq":{"a1":0,"a2":"","a3":"","s1":0,"s2":0,"s3":0},"bp":{"a1":0,"a2":"","a3":"","s1":0,"s2":0,"s3":0},"dl":{"a1":0,"a2":"","a3":"","s1":0,"s2":0,"s3":0},"sortOrder":0,"act":{}}</v>
      </c>
      <c r="BB227" t="str">
        <f t="shared" si="95"/>
        <v>"23":{"group":"A","lot":0,"name":"0","team":"0","year":"0","division":"--","bw":"0","idx":"23","sr":"0","br":"0","row":0,"sq":{"a1":0,"a2":"","a3":"","s1":0,"s2":0,"s3":0},"bp":{"a1":0,"a2":"","a3":"","s1":0,"s2":0,"s3":0},"dl":{"a1":0,"a2":"","a3":"","s1":0,"s2":0,"s3":0},"sortOrder":0,"act":{}}</v>
      </c>
    </row>
    <row r="228" spans="5:54" x14ac:dyDescent="0.25">
      <c r="E228" s="163"/>
      <c r="F228" s="126"/>
      <c r="G228" s="126"/>
      <c r="H228" s="126"/>
      <c r="I228" s="126"/>
      <c r="J228" s="126"/>
      <c r="K228" s="126"/>
      <c r="L228" s="126"/>
      <c r="M228" s="126"/>
      <c r="N228" s="126"/>
      <c r="O228" s="126"/>
      <c r="P228" s="126"/>
      <c r="Q228" s="126"/>
      <c r="R228" s="126"/>
      <c r="S228" s="126"/>
      <c r="T228" s="127"/>
      <c r="U228" s="128"/>
      <c r="V228" s="128"/>
      <c r="W228" s="129"/>
      <c r="Z228" s="15" t="str">
        <f t="shared" si="73"/>
        <v>A</v>
      </c>
      <c r="AA228" s="8">
        <f t="shared" si="85"/>
        <v>0</v>
      </c>
      <c r="AB228" s="9">
        <f t="shared" si="88"/>
        <v>0</v>
      </c>
      <c r="AC228" s="8">
        <f t="shared" si="86"/>
        <v>0</v>
      </c>
      <c r="AD228" s="8">
        <f t="shared" si="87"/>
        <v>0</v>
      </c>
      <c r="AE228" s="8" t="str">
        <f t="shared" si="89"/>
        <v>--</v>
      </c>
      <c r="AF228" s="10">
        <f t="shared" si="90"/>
        <v>0</v>
      </c>
      <c r="AG228" s="8">
        <v>23</v>
      </c>
      <c r="AH228" s="9">
        <f t="shared" si="91"/>
        <v>0</v>
      </c>
      <c r="AI228" s="11">
        <f t="shared" si="92"/>
        <v>0</v>
      </c>
      <c r="AJ228" s="6"/>
      <c r="AK228" s="6"/>
      <c r="AL228" s="6"/>
      <c r="AN228" t="str">
        <f t="shared" si="74"/>
        <v>"23":{</v>
      </c>
      <c r="AO228" t="str">
        <f t="shared" si="75"/>
        <v>"group":"A",</v>
      </c>
      <c r="AP228" t="str">
        <f t="shared" si="93"/>
        <v>"lot":0,</v>
      </c>
      <c r="AQ228" t="str">
        <f t="shared" si="76"/>
        <v>"name":"0",</v>
      </c>
      <c r="AR228" t="str">
        <f t="shared" si="77"/>
        <v>"team":"0",</v>
      </c>
      <c r="AS228" t="str">
        <f t="shared" si="78"/>
        <v>"year":"0",</v>
      </c>
      <c r="AT228" t="str">
        <f t="shared" si="79"/>
        <v>"division":"--",</v>
      </c>
      <c r="AU228" t="str">
        <f t="shared" si="80"/>
        <v>"bw":"0",</v>
      </c>
      <c r="AV228" t="str">
        <f t="shared" si="81"/>
        <v>"idx":"23",</v>
      </c>
      <c r="AW228" t="str">
        <f t="shared" si="82"/>
        <v>"sr":"0",</v>
      </c>
      <c r="AX228" t="str">
        <f t="shared" si="83"/>
        <v>"br":"0",</v>
      </c>
      <c r="AY228" t="str">
        <f t="shared" si="84"/>
        <v>"row":0,</v>
      </c>
      <c r="AZ228" t="s">
        <v>67</v>
      </c>
      <c r="BA228" t="str">
        <f t="shared" si="94"/>
        <v>"sq":{"a1":0,"a2":"","a3":"","s1":0,"s2":0,"s3":0},"bp":{"a1":0,"a2":"","a3":"","s1":0,"s2":0,"s3":0},"dl":{"a1":0,"a2":"","a3":"","s1":0,"s2":0,"s3":0},"sortOrder":0,"act":{}}</v>
      </c>
      <c r="BB228" t="str">
        <f t="shared" si="95"/>
        <v>"23":{"group":"A","lot":0,"name":"0","team":"0","year":"0","division":"--","bw":"0","idx":"23","sr":"0","br":"0","row":0,"sq":{"a1":0,"a2":"","a3":"","s1":0,"s2":0,"s3":0},"bp":{"a1":0,"a2":"","a3":"","s1":0,"s2":0,"s3":0},"dl":{"a1":0,"a2":"","a3":"","s1":0,"s2":0,"s3":0},"sortOrder":0,"act":{}}</v>
      </c>
    </row>
    <row r="229" spans="5:54" x14ac:dyDescent="0.25">
      <c r="E229" s="163"/>
      <c r="F229" s="126"/>
      <c r="G229" s="126"/>
      <c r="H229" s="126"/>
      <c r="I229" s="126"/>
      <c r="J229" s="126"/>
      <c r="K229" s="126"/>
      <c r="L229" s="126"/>
      <c r="M229" s="126"/>
      <c r="N229" s="126"/>
      <c r="O229" s="126"/>
      <c r="P229" s="126"/>
      <c r="Q229" s="126"/>
      <c r="R229" s="126"/>
      <c r="S229" s="126"/>
      <c r="T229" s="127"/>
      <c r="U229" s="128"/>
      <c r="V229" s="128"/>
      <c r="W229" s="129"/>
      <c r="Z229" s="15" t="str">
        <f t="shared" si="73"/>
        <v>A</v>
      </c>
      <c r="AA229" s="8">
        <f t="shared" si="85"/>
        <v>0</v>
      </c>
      <c r="AB229" s="9">
        <f t="shared" si="88"/>
        <v>0</v>
      </c>
      <c r="AC229" s="8">
        <f t="shared" si="86"/>
        <v>0</v>
      </c>
      <c r="AD229" s="8">
        <f t="shared" si="87"/>
        <v>0</v>
      </c>
      <c r="AE229" s="8" t="str">
        <f t="shared" si="89"/>
        <v>--</v>
      </c>
      <c r="AF229" s="10">
        <f t="shared" si="90"/>
        <v>0</v>
      </c>
      <c r="AG229" s="8">
        <v>23</v>
      </c>
      <c r="AH229" s="9">
        <f t="shared" si="91"/>
        <v>0</v>
      </c>
      <c r="AI229" s="11">
        <f t="shared" si="92"/>
        <v>0</v>
      </c>
      <c r="AJ229" s="6"/>
      <c r="AK229" s="6"/>
      <c r="AL229" s="6"/>
      <c r="AN229" t="str">
        <f t="shared" si="74"/>
        <v>"23":{</v>
      </c>
      <c r="AO229" t="str">
        <f t="shared" si="75"/>
        <v>"group":"A",</v>
      </c>
      <c r="AP229" t="str">
        <f t="shared" si="93"/>
        <v>"lot":0,</v>
      </c>
      <c r="AQ229" t="str">
        <f t="shared" si="76"/>
        <v>"name":"0",</v>
      </c>
      <c r="AR229" t="str">
        <f t="shared" si="77"/>
        <v>"team":"0",</v>
      </c>
      <c r="AS229" t="str">
        <f t="shared" si="78"/>
        <v>"year":"0",</v>
      </c>
      <c r="AT229" t="str">
        <f t="shared" si="79"/>
        <v>"division":"--",</v>
      </c>
      <c r="AU229" t="str">
        <f t="shared" si="80"/>
        <v>"bw":"0",</v>
      </c>
      <c r="AV229" t="str">
        <f t="shared" si="81"/>
        <v>"idx":"23",</v>
      </c>
      <c r="AW229" t="str">
        <f t="shared" si="82"/>
        <v>"sr":"0",</v>
      </c>
      <c r="AX229" t="str">
        <f t="shared" si="83"/>
        <v>"br":"0",</v>
      </c>
      <c r="AY229" t="str">
        <f t="shared" si="84"/>
        <v>"row":0,</v>
      </c>
      <c r="AZ229" t="s">
        <v>67</v>
      </c>
      <c r="BA229" t="str">
        <f t="shared" si="94"/>
        <v>"sq":{"a1":0,"a2":"","a3":"","s1":0,"s2":0,"s3":0},"bp":{"a1":0,"a2":"","a3":"","s1":0,"s2":0,"s3":0},"dl":{"a1":0,"a2":"","a3":"","s1":0,"s2":0,"s3":0},"sortOrder":0,"act":{}}</v>
      </c>
      <c r="BB229" t="str">
        <f t="shared" si="95"/>
        <v>"23":{"group":"A","lot":0,"name":"0","team":"0","year":"0","division":"--","bw":"0","idx":"23","sr":"0","br":"0","row":0,"sq":{"a1":0,"a2":"","a3":"","s1":0,"s2":0,"s3":0},"bp":{"a1":0,"a2":"","a3":"","s1":0,"s2":0,"s3":0},"dl":{"a1":0,"a2":"","a3":"","s1":0,"s2":0,"s3":0},"sortOrder":0,"act":{}}</v>
      </c>
    </row>
    <row r="230" spans="5:54" x14ac:dyDescent="0.25">
      <c r="E230" s="163"/>
      <c r="F230" s="126"/>
      <c r="G230" s="126"/>
      <c r="H230" s="126"/>
      <c r="I230" s="126"/>
      <c r="J230" s="126"/>
      <c r="K230" s="126"/>
      <c r="L230" s="126"/>
      <c r="M230" s="126"/>
      <c r="N230" s="126"/>
      <c r="O230" s="126"/>
      <c r="P230" s="126"/>
      <c r="Q230" s="126"/>
      <c r="R230" s="126"/>
      <c r="S230" s="126"/>
      <c r="T230" s="127"/>
      <c r="U230" s="128"/>
      <c r="V230" s="128"/>
      <c r="W230" s="129"/>
      <c r="Z230" s="15" t="str">
        <f t="shared" si="73"/>
        <v>A</v>
      </c>
      <c r="AA230" s="8">
        <f t="shared" si="85"/>
        <v>0</v>
      </c>
      <c r="AB230" s="9">
        <f t="shared" si="88"/>
        <v>0</v>
      </c>
      <c r="AC230" s="8">
        <f t="shared" si="86"/>
        <v>0</v>
      </c>
      <c r="AD230" s="8">
        <f t="shared" si="87"/>
        <v>0</v>
      </c>
      <c r="AE230" s="8" t="str">
        <f t="shared" si="89"/>
        <v>--</v>
      </c>
      <c r="AF230" s="10">
        <f t="shared" si="90"/>
        <v>0</v>
      </c>
      <c r="AG230" s="8">
        <v>23</v>
      </c>
      <c r="AH230" s="9">
        <f t="shared" si="91"/>
        <v>0</v>
      </c>
      <c r="AI230" s="11">
        <f t="shared" si="92"/>
        <v>0</v>
      </c>
      <c r="AJ230" s="6"/>
      <c r="AK230" s="6"/>
      <c r="AL230" s="6"/>
      <c r="AN230" t="str">
        <f t="shared" si="74"/>
        <v>"23":{</v>
      </c>
      <c r="AO230" t="str">
        <f t="shared" si="75"/>
        <v>"group":"A",</v>
      </c>
      <c r="AP230" t="str">
        <f t="shared" si="93"/>
        <v>"lot":0,</v>
      </c>
      <c r="AQ230" t="str">
        <f t="shared" si="76"/>
        <v>"name":"0",</v>
      </c>
      <c r="AR230" t="str">
        <f t="shared" si="77"/>
        <v>"team":"0",</v>
      </c>
      <c r="AS230" t="str">
        <f t="shared" si="78"/>
        <v>"year":"0",</v>
      </c>
      <c r="AT230" t="str">
        <f t="shared" si="79"/>
        <v>"division":"--",</v>
      </c>
      <c r="AU230" t="str">
        <f t="shared" si="80"/>
        <v>"bw":"0",</v>
      </c>
      <c r="AV230" t="str">
        <f t="shared" si="81"/>
        <v>"idx":"23",</v>
      </c>
      <c r="AW230" t="str">
        <f t="shared" si="82"/>
        <v>"sr":"0",</v>
      </c>
      <c r="AX230" t="str">
        <f t="shared" si="83"/>
        <v>"br":"0",</v>
      </c>
      <c r="AY230" t="str">
        <f t="shared" si="84"/>
        <v>"row":0,</v>
      </c>
      <c r="AZ230" t="s">
        <v>67</v>
      </c>
      <c r="BA230" t="str">
        <f t="shared" si="94"/>
        <v>"sq":{"a1":0,"a2":"","a3":"","s1":0,"s2":0,"s3":0},"bp":{"a1":0,"a2":"","a3":"","s1":0,"s2":0,"s3":0},"dl":{"a1":0,"a2":"","a3":"","s1":0,"s2":0,"s3":0},"sortOrder":0,"act":{}}</v>
      </c>
      <c r="BB230" t="str">
        <f t="shared" si="95"/>
        <v>"23":{"group":"A","lot":0,"name":"0","team":"0","year":"0","division":"--","bw":"0","idx":"23","sr":"0","br":"0","row":0,"sq":{"a1":0,"a2":"","a3":"","s1":0,"s2":0,"s3":0},"bp":{"a1":0,"a2":"","a3":"","s1":0,"s2":0,"s3":0},"dl":{"a1":0,"a2":"","a3":"","s1":0,"s2":0,"s3":0},"sortOrder":0,"act":{}}</v>
      </c>
    </row>
    <row r="231" spans="5:54" x14ac:dyDescent="0.25">
      <c r="E231" s="163"/>
      <c r="F231" s="126"/>
      <c r="G231" s="126"/>
      <c r="H231" s="126"/>
      <c r="I231" s="126"/>
      <c r="J231" s="126"/>
      <c r="K231" s="126"/>
      <c r="L231" s="126"/>
      <c r="M231" s="126"/>
      <c r="N231" s="126"/>
      <c r="O231" s="126"/>
      <c r="P231" s="126"/>
      <c r="Q231" s="126"/>
      <c r="R231" s="126"/>
      <c r="S231" s="126"/>
      <c r="T231" s="127"/>
      <c r="U231" s="128"/>
      <c r="V231" s="128"/>
      <c r="W231" s="129"/>
      <c r="Z231" s="15" t="str">
        <f t="shared" si="73"/>
        <v>A</v>
      </c>
      <c r="AA231" s="8">
        <f t="shared" si="85"/>
        <v>0</v>
      </c>
      <c r="AB231" s="9">
        <f t="shared" si="88"/>
        <v>0</v>
      </c>
      <c r="AC231" s="8">
        <f t="shared" si="86"/>
        <v>0</v>
      </c>
      <c r="AD231" s="8">
        <f t="shared" si="87"/>
        <v>0</v>
      </c>
      <c r="AE231" s="8" t="str">
        <f t="shared" si="89"/>
        <v>--</v>
      </c>
      <c r="AF231" s="10">
        <f t="shared" si="90"/>
        <v>0</v>
      </c>
      <c r="AG231" s="8">
        <v>23</v>
      </c>
      <c r="AH231" s="9">
        <f t="shared" si="91"/>
        <v>0</v>
      </c>
      <c r="AI231" s="11">
        <f t="shared" si="92"/>
        <v>0</v>
      </c>
      <c r="AJ231" s="6"/>
      <c r="AK231" s="6"/>
      <c r="AL231" s="6"/>
      <c r="AN231" t="str">
        <f t="shared" si="74"/>
        <v>"23":{</v>
      </c>
      <c r="AO231" t="str">
        <f t="shared" si="75"/>
        <v>"group":"A",</v>
      </c>
      <c r="AP231" t="str">
        <f t="shared" si="93"/>
        <v>"lot":0,</v>
      </c>
      <c r="AQ231" t="str">
        <f t="shared" si="76"/>
        <v>"name":"0",</v>
      </c>
      <c r="AR231" t="str">
        <f t="shared" si="77"/>
        <v>"team":"0",</v>
      </c>
      <c r="AS231" t="str">
        <f t="shared" si="78"/>
        <v>"year":"0",</v>
      </c>
      <c r="AT231" t="str">
        <f t="shared" si="79"/>
        <v>"division":"--",</v>
      </c>
      <c r="AU231" t="str">
        <f t="shared" si="80"/>
        <v>"bw":"0",</v>
      </c>
      <c r="AV231" t="str">
        <f t="shared" si="81"/>
        <v>"idx":"23",</v>
      </c>
      <c r="AW231" t="str">
        <f t="shared" si="82"/>
        <v>"sr":"0",</v>
      </c>
      <c r="AX231" t="str">
        <f t="shared" si="83"/>
        <v>"br":"0",</v>
      </c>
      <c r="AY231" t="str">
        <f t="shared" si="84"/>
        <v>"row":0,</v>
      </c>
      <c r="AZ231" t="s">
        <v>67</v>
      </c>
      <c r="BA231" t="str">
        <f t="shared" si="94"/>
        <v>"sq":{"a1":0,"a2":"","a3":"","s1":0,"s2":0,"s3":0},"bp":{"a1":0,"a2":"","a3":"","s1":0,"s2":0,"s3":0},"dl":{"a1":0,"a2":"","a3":"","s1":0,"s2":0,"s3":0},"sortOrder":0,"act":{}}</v>
      </c>
      <c r="BB231" t="str">
        <f t="shared" si="95"/>
        <v>"23":{"group":"A","lot":0,"name":"0","team":"0","year":"0","division":"--","bw":"0","idx":"23","sr":"0","br":"0","row":0,"sq":{"a1":0,"a2":"","a3":"","s1":0,"s2":0,"s3":0},"bp":{"a1":0,"a2":"","a3":"","s1":0,"s2":0,"s3":0},"dl":{"a1":0,"a2":"","a3":"","s1":0,"s2":0,"s3":0},"sortOrder":0,"act":{}}</v>
      </c>
    </row>
    <row r="232" spans="5:54" x14ac:dyDescent="0.25">
      <c r="E232" s="163"/>
      <c r="F232" s="126"/>
      <c r="G232" s="126"/>
      <c r="H232" s="126"/>
      <c r="I232" s="126"/>
      <c r="J232" s="126"/>
      <c r="K232" s="126"/>
      <c r="L232" s="126"/>
      <c r="M232" s="126"/>
      <c r="N232" s="126"/>
      <c r="O232" s="126"/>
      <c r="P232" s="126"/>
      <c r="Q232" s="126"/>
      <c r="R232" s="126"/>
      <c r="S232" s="126"/>
      <c r="T232" s="127"/>
      <c r="U232" s="128"/>
      <c r="V232" s="128"/>
      <c r="W232" s="129"/>
      <c r="Z232" s="15" t="str">
        <f t="shared" si="73"/>
        <v>A</v>
      </c>
      <c r="AA232" s="8">
        <f t="shared" si="85"/>
        <v>0</v>
      </c>
      <c r="AB232" s="9">
        <f t="shared" si="88"/>
        <v>0</v>
      </c>
      <c r="AC232" s="8">
        <f t="shared" si="86"/>
        <v>0</v>
      </c>
      <c r="AD232" s="8">
        <f t="shared" si="87"/>
        <v>0</v>
      </c>
      <c r="AE232" s="8" t="str">
        <f t="shared" si="89"/>
        <v>--</v>
      </c>
      <c r="AF232" s="10">
        <f t="shared" si="90"/>
        <v>0</v>
      </c>
      <c r="AG232" s="8">
        <v>23</v>
      </c>
      <c r="AH232" s="9">
        <f t="shared" si="91"/>
        <v>0</v>
      </c>
      <c r="AI232" s="11">
        <f t="shared" si="92"/>
        <v>0</v>
      </c>
      <c r="AJ232" s="6"/>
      <c r="AK232" s="6"/>
      <c r="AL232" s="6"/>
      <c r="AN232" t="str">
        <f t="shared" si="74"/>
        <v>"23":{</v>
      </c>
      <c r="AO232" t="str">
        <f t="shared" si="75"/>
        <v>"group":"A",</v>
      </c>
      <c r="AP232" t="str">
        <f t="shared" si="93"/>
        <v>"lot":0,</v>
      </c>
      <c r="AQ232" t="str">
        <f t="shared" si="76"/>
        <v>"name":"0",</v>
      </c>
      <c r="AR232" t="str">
        <f t="shared" si="77"/>
        <v>"team":"0",</v>
      </c>
      <c r="AS232" t="str">
        <f t="shared" si="78"/>
        <v>"year":"0",</v>
      </c>
      <c r="AT232" t="str">
        <f t="shared" si="79"/>
        <v>"division":"--",</v>
      </c>
      <c r="AU232" t="str">
        <f t="shared" si="80"/>
        <v>"bw":"0",</v>
      </c>
      <c r="AV232" t="str">
        <f t="shared" si="81"/>
        <v>"idx":"23",</v>
      </c>
      <c r="AW232" t="str">
        <f t="shared" si="82"/>
        <v>"sr":"0",</v>
      </c>
      <c r="AX232" t="str">
        <f t="shared" si="83"/>
        <v>"br":"0",</v>
      </c>
      <c r="AY232" t="str">
        <f t="shared" si="84"/>
        <v>"row":0,</v>
      </c>
      <c r="AZ232" t="s">
        <v>67</v>
      </c>
      <c r="BA232" t="str">
        <f t="shared" si="94"/>
        <v>"sq":{"a1":0,"a2":"","a3":"","s1":0,"s2":0,"s3":0},"bp":{"a1":0,"a2":"","a3":"","s1":0,"s2":0,"s3":0},"dl":{"a1":0,"a2":"","a3":"","s1":0,"s2":0,"s3":0},"sortOrder":0,"act":{}}</v>
      </c>
      <c r="BB232" t="str">
        <f t="shared" si="95"/>
        <v>"23":{"group":"A","lot":0,"name":"0","team":"0","year":"0","division":"--","bw":"0","idx":"23","sr":"0","br":"0","row":0,"sq":{"a1":0,"a2":"","a3":"","s1":0,"s2":0,"s3":0},"bp":{"a1":0,"a2":"","a3":"","s1":0,"s2":0,"s3":0},"dl":{"a1":0,"a2":"","a3":"","s1":0,"s2":0,"s3":0},"sortOrder":0,"act":{}}</v>
      </c>
    </row>
    <row r="233" spans="5:54" x14ac:dyDescent="0.25">
      <c r="E233" s="163"/>
      <c r="F233" s="126"/>
      <c r="G233" s="126"/>
      <c r="H233" s="126"/>
      <c r="I233" s="126"/>
      <c r="J233" s="126"/>
      <c r="K233" s="126"/>
      <c r="L233" s="126"/>
      <c r="M233" s="126"/>
      <c r="N233" s="126"/>
      <c r="O233" s="126"/>
      <c r="P233" s="126"/>
      <c r="Q233" s="126"/>
      <c r="R233" s="126"/>
      <c r="S233" s="126"/>
      <c r="T233" s="127"/>
      <c r="U233" s="128"/>
      <c r="V233" s="128"/>
      <c r="W233" s="129"/>
      <c r="Z233" s="15" t="str">
        <f t="shared" si="73"/>
        <v>A</v>
      </c>
      <c r="AA233" s="8">
        <f t="shared" si="85"/>
        <v>0</v>
      </c>
      <c r="AB233" s="9">
        <f t="shared" si="88"/>
        <v>0</v>
      </c>
      <c r="AC233" s="8">
        <f t="shared" si="86"/>
        <v>0</v>
      </c>
      <c r="AD233" s="8">
        <f t="shared" si="87"/>
        <v>0</v>
      </c>
      <c r="AE233" s="8" t="str">
        <f t="shared" si="89"/>
        <v>--</v>
      </c>
      <c r="AF233" s="10">
        <f t="shared" si="90"/>
        <v>0</v>
      </c>
      <c r="AG233" s="8">
        <v>23</v>
      </c>
      <c r="AH233" s="9">
        <f t="shared" si="91"/>
        <v>0</v>
      </c>
      <c r="AI233" s="11">
        <f t="shared" si="92"/>
        <v>0</v>
      </c>
      <c r="AJ233" s="6"/>
      <c r="AK233" s="6"/>
      <c r="AL233" s="6"/>
      <c r="AN233" t="str">
        <f t="shared" si="74"/>
        <v>"23":{</v>
      </c>
      <c r="AO233" t="str">
        <f t="shared" si="75"/>
        <v>"group":"A",</v>
      </c>
      <c r="AP233" t="str">
        <f t="shared" si="93"/>
        <v>"lot":0,</v>
      </c>
      <c r="AQ233" t="str">
        <f t="shared" si="76"/>
        <v>"name":"0",</v>
      </c>
      <c r="AR233" t="str">
        <f t="shared" si="77"/>
        <v>"team":"0",</v>
      </c>
      <c r="AS233" t="str">
        <f t="shared" si="78"/>
        <v>"year":"0",</v>
      </c>
      <c r="AT233" t="str">
        <f t="shared" si="79"/>
        <v>"division":"--",</v>
      </c>
      <c r="AU233" t="str">
        <f t="shared" si="80"/>
        <v>"bw":"0",</v>
      </c>
      <c r="AV233" t="str">
        <f t="shared" si="81"/>
        <v>"idx":"23",</v>
      </c>
      <c r="AW233" t="str">
        <f t="shared" si="82"/>
        <v>"sr":"0",</v>
      </c>
      <c r="AX233" t="str">
        <f t="shared" si="83"/>
        <v>"br":"0",</v>
      </c>
      <c r="AY233" t="str">
        <f t="shared" si="84"/>
        <v>"row":0,</v>
      </c>
      <c r="AZ233" t="s">
        <v>67</v>
      </c>
      <c r="BA233" t="str">
        <f t="shared" si="94"/>
        <v>"sq":{"a1":0,"a2":"","a3":"","s1":0,"s2":0,"s3":0},"bp":{"a1":0,"a2":"","a3":"","s1":0,"s2":0,"s3":0},"dl":{"a1":0,"a2":"","a3":"","s1":0,"s2":0,"s3":0},"sortOrder":0,"act":{}}</v>
      </c>
      <c r="BB233" t="str">
        <f t="shared" si="95"/>
        <v>"23":{"group":"A","lot":0,"name":"0","team":"0","year":"0","division":"--","bw":"0","idx":"23","sr":"0","br":"0","row":0,"sq":{"a1":0,"a2":"","a3":"","s1":0,"s2":0,"s3":0},"bp":{"a1":0,"a2":"","a3":"","s1":0,"s2":0,"s3":0},"dl":{"a1":0,"a2":"","a3":"","s1":0,"s2":0,"s3":0},"sortOrder":0,"act":{}}</v>
      </c>
    </row>
    <row r="234" spans="5:54" x14ac:dyDescent="0.25">
      <c r="E234" s="163"/>
      <c r="F234" s="126"/>
      <c r="G234" s="126"/>
      <c r="H234" s="126"/>
      <c r="I234" s="126"/>
      <c r="J234" s="126"/>
      <c r="K234" s="126"/>
      <c r="L234" s="126"/>
      <c r="M234" s="126"/>
      <c r="N234" s="126"/>
      <c r="O234" s="126"/>
      <c r="P234" s="126"/>
      <c r="Q234" s="126"/>
      <c r="R234" s="126"/>
      <c r="S234" s="126"/>
      <c r="T234" s="127"/>
      <c r="U234" s="128"/>
      <c r="V234" s="128"/>
      <c r="W234" s="129"/>
      <c r="Z234" s="15" t="str">
        <f t="shared" si="73"/>
        <v>A</v>
      </c>
      <c r="AA234" s="8">
        <f t="shared" si="85"/>
        <v>0</v>
      </c>
      <c r="AB234" s="9">
        <f t="shared" si="88"/>
        <v>0</v>
      </c>
      <c r="AC234" s="8">
        <f t="shared" si="86"/>
        <v>0</v>
      </c>
      <c r="AD234" s="8">
        <f t="shared" si="87"/>
        <v>0</v>
      </c>
      <c r="AE234" s="8" t="str">
        <f t="shared" si="89"/>
        <v>--</v>
      </c>
      <c r="AF234" s="10">
        <f t="shared" si="90"/>
        <v>0</v>
      </c>
      <c r="AG234" s="8">
        <v>23</v>
      </c>
      <c r="AH234" s="9">
        <f t="shared" si="91"/>
        <v>0</v>
      </c>
      <c r="AI234" s="11">
        <f t="shared" si="92"/>
        <v>0</v>
      </c>
      <c r="AJ234" s="6"/>
      <c r="AK234" s="6"/>
      <c r="AL234" s="6"/>
      <c r="AN234" t="str">
        <f t="shared" si="74"/>
        <v>"23":{</v>
      </c>
      <c r="AO234" t="str">
        <f t="shared" si="75"/>
        <v>"group":"A",</v>
      </c>
      <c r="AP234" t="str">
        <f t="shared" si="93"/>
        <v>"lot":0,</v>
      </c>
      <c r="AQ234" t="str">
        <f t="shared" si="76"/>
        <v>"name":"0",</v>
      </c>
      <c r="AR234" t="str">
        <f t="shared" si="77"/>
        <v>"team":"0",</v>
      </c>
      <c r="AS234" t="str">
        <f t="shared" si="78"/>
        <v>"year":"0",</v>
      </c>
      <c r="AT234" t="str">
        <f t="shared" si="79"/>
        <v>"division":"--",</v>
      </c>
      <c r="AU234" t="str">
        <f t="shared" si="80"/>
        <v>"bw":"0",</v>
      </c>
      <c r="AV234" t="str">
        <f t="shared" si="81"/>
        <v>"idx":"23",</v>
      </c>
      <c r="AW234" t="str">
        <f t="shared" si="82"/>
        <v>"sr":"0",</v>
      </c>
      <c r="AX234" t="str">
        <f t="shared" si="83"/>
        <v>"br":"0",</v>
      </c>
      <c r="AY234" t="str">
        <f t="shared" si="84"/>
        <v>"row":0,</v>
      </c>
      <c r="AZ234" t="s">
        <v>67</v>
      </c>
      <c r="BA234" t="str">
        <f t="shared" si="94"/>
        <v>"sq":{"a1":0,"a2":"","a3":"","s1":0,"s2":0,"s3":0},"bp":{"a1":0,"a2":"","a3":"","s1":0,"s2":0,"s3":0},"dl":{"a1":0,"a2":"","a3":"","s1":0,"s2":0,"s3":0},"sortOrder":0,"act":{}}</v>
      </c>
      <c r="BB234" t="str">
        <f t="shared" si="95"/>
        <v>"23":{"group":"A","lot":0,"name":"0","team":"0","year":"0","division":"--","bw":"0","idx":"23","sr":"0","br":"0","row":0,"sq":{"a1":0,"a2":"","a3":"","s1":0,"s2":0,"s3":0},"bp":{"a1":0,"a2":"","a3":"","s1":0,"s2":0,"s3":0},"dl":{"a1":0,"a2":"","a3":"","s1":0,"s2":0,"s3":0},"sortOrder":0,"act":{}}</v>
      </c>
    </row>
    <row r="235" spans="5:54" x14ac:dyDescent="0.25">
      <c r="E235" s="163"/>
      <c r="F235" s="126"/>
      <c r="G235" s="126"/>
      <c r="H235" s="126"/>
      <c r="I235" s="126"/>
      <c r="J235" s="126"/>
      <c r="K235" s="126"/>
      <c r="L235" s="126"/>
      <c r="M235" s="126"/>
      <c r="N235" s="126"/>
      <c r="O235" s="126"/>
      <c r="P235" s="126"/>
      <c r="Q235" s="126"/>
      <c r="R235" s="126"/>
      <c r="S235" s="126"/>
      <c r="T235" s="127"/>
      <c r="U235" s="128"/>
      <c r="V235" s="128"/>
      <c r="W235" s="129"/>
      <c r="Z235" s="15" t="str">
        <f t="shared" si="73"/>
        <v>A</v>
      </c>
      <c r="AA235" s="8">
        <f t="shared" si="85"/>
        <v>0</v>
      </c>
      <c r="AB235" s="9">
        <f t="shared" si="88"/>
        <v>0</v>
      </c>
      <c r="AC235" s="8">
        <f t="shared" si="86"/>
        <v>0</v>
      </c>
      <c r="AD235" s="8">
        <f t="shared" si="87"/>
        <v>0</v>
      </c>
      <c r="AE235" s="8" t="str">
        <f t="shared" si="89"/>
        <v>--</v>
      </c>
      <c r="AF235" s="10">
        <f t="shared" si="90"/>
        <v>0</v>
      </c>
      <c r="AG235" s="8">
        <v>23</v>
      </c>
      <c r="AH235" s="9">
        <f t="shared" si="91"/>
        <v>0</v>
      </c>
      <c r="AI235" s="11">
        <f t="shared" si="92"/>
        <v>0</v>
      </c>
      <c r="AJ235" s="6"/>
      <c r="AK235" s="6"/>
      <c r="AL235" s="6"/>
      <c r="AN235" t="str">
        <f t="shared" si="74"/>
        <v>"23":{</v>
      </c>
      <c r="AO235" t="str">
        <f t="shared" si="75"/>
        <v>"group":"A",</v>
      </c>
      <c r="AP235" t="str">
        <f t="shared" si="93"/>
        <v>"lot":0,</v>
      </c>
      <c r="AQ235" t="str">
        <f t="shared" si="76"/>
        <v>"name":"0",</v>
      </c>
      <c r="AR235" t="str">
        <f t="shared" si="77"/>
        <v>"team":"0",</v>
      </c>
      <c r="AS235" t="str">
        <f t="shared" si="78"/>
        <v>"year":"0",</v>
      </c>
      <c r="AT235" t="str">
        <f t="shared" si="79"/>
        <v>"division":"--",</v>
      </c>
      <c r="AU235" t="str">
        <f t="shared" si="80"/>
        <v>"bw":"0",</v>
      </c>
      <c r="AV235" t="str">
        <f t="shared" si="81"/>
        <v>"idx":"23",</v>
      </c>
      <c r="AW235" t="str">
        <f t="shared" si="82"/>
        <v>"sr":"0",</v>
      </c>
      <c r="AX235" t="str">
        <f t="shared" si="83"/>
        <v>"br":"0",</v>
      </c>
      <c r="AY235" t="str">
        <f t="shared" si="84"/>
        <v>"row":0,</v>
      </c>
      <c r="AZ235" t="s">
        <v>67</v>
      </c>
      <c r="BA235" t="str">
        <f t="shared" si="94"/>
        <v>"sq":{"a1":0,"a2":"","a3":"","s1":0,"s2":0,"s3":0},"bp":{"a1":0,"a2":"","a3":"","s1":0,"s2":0,"s3":0},"dl":{"a1":0,"a2":"","a3":"","s1":0,"s2":0,"s3":0},"sortOrder":0,"act":{}}</v>
      </c>
      <c r="BB235" t="str">
        <f t="shared" si="95"/>
        <v>"23":{"group":"A","lot":0,"name":"0","team":"0","year":"0","division":"--","bw":"0","idx":"23","sr":"0","br":"0","row":0,"sq":{"a1":0,"a2":"","a3":"","s1":0,"s2":0,"s3":0},"bp":{"a1":0,"a2":"","a3":"","s1":0,"s2":0,"s3":0},"dl":{"a1":0,"a2":"","a3":"","s1":0,"s2":0,"s3":0},"sortOrder":0,"act":{}}</v>
      </c>
    </row>
    <row r="236" spans="5:54" x14ac:dyDescent="0.25">
      <c r="E236" s="163"/>
      <c r="F236" s="126"/>
      <c r="G236" s="126"/>
      <c r="H236" s="126"/>
      <c r="I236" s="126"/>
      <c r="J236" s="126"/>
      <c r="K236" s="126"/>
      <c r="L236" s="126"/>
      <c r="M236" s="126"/>
      <c r="N236" s="126"/>
      <c r="O236" s="126"/>
      <c r="P236" s="126"/>
      <c r="Q236" s="126"/>
      <c r="R236" s="126"/>
      <c r="S236" s="126"/>
      <c r="T236" s="127"/>
      <c r="U236" s="128"/>
      <c r="V236" s="128"/>
      <c r="W236" s="129"/>
      <c r="Z236" s="15" t="str">
        <f t="shared" si="73"/>
        <v>A</v>
      </c>
      <c r="AA236" s="8">
        <f t="shared" si="85"/>
        <v>0</v>
      </c>
      <c r="AB236" s="9">
        <f t="shared" si="88"/>
        <v>0</v>
      </c>
      <c r="AC236" s="8">
        <f t="shared" si="86"/>
        <v>0</v>
      </c>
      <c r="AD236" s="8">
        <f t="shared" si="87"/>
        <v>0</v>
      </c>
      <c r="AE236" s="8" t="str">
        <f t="shared" si="89"/>
        <v>--</v>
      </c>
      <c r="AF236" s="10">
        <f t="shared" si="90"/>
        <v>0</v>
      </c>
      <c r="AG236" s="8">
        <v>23</v>
      </c>
      <c r="AH236" s="9">
        <f t="shared" si="91"/>
        <v>0</v>
      </c>
      <c r="AI236" s="11">
        <f t="shared" si="92"/>
        <v>0</v>
      </c>
      <c r="AJ236" s="6"/>
      <c r="AK236" s="6"/>
      <c r="AL236" s="6"/>
      <c r="AN236" t="str">
        <f t="shared" si="74"/>
        <v>"23":{</v>
      </c>
      <c r="AO236" t="str">
        <f t="shared" si="75"/>
        <v>"group":"A",</v>
      </c>
      <c r="AP236" t="str">
        <f t="shared" si="93"/>
        <v>"lot":0,</v>
      </c>
      <c r="AQ236" t="str">
        <f t="shared" si="76"/>
        <v>"name":"0",</v>
      </c>
      <c r="AR236" t="str">
        <f t="shared" si="77"/>
        <v>"team":"0",</v>
      </c>
      <c r="AS236" t="str">
        <f t="shared" si="78"/>
        <v>"year":"0",</v>
      </c>
      <c r="AT236" t="str">
        <f t="shared" si="79"/>
        <v>"division":"--",</v>
      </c>
      <c r="AU236" t="str">
        <f t="shared" si="80"/>
        <v>"bw":"0",</v>
      </c>
      <c r="AV236" t="str">
        <f t="shared" si="81"/>
        <v>"idx":"23",</v>
      </c>
      <c r="AW236" t="str">
        <f t="shared" si="82"/>
        <v>"sr":"0",</v>
      </c>
      <c r="AX236" t="str">
        <f t="shared" si="83"/>
        <v>"br":"0",</v>
      </c>
      <c r="AY236" t="str">
        <f t="shared" si="84"/>
        <v>"row":0,</v>
      </c>
      <c r="AZ236" t="s">
        <v>67</v>
      </c>
      <c r="BA236" t="str">
        <f t="shared" si="94"/>
        <v>"sq":{"a1":0,"a2":"","a3":"","s1":0,"s2":0,"s3":0},"bp":{"a1":0,"a2":"","a3":"","s1":0,"s2":0,"s3":0},"dl":{"a1":0,"a2":"","a3":"","s1":0,"s2":0,"s3":0},"sortOrder":0,"act":{}}</v>
      </c>
      <c r="BB236" t="str">
        <f t="shared" si="95"/>
        <v>"23":{"group":"A","lot":0,"name":"0","team":"0","year":"0","division":"--","bw":"0","idx":"23","sr":"0","br":"0","row":0,"sq":{"a1":0,"a2":"","a3":"","s1":0,"s2":0,"s3":0},"bp":{"a1":0,"a2":"","a3":"","s1":0,"s2":0,"s3":0},"dl":{"a1":0,"a2":"","a3":"","s1":0,"s2":0,"s3":0},"sortOrder":0,"act":{}}</v>
      </c>
    </row>
    <row r="237" spans="5:54" x14ac:dyDescent="0.25">
      <c r="E237" s="163"/>
      <c r="F237" s="126"/>
      <c r="G237" s="126"/>
      <c r="H237" s="126"/>
      <c r="I237" s="126"/>
      <c r="J237" s="126"/>
      <c r="K237" s="126"/>
      <c r="L237" s="126"/>
      <c r="M237" s="126"/>
      <c r="N237" s="126"/>
      <c r="O237" s="126"/>
      <c r="P237" s="126"/>
      <c r="Q237" s="126"/>
      <c r="R237" s="126"/>
      <c r="S237" s="126"/>
      <c r="T237" s="127"/>
      <c r="U237" s="128"/>
      <c r="V237" s="128"/>
      <c r="W237" s="129"/>
      <c r="Z237" s="15" t="str">
        <f t="shared" si="73"/>
        <v>A</v>
      </c>
      <c r="AA237" s="8">
        <f t="shared" si="85"/>
        <v>0</v>
      </c>
      <c r="AB237" s="9">
        <f t="shared" si="88"/>
        <v>0</v>
      </c>
      <c r="AC237" s="8">
        <f t="shared" si="86"/>
        <v>0</v>
      </c>
      <c r="AD237" s="8">
        <f t="shared" si="87"/>
        <v>0</v>
      </c>
      <c r="AE237" s="8" t="str">
        <f t="shared" si="89"/>
        <v>--</v>
      </c>
      <c r="AF237" s="10">
        <f t="shared" si="90"/>
        <v>0</v>
      </c>
      <c r="AG237" s="8">
        <v>23</v>
      </c>
      <c r="AH237" s="9">
        <f t="shared" si="91"/>
        <v>0</v>
      </c>
      <c r="AI237" s="11">
        <f t="shared" si="92"/>
        <v>0</v>
      </c>
      <c r="AJ237" s="6"/>
      <c r="AK237" s="6"/>
      <c r="AL237" s="6"/>
      <c r="AN237" t="str">
        <f t="shared" si="74"/>
        <v>"23":{</v>
      </c>
      <c r="AO237" t="str">
        <f t="shared" si="75"/>
        <v>"group":"A",</v>
      </c>
      <c r="AP237" t="str">
        <f t="shared" si="93"/>
        <v>"lot":0,</v>
      </c>
      <c r="AQ237" t="str">
        <f t="shared" si="76"/>
        <v>"name":"0",</v>
      </c>
      <c r="AR237" t="str">
        <f t="shared" si="77"/>
        <v>"team":"0",</v>
      </c>
      <c r="AS237" t="str">
        <f t="shared" si="78"/>
        <v>"year":"0",</v>
      </c>
      <c r="AT237" t="str">
        <f t="shared" si="79"/>
        <v>"division":"--",</v>
      </c>
      <c r="AU237" t="str">
        <f t="shared" si="80"/>
        <v>"bw":"0",</v>
      </c>
      <c r="AV237" t="str">
        <f t="shared" si="81"/>
        <v>"idx":"23",</v>
      </c>
      <c r="AW237" t="str">
        <f t="shared" si="82"/>
        <v>"sr":"0",</v>
      </c>
      <c r="AX237" t="str">
        <f t="shared" si="83"/>
        <v>"br":"0",</v>
      </c>
      <c r="AY237" t="str">
        <f t="shared" si="84"/>
        <v>"row":0,</v>
      </c>
      <c r="AZ237" t="s">
        <v>67</v>
      </c>
      <c r="BA237" t="str">
        <f t="shared" si="94"/>
        <v>"sq":{"a1":0,"a2":"","a3":"","s1":0,"s2":0,"s3":0},"bp":{"a1":0,"a2":"","a3":"","s1":0,"s2":0,"s3":0},"dl":{"a1":0,"a2":"","a3":"","s1":0,"s2":0,"s3":0},"sortOrder":0,"act":{}}</v>
      </c>
      <c r="BB237" t="str">
        <f t="shared" si="95"/>
        <v>"23":{"group":"A","lot":0,"name":"0","team":"0","year":"0","division":"--","bw":"0","idx":"23","sr":"0","br":"0","row":0,"sq":{"a1":0,"a2":"","a3":"","s1":0,"s2":0,"s3":0},"bp":{"a1":0,"a2":"","a3":"","s1":0,"s2":0,"s3":0},"dl":{"a1":0,"a2":"","a3":"","s1":0,"s2":0,"s3":0},"sortOrder":0,"act":{}}</v>
      </c>
    </row>
    <row r="238" spans="5:54" x14ac:dyDescent="0.25">
      <c r="E238" s="163"/>
      <c r="F238" s="126"/>
      <c r="G238" s="126"/>
      <c r="H238" s="126"/>
      <c r="I238" s="126"/>
      <c r="J238" s="126"/>
      <c r="K238" s="126"/>
      <c r="L238" s="126"/>
      <c r="M238" s="126"/>
      <c r="N238" s="126"/>
      <c r="O238" s="126"/>
      <c r="P238" s="126"/>
      <c r="Q238" s="126"/>
      <c r="R238" s="126"/>
      <c r="S238" s="126"/>
      <c r="T238" s="127"/>
      <c r="U238" s="128"/>
      <c r="V238" s="128"/>
      <c r="W238" s="129"/>
      <c r="Z238" s="15" t="str">
        <f t="shared" si="73"/>
        <v>A</v>
      </c>
      <c r="AA238" s="8">
        <f t="shared" si="85"/>
        <v>0</v>
      </c>
      <c r="AB238" s="9">
        <f t="shared" si="88"/>
        <v>0</v>
      </c>
      <c r="AC238" s="8">
        <f t="shared" si="86"/>
        <v>0</v>
      </c>
      <c r="AD238" s="8">
        <f t="shared" si="87"/>
        <v>0</v>
      </c>
      <c r="AE238" s="8" t="str">
        <f t="shared" si="89"/>
        <v>--</v>
      </c>
      <c r="AF238" s="10">
        <f t="shared" si="90"/>
        <v>0</v>
      </c>
      <c r="AG238" s="8">
        <v>23</v>
      </c>
      <c r="AH238" s="9">
        <f t="shared" si="91"/>
        <v>0</v>
      </c>
      <c r="AI238" s="11">
        <f t="shared" si="92"/>
        <v>0</v>
      </c>
      <c r="AJ238" s="6"/>
      <c r="AK238" s="6"/>
      <c r="AL238" s="6"/>
      <c r="AN238" t="str">
        <f t="shared" si="74"/>
        <v>"23":{</v>
      </c>
      <c r="AO238" t="str">
        <f t="shared" si="75"/>
        <v>"group":"A",</v>
      </c>
      <c r="AP238" t="str">
        <f t="shared" si="93"/>
        <v>"lot":0,</v>
      </c>
      <c r="AQ238" t="str">
        <f t="shared" si="76"/>
        <v>"name":"0",</v>
      </c>
      <c r="AR238" t="str">
        <f t="shared" si="77"/>
        <v>"team":"0",</v>
      </c>
      <c r="AS238" t="str">
        <f t="shared" si="78"/>
        <v>"year":"0",</v>
      </c>
      <c r="AT238" t="str">
        <f t="shared" si="79"/>
        <v>"division":"--",</v>
      </c>
      <c r="AU238" t="str">
        <f t="shared" si="80"/>
        <v>"bw":"0",</v>
      </c>
      <c r="AV238" t="str">
        <f t="shared" si="81"/>
        <v>"idx":"23",</v>
      </c>
      <c r="AW238" t="str">
        <f t="shared" si="82"/>
        <v>"sr":"0",</v>
      </c>
      <c r="AX238" t="str">
        <f t="shared" si="83"/>
        <v>"br":"0",</v>
      </c>
      <c r="AY238" t="str">
        <f t="shared" si="84"/>
        <v>"row":0,</v>
      </c>
      <c r="AZ238" t="s">
        <v>67</v>
      </c>
      <c r="BA238" t="str">
        <f t="shared" si="94"/>
        <v>"sq":{"a1":0,"a2":"","a3":"","s1":0,"s2":0,"s3":0},"bp":{"a1":0,"a2":"","a3":"","s1":0,"s2":0,"s3":0},"dl":{"a1":0,"a2":"","a3":"","s1":0,"s2":0,"s3":0},"sortOrder":0,"act":{}}</v>
      </c>
      <c r="BB238" t="str">
        <f t="shared" si="95"/>
        <v>"23":{"group":"A","lot":0,"name":"0","team":"0","year":"0","division":"--","bw":"0","idx":"23","sr":"0","br":"0","row":0,"sq":{"a1":0,"a2":"","a3":"","s1":0,"s2":0,"s3":0},"bp":{"a1":0,"a2":"","a3":"","s1":0,"s2":0,"s3":0},"dl":{"a1":0,"a2":"","a3":"","s1":0,"s2":0,"s3":0},"sortOrder":0,"act":{}}</v>
      </c>
    </row>
    <row r="239" spans="5:54" x14ac:dyDescent="0.25">
      <c r="E239" s="163"/>
      <c r="F239" s="126"/>
      <c r="G239" s="126"/>
      <c r="H239" s="126"/>
      <c r="I239" s="126"/>
      <c r="J239" s="126"/>
      <c r="K239" s="126"/>
      <c r="L239" s="126"/>
      <c r="M239" s="126"/>
      <c r="N239" s="126"/>
      <c r="O239" s="126"/>
      <c r="P239" s="126"/>
      <c r="Q239" s="126"/>
      <c r="R239" s="126"/>
      <c r="S239" s="126"/>
      <c r="T239" s="127"/>
      <c r="U239" s="128"/>
      <c r="V239" s="128"/>
      <c r="W239" s="129"/>
      <c r="Z239" s="15" t="str">
        <f t="shared" si="73"/>
        <v>A</v>
      </c>
      <c r="AA239" s="8">
        <f t="shared" si="85"/>
        <v>0</v>
      </c>
      <c r="AB239" s="9">
        <f t="shared" si="88"/>
        <v>0</v>
      </c>
      <c r="AC239" s="8">
        <f t="shared" si="86"/>
        <v>0</v>
      </c>
      <c r="AD239" s="8">
        <f t="shared" si="87"/>
        <v>0</v>
      </c>
      <c r="AE239" s="8" t="str">
        <f t="shared" si="89"/>
        <v>--</v>
      </c>
      <c r="AF239" s="10">
        <f t="shared" si="90"/>
        <v>0</v>
      </c>
      <c r="AG239" s="8">
        <v>23</v>
      </c>
      <c r="AH239" s="9">
        <f t="shared" si="91"/>
        <v>0</v>
      </c>
      <c r="AI239" s="11">
        <f t="shared" si="92"/>
        <v>0</v>
      </c>
      <c r="AJ239" s="6"/>
      <c r="AK239" s="6"/>
      <c r="AL239" s="6"/>
      <c r="AN239" t="str">
        <f t="shared" si="74"/>
        <v>"23":{</v>
      </c>
      <c r="AO239" t="str">
        <f t="shared" si="75"/>
        <v>"group":"A",</v>
      </c>
      <c r="AP239" t="str">
        <f t="shared" si="93"/>
        <v>"lot":0,</v>
      </c>
      <c r="AQ239" t="str">
        <f t="shared" si="76"/>
        <v>"name":"0",</v>
      </c>
      <c r="AR239" t="str">
        <f t="shared" si="77"/>
        <v>"team":"0",</v>
      </c>
      <c r="AS239" t="str">
        <f t="shared" si="78"/>
        <v>"year":"0",</v>
      </c>
      <c r="AT239" t="str">
        <f t="shared" si="79"/>
        <v>"division":"--",</v>
      </c>
      <c r="AU239" t="str">
        <f t="shared" si="80"/>
        <v>"bw":"0",</v>
      </c>
      <c r="AV239" t="str">
        <f t="shared" si="81"/>
        <v>"idx":"23",</v>
      </c>
      <c r="AW239" t="str">
        <f t="shared" si="82"/>
        <v>"sr":"0",</v>
      </c>
      <c r="AX239" t="str">
        <f t="shared" si="83"/>
        <v>"br":"0",</v>
      </c>
      <c r="AY239" t="str">
        <f t="shared" si="84"/>
        <v>"row":0,</v>
      </c>
      <c r="AZ239" t="s">
        <v>67</v>
      </c>
      <c r="BA239" t="str">
        <f t="shared" si="94"/>
        <v>"sq":{"a1":0,"a2":"","a3":"","s1":0,"s2":0,"s3":0},"bp":{"a1":0,"a2":"","a3":"","s1":0,"s2":0,"s3":0},"dl":{"a1":0,"a2":"","a3":"","s1":0,"s2":0,"s3":0},"sortOrder":0,"act":{}}</v>
      </c>
      <c r="BB239" t="str">
        <f t="shared" si="95"/>
        <v>"23":{"group":"A","lot":0,"name":"0","team":"0","year":"0","division":"--","bw":"0","idx":"23","sr":"0","br":"0","row":0,"sq":{"a1":0,"a2":"","a3":"","s1":0,"s2":0,"s3":0},"bp":{"a1":0,"a2":"","a3":"","s1":0,"s2":0,"s3":0},"dl":{"a1":0,"a2":"","a3":"","s1":0,"s2":0,"s3":0},"sortOrder":0,"act":{}}</v>
      </c>
    </row>
    <row r="240" spans="5:54" x14ac:dyDescent="0.25">
      <c r="E240" s="163"/>
      <c r="F240" s="126"/>
      <c r="G240" s="126"/>
      <c r="H240" s="126"/>
      <c r="I240" s="126"/>
      <c r="J240" s="126"/>
      <c r="K240" s="126"/>
      <c r="L240" s="126"/>
      <c r="M240" s="126"/>
      <c r="N240" s="126"/>
      <c r="O240" s="126"/>
      <c r="P240" s="126"/>
      <c r="Q240" s="126"/>
      <c r="R240" s="126"/>
      <c r="S240" s="126"/>
      <c r="T240" s="127"/>
      <c r="U240" s="128"/>
      <c r="V240" s="128"/>
      <c r="W240" s="129"/>
      <c r="Z240" s="15" t="str">
        <f t="shared" si="73"/>
        <v>A</v>
      </c>
      <c r="AA240" s="8">
        <f t="shared" si="85"/>
        <v>0</v>
      </c>
      <c r="AB240" s="9">
        <f t="shared" si="88"/>
        <v>0</v>
      </c>
      <c r="AC240" s="8">
        <f t="shared" si="86"/>
        <v>0</v>
      </c>
      <c r="AD240" s="8">
        <f t="shared" si="87"/>
        <v>0</v>
      </c>
      <c r="AE240" s="8" t="str">
        <f t="shared" si="89"/>
        <v>--</v>
      </c>
      <c r="AF240" s="10">
        <f t="shared" si="90"/>
        <v>0</v>
      </c>
      <c r="AG240" s="8">
        <v>23</v>
      </c>
      <c r="AH240" s="9">
        <f t="shared" si="91"/>
        <v>0</v>
      </c>
      <c r="AI240" s="11">
        <f t="shared" si="92"/>
        <v>0</v>
      </c>
      <c r="AJ240" s="6"/>
      <c r="AK240" s="6"/>
      <c r="AL240" s="6"/>
      <c r="AN240" t="str">
        <f t="shared" si="74"/>
        <v>"23":{</v>
      </c>
      <c r="AO240" t="str">
        <f t="shared" si="75"/>
        <v>"group":"A",</v>
      </c>
      <c r="AP240" t="str">
        <f t="shared" si="93"/>
        <v>"lot":0,</v>
      </c>
      <c r="AQ240" t="str">
        <f t="shared" si="76"/>
        <v>"name":"0",</v>
      </c>
      <c r="AR240" t="str">
        <f t="shared" si="77"/>
        <v>"team":"0",</v>
      </c>
      <c r="AS240" t="str">
        <f t="shared" si="78"/>
        <v>"year":"0",</v>
      </c>
      <c r="AT240" t="str">
        <f t="shared" si="79"/>
        <v>"division":"--",</v>
      </c>
      <c r="AU240" t="str">
        <f t="shared" si="80"/>
        <v>"bw":"0",</v>
      </c>
      <c r="AV240" t="str">
        <f t="shared" si="81"/>
        <v>"idx":"23",</v>
      </c>
      <c r="AW240" t="str">
        <f t="shared" si="82"/>
        <v>"sr":"0",</v>
      </c>
      <c r="AX240" t="str">
        <f t="shared" si="83"/>
        <v>"br":"0",</v>
      </c>
      <c r="AY240" t="str">
        <f t="shared" si="84"/>
        <v>"row":0,</v>
      </c>
      <c r="AZ240" t="s">
        <v>67</v>
      </c>
      <c r="BA240" t="str">
        <f t="shared" si="94"/>
        <v>"sq":{"a1":0,"a2":"","a3":"","s1":0,"s2":0,"s3":0},"bp":{"a1":0,"a2":"","a3":"","s1":0,"s2":0,"s3":0},"dl":{"a1":0,"a2":"","a3":"","s1":0,"s2":0,"s3":0},"sortOrder":0,"act":{}}</v>
      </c>
      <c r="BB240" t="str">
        <f t="shared" si="95"/>
        <v>"23":{"group":"A","lot":0,"name":"0","team":"0","year":"0","division":"--","bw":"0","idx":"23","sr":"0","br":"0","row":0,"sq":{"a1":0,"a2":"","a3":"","s1":0,"s2":0,"s3":0},"bp":{"a1":0,"a2":"","a3":"","s1":0,"s2":0,"s3":0},"dl":{"a1":0,"a2":"","a3":"","s1":0,"s2":0,"s3":0},"sortOrder":0,"act":{}}</v>
      </c>
    </row>
    <row r="241" spans="5:54" x14ac:dyDescent="0.25">
      <c r="E241" s="163"/>
      <c r="F241" s="126"/>
      <c r="G241" s="126"/>
      <c r="H241" s="126"/>
      <c r="I241" s="126"/>
      <c r="J241" s="126"/>
      <c r="K241" s="126"/>
      <c r="L241" s="126"/>
      <c r="M241" s="126"/>
      <c r="N241" s="126"/>
      <c r="O241" s="126"/>
      <c r="P241" s="126"/>
      <c r="Q241" s="126"/>
      <c r="R241" s="126"/>
      <c r="S241" s="126"/>
      <c r="T241" s="127"/>
      <c r="U241" s="128"/>
      <c r="V241" s="128"/>
      <c r="W241" s="129"/>
      <c r="Z241" s="15" t="str">
        <f t="shared" si="73"/>
        <v>A</v>
      </c>
      <c r="AA241" s="8">
        <f t="shared" si="85"/>
        <v>0</v>
      </c>
      <c r="AB241" s="9">
        <f t="shared" si="88"/>
        <v>0</v>
      </c>
      <c r="AC241" s="8">
        <f t="shared" si="86"/>
        <v>0</v>
      </c>
      <c r="AD241" s="8">
        <f t="shared" si="87"/>
        <v>0</v>
      </c>
      <c r="AE241" s="8" t="str">
        <f t="shared" si="89"/>
        <v>--</v>
      </c>
      <c r="AF241" s="10">
        <f t="shared" si="90"/>
        <v>0</v>
      </c>
      <c r="AG241" s="8">
        <v>23</v>
      </c>
      <c r="AH241" s="9">
        <f t="shared" si="91"/>
        <v>0</v>
      </c>
      <c r="AI241" s="11">
        <f t="shared" si="92"/>
        <v>0</v>
      </c>
      <c r="AJ241" s="6"/>
      <c r="AK241" s="6"/>
      <c r="AL241" s="6"/>
      <c r="AN241" t="str">
        <f t="shared" si="74"/>
        <v>"23":{</v>
      </c>
      <c r="AO241" t="str">
        <f t="shared" si="75"/>
        <v>"group":"A",</v>
      </c>
      <c r="AP241" t="str">
        <f t="shared" si="93"/>
        <v>"lot":0,</v>
      </c>
      <c r="AQ241" t="str">
        <f t="shared" si="76"/>
        <v>"name":"0",</v>
      </c>
      <c r="AR241" t="str">
        <f t="shared" si="77"/>
        <v>"team":"0",</v>
      </c>
      <c r="AS241" t="str">
        <f t="shared" si="78"/>
        <v>"year":"0",</v>
      </c>
      <c r="AT241" t="str">
        <f t="shared" si="79"/>
        <v>"division":"--",</v>
      </c>
      <c r="AU241" t="str">
        <f t="shared" si="80"/>
        <v>"bw":"0",</v>
      </c>
      <c r="AV241" t="str">
        <f t="shared" si="81"/>
        <v>"idx":"23",</v>
      </c>
      <c r="AW241" t="str">
        <f t="shared" si="82"/>
        <v>"sr":"0",</v>
      </c>
      <c r="AX241" t="str">
        <f t="shared" si="83"/>
        <v>"br":"0",</v>
      </c>
      <c r="AY241" t="str">
        <f t="shared" si="84"/>
        <v>"row":0,</v>
      </c>
      <c r="AZ241" t="s">
        <v>67</v>
      </c>
      <c r="BA241" t="str">
        <f t="shared" si="94"/>
        <v>"sq":{"a1":0,"a2":"","a3":"","s1":0,"s2":0,"s3":0},"bp":{"a1":0,"a2":"","a3":"","s1":0,"s2":0,"s3":0},"dl":{"a1":0,"a2":"","a3":"","s1":0,"s2":0,"s3":0},"sortOrder":0,"act":{}}</v>
      </c>
      <c r="BB241" t="str">
        <f t="shared" si="95"/>
        <v>"23":{"group":"A","lot":0,"name":"0","team":"0","year":"0","division":"--","bw":"0","idx":"23","sr":"0","br":"0","row":0,"sq":{"a1":0,"a2":"","a3":"","s1":0,"s2":0,"s3":0},"bp":{"a1":0,"a2":"","a3":"","s1":0,"s2":0,"s3":0},"dl":{"a1":0,"a2":"","a3":"","s1":0,"s2":0,"s3":0},"sortOrder":0,"act":{}}</v>
      </c>
    </row>
    <row r="242" spans="5:54" x14ac:dyDescent="0.25">
      <c r="E242" s="163"/>
      <c r="F242" s="126"/>
      <c r="G242" s="126"/>
      <c r="H242" s="126"/>
      <c r="I242" s="126"/>
      <c r="J242" s="126"/>
      <c r="K242" s="126"/>
      <c r="L242" s="126"/>
      <c r="M242" s="126"/>
      <c r="N242" s="126"/>
      <c r="O242" s="126"/>
      <c r="P242" s="126"/>
      <c r="Q242" s="126"/>
      <c r="R242" s="126"/>
      <c r="S242" s="126"/>
      <c r="T242" s="127"/>
      <c r="U242" s="128"/>
      <c r="V242" s="128"/>
      <c r="W242" s="129"/>
      <c r="Z242" s="15" t="str">
        <f t="shared" si="73"/>
        <v>A</v>
      </c>
      <c r="AA242" s="8">
        <f t="shared" si="85"/>
        <v>0</v>
      </c>
      <c r="AB242" s="9">
        <f t="shared" si="88"/>
        <v>0</v>
      </c>
      <c r="AC242" s="8">
        <f t="shared" si="86"/>
        <v>0</v>
      </c>
      <c r="AD242" s="8">
        <f t="shared" si="87"/>
        <v>0</v>
      </c>
      <c r="AE242" s="8" t="str">
        <f t="shared" si="89"/>
        <v>--</v>
      </c>
      <c r="AF242" s="10">
        <f t="shared" si="90"/>
        <v>0</v>
      </c>
      <c r="AG242" s="8">
        <v>23</v>
      </c>
      <c r="AH242" s="9">
        <f t="shared" si="91"/>
        <v>0</v>
      </c>
      <c r="AI242" s="11">
        <f t="shared" si="92"/>
        <v>0</v>
      </c>
      <c r="AJ242" s="6"/>
      <c r="AK242" s="6"/>
      <c r="AL242" s="6"/>
      <c r="AN242" t="str">
        <f t="shared" si="74"/>
        <v>"23":{</v>
      </c>
      <c r="AO242" t="str">
        <f t="shared" si="75"/>
        <v>"group":"A",</v>
      </c>
      <c r="AP242" t="str">
        <f t="shared" si="93"/>
        <v>"lot":0,</v>
      </c>
      <c r="AQ242" t="str">
        <f t="shared" si="76"/>
        <v>"name":"0",</v>
      </c>
      <c r="AR242" t="str">
        <f t="shared" si="77"/>
        <v>"team":"0",</v>
      </c>
      <c r="AS242" t="str">
        <f t="shared" si="78"/>
        <v>"year":"0",</v>
      </c>
      <c r="AT242" t="str">
        <f t="shared" si="79"/>
        <v>"division":"--",</v>
      </c>
      <c r="AU242" t="str">
        <f t="shared" si="80"/>
        <v>"bw":"0",</v>
      </c>
      <c r="AV242" t="str">
        <f t="shared" si="81"/>
        <v>"idx":"23",</v>
      </c>
      <c r="AW242" t="str">
        <f t="shared" si="82"/>
        <v>"sr":"0",</v>
      </c>
      <c r="AX242" t="str">
        <f t="shared" si="83"/>
        <v>"br":"0",</v>
      </c>
      <c r="AY242" t="str">
        <f t="shared" si="84"/>
        <v>"row":0,</v>
      </c>
      <c r="AZ242" t="s">
        <v>67</v>
      </c>
      <c r="BA242" t="str">
        <f t="shared" si="94"/>
        <v>"sq":{"a1":0,"a2":"","a3":"","s1":0,"s2":0,"s3":0},"bp":{"a1":0,"a2":"","a3":"","s1":0,"s2":0,"s3":0},"dl":{"a1":0,"a2":"","a3":"","s1":0,"s2":0,"s3":0},"sortOrder":0,"act":{}}</v>
      </c>
      <c r="BB242" t="str">
        <f t="shared" si="95"/>
        <v>"23":{"group":"A","lot":0,"name":"0","team":"0","year":"0","division":"--","bw":"0","idx":"23","sr":"0","br":"0","row":0,"sq":{"a1":0,"a2":"","a3":"","s1":0,"s2":0,"s3":0},"bp":{"a1":0,"a2":"","a3":"","s1":0,"s2":0,"s3":0},"dl":{"a1":0,"a2":"","a3":"","s1":0,"s2":0,"s3":0},"sortOrder":0,"act":{}}</v>
      </c>
    </row>
    <row r="243" spans="5:54" x14ac:dyDescent="0.25">
      <c r="E243" s="163"/>
      <c r="F243" s="126"/>
      <c r="G243" s="126"/>
      <c r="H243" s="126"/>
      <c r="I243" s="126"/>
      <c r="J243" s="126"/>
      <c r="K243" s="126"/>
      <c r="L243" s="126"/>
      <c r="M243" s="126"/>
      <c r="N243" s="126"/>
      <c r="O243" s="126"/>
      <c r="P243" s="126"/>
      <c r="Q243" s="126"/>
      <c r="R243" s="126"/>
      <c r="S243" s="126"/>
      <c r="T243" s="127"/>
      <c r="U243" s="128"/>
      <c r="V243" s="128"/>
      <c r="W243" s="129"/>
      <c r="Z243" s="15" t="str">
        <f t="shared" si="73"/>
        <v>A</v>
      </c>
      <c r="AA243" s="8">
        <f t="shared" si="85"/>
        <v>0</v>
      </c>
      <c r="AB243" s="9">
        <f t="shared" si="88"/>
        <v>0</v>
      </c>
      <c r="AC243" s="8">
        <f t="shared" si="86"/>
        <v>0</v>
      </c>
      <c r="AD243" s="8">
        <f t="shared" si="87"/>
        <v>0</v>
      </c>
      <c r="AE243" s="8" t="str">
        <f t="shared" si="89"/>
        <v>--</v>
      </c>
      <c r="AF243" s="10">
        <f t="shared" si="90"/>
        <v>0</v>
      </c>
      <c r="AG243" s="8">
        <v>23</v>
      </c>
      <c r="AH243" s="9">
        <f t="shared" si="91"/>
        <v>0</v>
      </c>
      <c r="AI243" s="11">
        <f t="shared" si="92"/>
        <v>0</v>
      </c>
      <c r="AJ243" s="6"/>
      <c r="AK243" s="6"/>
      <c r="AL243" s="6"/>
      <c r="AN243" t="str">
        <f t="shared" si="74"/>
        <v>"23":{</v>
      </c>
      <c r="AO243" t="str">
        <f t="shared" si="75"/>
        <v>"group":"A",</v>
      </c>
      <c r="AP243" t="str">
        <f t="shared" si="93"/>
        <v>"lot":0,</v>
      </c>
      <c r="AQ243" t="str">
        <f t="shared" si="76"/>
        <v>"name":"0",</v>
      </c>
      <c r="AR243" t="str">
        <f t="shared" si="77"/>
        <v>"team":"0",</v>
      </c>
      <c r="AS243" t="str">
        <f t="shared" si="78"/>
        <v>"year":"0",</v>
      </c>
      <c r="AT243" t="str">
        <f t="shared" si="79"/>
        <v>"division":"--",</v>
      </c>
      <c r="AU243" t="str">
        <f t="shared" si="80"/>
        <v>"bw":"0",</v>
      </c>
      <c r="AV243" t="str">
        <f t="shared" si="81"/>
        <v>"idx":"23",</v>
      </c>
      <c r="AW243" t="str">
        <f t="shared" si="82"/>
        <v>"sr":"0",</v>
      </c>
      <c r="AX243" t="str">
        <f t="shared" si="83"/>
        <v>"br":"0",</v>
      </c>
      <c r="AY243" t="str">
        <f t="shared" si="84"/>
        <v>"row":0,</v>
      </c>
      <c r="AZ243" t="s">
        <v>67</v>
      </c>
      <c r="BA243" t="str">
        <f t="shared" si="94"/>
        <v>"sq":{"a1":0,"a2":"","a3":"","s1":0,"s2":0,"s3":0},"bp":{"a1":0,"a2":"","a3":"","s1":0,"s2":0,"s3":0},"dl":{"a1":0,"a2":"","a3":"","s1":0,"s2":0,"s3":0},"sortOrder":0,"act":{}}</v>
      </c>
      <c r="BB243" t="str">
        <f t="shared" si="95"/>
        <v>"23":{"group":"A","lot":0,"name":"0","team":"0","year":"0","division":"--","bw":"0","idx":"23","sr":"0","br":"0","row":0,"sq":{"a1":0,"a2":"","a3":"","s1":0,"s2":0,"s3":0},"bp":{"a1":0,"a2":"","a3":"","s1":0,"s2":0,"s3":0},"dl":{"a1":0,"a2":"","a3":"","s1":0,"s2":0,"s3":0},"sortOrder":0,"act":{}}</v>
      </c>
    </row>
    <row r="244" spans="5:54" x14ac:dyDescent="0.25">
      <c r="E244" s="163"/>
      <c r="F244" s="126"/>
      <c r="G244" s="126"/>
      <c r="H244" s="126"/>
      <c r="I244" s="126"/>
      <c r="J244" s="126"/>
      <c r="K244" s="126"/>
      <c r="L244" s="126"/>
      <c r="M244" s="126"/>
      <c r="N244" s="126"/>
      <c r="O244" s="126"/>
      <c r="P244" s="126"/>
      <c r="Q244" s="126"/>
      <c r="R244" s="126"/>
      <c r="S244" s="126"/>
      <c r="T244" s="127"/>
      <c r="U244" s="128"/>
      <c r="V244" s="128"/>
      <c r="W244" s="129"/>
      <c r="Z244" s="15" t="str">
        <f t="shared" si="73"/>
        <v>A</v>
      </c>
      <c r="AA244" s="8">
        <f t="shared" si="85"/>
        <v>0</v>
      </c>
      <c r="AB244" s="9">
        <f t="shared" si="88"/>
        <v>0</v>
      </c>
      <c r="AC244" s="8">
        <f t="shared" si="86"/>
        <v>0</v>
      </c>
      <c r="AD244" s="8">
        <f t="shared" si="87"/>
        <v>0</v>
      </c>
      <c r="AE244" s="8" t="str">
        <f t="shared" si="89"/>
        <v>--</v>
      </c>
      <c r="AF244" s="10">
        <f t="shared" si="90"/>
        <v>0</v>
      </c>
      <c r="AG244" s="8">
        <v>23</v>
      </c>
      <c r="AH244" s="9">
        <f t="shared" si="91"/>
        <v>0</v>
      </c>
      <c r="AI244" s="11">
        <f t="shared" si="92"/>
        <v>0</v>
      </c>
      <c r="AJ244" s="6"/>
      <c r="AK244" s="6"/>
      <c r="AL244" s="6"/>
      <c r="AN244" t="str">
        <f t="shared" si="74"/>
        <v>"23":{</v>
      </c>
      <c r="AO244" t="str">
        <f t="shared" si="75"/>
        <v>"group":"A",</v>
      </c>
      <c r="AP244" t="str">
        <f t="shared" si="93"/>
        <v>"lot":0,</v>
      </c>
      <c r="AQ244" t="str">
        <f t="shared" si="76"/>
        <v>"name":"0",</v>
      </c>
      <c r="AR244" t="str">
        <f t="shared" si="77"/>
        <v>"team":"0",</v>
      </c>
      <c r="AS244" t="str">
        <f t="shared" si="78"/>
        <v>"year":"0",</v>
      </c>
      <c r="AT244" t="str">
        <f t="shared" si="79"/>
        <v>"division":"--",</v>
      </c>
      <c r="AU244" t="str">
        <f t="shared" si="80"/>
        <v>"bw":"0",</v>
      </c>
      <c r="AV244" t="str">
        <f t="shared" si="81"/>
        <v>"idx":"23",</v>
      </c>
      <c r="AW244" t="str">
        <f t="shared" si="82"/>
        <v>"sr":"0",</v>
      </c>
      <c r="AX244" t="str">
        <f t="shared" si="83"/>
        <v>"br":"0",</v>
      </c>
      <c r="AY244" t="str">
        <f t="shared" si="84"/>
        <v>"row":0,</v>
      </c>
      <c r="AZ244" t="s">
        <v>67</v>
      </c>
      <c r="BA244" t="str">
        <f t="shared" si="94"/>
        <v>"sq":{"a1":0,"a2":"","a3":"","s1":0,"s2":0,"s3":0},"bp":{"a1":0,"a2":"","a3":"","s1":0,"s2":0,"s3":0},"dl":{"a1":0,"a2":"","a3":"","s1":0,"s2":0,"s3":0},"sortOrder":0,"act":{}}</v>
      </c>
      <c r="BB244" t="str">
        <f t="shared" si="95"/>
        <v>"23":{"group":"A","lot":0,"name":"0","team":"0","year":"0","division":"--","bw":"0","idx":"23","sr":"0","br":"0","row":0,"sq":{"a1":0,"a2":"","a3":"","s1":0,"s2":0,"s3":0},"bp":{"a1":0,"a2":"","a3":"","s1":0,"s2":0,"s3":0},"dl":{"a1":0,"a2":"","a3":"","s1":0,"s2":0,"s3":0},"sortOrder":0,"act":{}}</v>
      </c>
    </row>
    <row r="245" spans="5:54" x14ac:dyDescent="0.25">
      <c r="E245" s="163"/>
      <c r="F245" s="126"/>
      <c r="G245" s="126"/>
      <c r="H245" s="126"/>
      <c r="I245" s="126"/>
      <c r="J245" s="126"/>
      <c r="K245" s="126"/>
      <c r="L245" s="126"/>
      <c r="M245" s="126"/>
      <c r="N245" s="126"/>
      <c r="O245" s="126"/>
      <c r="P245" s="126"/>
      <c r="Q245" s="126"/>
      <c r="R245" s="126"/>
      <c r="S245" s="126"/>
      <c r="T245" s="127"/>
      <c r="U245" s="128"/>
      <c r="V245" s="128"/>
      <c r="W245" s="129"/>
      <c r="Z245" s="15" t="str">
        <f t="shared" si="73"/>
        <v>A</v>
      </c>
      <c r="AA245" s="8">
        <f t="shared" si="85"/>
        <v>0</v>
      </c>
      <c r="AB245" s="9">
        <f t="shared" si="88"/>
        <v>0</v>
      </c>
      <c r="AC245" s="8">
        <f t="shared" si="86"/>
        <v>0</v>
      </c>
      <c r="AD245" s="8">
        <f t="shared" si="87"/>
        <v>0</v>
      </c>
      <c r="AE245" s="8" t="str">
        <f t="shared" si="89"/>
        <v>--</v>
      </c>
      <c r="AF245" s="10">
        <f t="shared" si="90"/>
        <v>0</v>
      </c>
      <c r="AG245" s="8">
        <v>23</v>
      </c>
      <c r="AH245" s="9">
        <f t="shared" si="91"/>
        <v>0</v>
      </c>
      <c r="AI245" s="11">
        <f t="shared" si="92"/>
        <v>0</v>
      </c>
      <c r="AJ245" s="6"/>
      <c r="AK245" s="6"/>
      <c r="AL245" s="6"/>
      <c r="AN245" t="str">
        <f t="shared" si="74"/>
        <v>"23":{</v>
      </c>
      <c r="AO245" t="str">
        <f t="shared" si="75"/>
        <v>"group":"A",</v>
      </c>
      <c r="AP245" t="str">
        <f t="shared" si="93"/>
        <v>"lot":0,</v>
      </c>
      <c r="AQ245" t="str">
        <f t="shared" si="76"/>
        <v>"name":"0",</v>
      </c>
      <c r="AR245" t="str">
        <f t="shared" si="77"/>
        <v>"team":"0",</v>
      </c>
      <c r="AS245" t="str">
        <f t="shared" si="78"/>
        <v>"year":"0",</v>
      </c>
      <c r="AT245" t="str">
        <f t="shared" si="79"/>
        <v>"division":"--",</v>
      </c>
      <c r="AU245" t="str">
        <f t="shared" si="80"/>
        <v>"bw":"0",</v>
      </c>
      <c r="AV245" t="str">
        <f t="shared" si="81"/>
        <v>"idx":"23",</v>
      </c>
      <c r="AW245" t="str">
        <f t="shared" si="82"/>
        <v>"sr":"0",</v>
      </c>
      <c r="AX245" t="str">
        <f t="shared" si="83"/>
        <v>"br":"0",</v>
      </c>
      <c r="AY245" t="str">
        <f t="shared" si="84"/>
        <v>"row":0,</v>
      </c>
      <c r="AZ245" t="s">
        <v>67</v>
      </c>
      <c r="BA245" t="str">
        <f t="shared" si="94"/>
        <v>"sq":{"a1":0,"a2":"","a3":"","s1":0,"s2":0,"s3":0},"bp":{"a1":0,"a2":"","a3":"","s1":0,"s2":0,"s3":0},"dl":{"a1":0,"a2":"","a3":"","s1":0,"s2":0,"s3":0},"sortOrder":0,"act":{}}</v>
      </c>
      <c r="BB245" t="str">
        <f t="shared" si="95"/>
        <v>"23":{"group":"A","lot":0,"name":"0","team":"0","year":"0","division":"--","bw":"0","idx":"23","sr":"0","br":"0","row":0,"sq":{"a1":0,"a2":"","a3":"","s1":0,"s2":0,"s3":0},"bp":{"a1":0,"a2":"","a3":"","s1":0,"s2":0,"s3":0},"dl":{"a1":0,"a2":"","a3":"","s1":0,"s2":0,"s3":0},"sortOrder":0,"act":{}}</v>
      </c>
    </row>
    <row r="246" spans="5:54" x14ac:dyDescent="0.25">
      <c r="E246" s="163"/>
      <c r="F246" s="126"/>
      <c r="G246" s="126"/>
      <c r="H246" s="126"/>
      <c r="I246" s="126"/>
      <c r="J246" s="126"/>
      <c r="K246" s="126"/>
      <c r="L246" s="126"/>
      <c r="M246" s="126"/>
      <c r="N246" s="126"/>
      <c r="O246" s="126"/>
      <c r="P246" s="126"/>
      <c r="Q246" s="126"/>
      <c r="R246" s="126"/>
      <c r="S246" s="126"/>
      <c r="T246" s="127"/>
      <c r="U246" s="128"/>
      <c r="V246" s="128"/>
      <c r="W246" s="129"/>
      <c r="Z246" s="15" t="str">
        <f t="shared" ref="Z246:Z299" si="96">IF(Q246="","A",PROPER(Q246))</f>
        <v>A</v>
      </c>
      <c r="AA246" s="8">
        <f t="shared" si="85"/>
        <v>0</v>
      </c>
      <c r="AB246" s="9">
        <f t="shared" si="88"/>
        <v>0</v>
      </c>
      <c r="AC246" s="8">
        <f t="shared" si="86"/>
        <v>0</v>
      </c>
      <c r="AD246" s="8">
        <f t="shared" si="87"/>
        <v>0</v>
      </c>
      <c r="AE246" s="8" t="str">
        <f t="shared" si="89"/>
        <v>--</v>
      </c>
      <c r="AF246" s="10">
        <f t="shared" si="90"/>
        <v>0</v>
      </c>
      <c r="AG246" s="8">
        <v>23</v>
      </c>
      <c r="AH246" s="9">
        <f t="shared" si="91"/>
        <v>0</v>
      </c>
      <c r="AI246" s="11">
        <f t="shared" si="92"/>
        <v>0</v>
      </c>
      <c r="AJ246" s="6"/>
      <c r="AK246" s="6"/>
      <c r="AL246" s="6"/>
      <c r="AN246" t="str">
        <f t="shared" ref="AN246:AN299" si="97">CHAR(34)&amp;AG246&amp;CHAR(34)&amp;":{"</f>
        <v>"23":{</v>
      </c>
      <c r="AO246" t="str">
        <f t="shared" ref="AO246:AO299" si="98">Z$3&amp;":"&amp;CHAR(34)&amp;Z246&amp;CHAR(34)&amp;","</f>
        <v>"group":"A",</v>
      </c>
      <c r="AP246" t="str">
        <f t="shared" si="93"/>
        <v>"lot":0,</v>
      </c>
      <c r="AQ246" t="str">
        <f t="shared" ref="AQ246:AQ299" si="99">AB$3&amp;":"&amp;CHAR(34)&amp;AB246&amp;CHAR(34)&amp;","</f>
        <v>"name":"0",</v>
      </c>
      <c r="AR246" t="str">
        <f t="shared" ref="AR246:AR299" si="100">AC$3&amp;":"&amp;CHAR(34)&amp;AC246&amp;CHAR(34)&amp;","</f>
        <v>"team":"0",</v>
      </c>
      <c r="AS246" t="str">
        <f t="shared" ref="AS246:AS299" si="101">AD$3&amp;":"&amp;CHAR(34)&amp;AD246&amp;CHAR(34)&amp;","</f>
        <v>"year":"0",</v>
      </c>
      <c r="AT246" t="str">
        <f t="shared" ref="AT246:AT299" si="102">AE$3&amp;":"&amp;CHAR(34)&amp;AE246&amp;CHAR(34)&amp;","</f>
        <v>"division":"--",</v>
      </c>
      <c r="AU246" t="str">
        <f t="shared" ref="AU246:AU299" si="103">AF$3&amp;":"&amp;CHAR(34)&amp;AF246&amp;CHAR(34)&amp;","</f>
        <v>"bw":"0",</v>
      </c>
      <c r="AV246" t="str">
        <f t="shared" ref="AV246:AV299" si="104">AG$3&amp;":"&amp;CHAR(34)&amp;AG246&amp;CHAR(34)&amp;","</f>
        <v>"idx":"23",</v>
      </c>
      <c r="AW246" t="str">
        <f t="shared" ref="AW246:AW299" si="105">AH$3&amp;":"&amp;CHAR(34)&amp;AH246&amp;CHAR(34)&amp;","</f>
        <v>"sr":"0",</v>
      </c>
      <c r="AX246" t="str">
        <f t="shared" ref="AX246:AX299" si="106">AI$3&amp;":"&amp;CHAR(34)&amp;AI246&amp;CHAR(34)&amp;","</f>
        <v>"br":"0",</v>
      </c>
      <c r="AY246" t="str">
        <f t="shared" ref="AY246:AY299" si="107">CHAR(34)&amp;"row"&amp;CHAR(34)&amp;":"&amp;AA246&amp;","</f>
        <v>"row":0,</v>
      </c>
      <c r="AZ246" t="s">
        <v>67</v>
      </c>
      <c r="BA246" t="str">
        <f t="shared" si="94"/>
        <v>"sq":{"a1":0,"a2":"","a3":"","s1":0,"s2":0,"s3":0},"bp":{"a1":0,"a2":"","a3":"","s1":0,"s2":0,"s3":0},"dl":{"a1":0,"a2":"","a3":"","s1":0,"s2":0,"s3":0},"sortOrder":0,"act":{}}</v>
      </c>
      <c r="BB246" t="str">
        <f t="shared" si="95"/>
        <v>"23":{"group":"A","lot":0,"name":"0","team":"0","year":"0","division":"--","bw":"0","idx":"23","sr":"0","br":"0","row":0,"sq":{"a1":0,"a2":"","a3":"","s1":0,"s2":0,"s3":0},"bp":{"a1":0,"a2":"","a3":"","s1":0,"s2":0,"s3":0},"dl":{"a1":0,"a2":"","a3":"","s1":0,"s2":0,"s3":0},"sortOrder":0,"act":{}}</v>
      </c>
    </row>
    <row r="247" spans="5:54" x14ac:dyDescent="0.25">
      <c r="E247" s="163"/>
      <c r="F247" s="126"/>
      <c r="G247" s="126"/>
      <c r="H247" s="126"/>
      <c r="I247" s="126"/>
      <c r="J247" s="126"/>
      <c r="K247" s="126"/>
      <c r="L247" s="126"/>
      <c r="M247" s="126"/>
      <c r="N247" s="126"/>
      <c r="O247" s="126"/>
      <c r="P247" s="126"/>
      <c r="Q247" s="126"/>
      <c r="R247" s="126"/>
      <c r="S247" s="126"/>
      <c r="T247" s="127"/>
      <c r="U247" s="128"/>
      <c r="V247" s="128"/>
      <c r="W247" s="129"/>
      <c r="Z247" s="15" t="str">
        <f t="shared" si="96"/>
        <v>A</v>
      </c>
      <c r="AA247" s="8">
        <f t="shared" si="85"/>
        <v>0</v>
      </c>
      <c r="AB247" s="9">
        <f t="shared" si="88"/>
        <v>0</v>
      </c>
      <c r="AC247" s="8">
        <f t="shared" si="86"/>
        <v>0</v>
      </c>
      <c r="AD247" s="8">
        <f t="shared" si="87"/>
        <v>0</v>
      </c>
      <c r="AE247" s="8" t="str">
        <f t="shared" si="89"/>
        <v>--</v>
      </c>
      <c r="AF247" s="10">
        <f t="shared" si="90"/>
        <v>0</v>
      </c>
      <c r="AG247" s="8">
        <v>23</v>
      </c>
      <c r="AH247" s="9">
        <f t="shared" si="91"/>
        <v>0</v>
      </c>
      <c r="AI247" s="11">
        <f t="shared" si="92"/>
        <v>0</v>
      </c>
      <c r="AJ247" s="6"/>
      <c r="AK247" s="6"/>
      <c r="AL247" s="6"/>
      <c r="AN247" t="str">
        <f t="shared" si="97"/>
        <v>"23":{</v>
      </c>
      <c r="AO247" t="str">
        <f t="shared" si="98"/>
        <v>"group":"A",</v>
      </c>
      <c r="AP247" t="str">
        <f t="shared" si="93"/>
        <v>"lot":0,</v>
      </c>
      <c r="AQ247" t="str">
        <f t="shared" si="99"/>
        <v>"name":"0",</v>
      </c>
      <c r="AR247" t="str">
        <f t="shared" si="100"/>
        <v>"team":"0",</v>
      </c>
      <c r="AS247" t="str">
        <f t="shared" si="101"/>
        <v>"year":"0",</v>
      </c>
      <c r="AT247" t="str">
        <f t="shared" si="102"/>
        <v>"division":"--",</v>
      </c>
      <c r="AU247" t="str">
        <f t="shared" si="103"/>
        <v>"bw":"0",</v>
      </c>
      <c r="AV247" t="str">
        <f t="shared" si="104"/>
        <v>"idx":"23",</v>
      </c>
      <c r="AW247" t="str">
        <f t="shared" si="105"/>
        <v>"sr":"0",</v>
      </c>
      <c r="AX247" t="str">
        <f t="shared" si="106"/>
        <v>"br":"0",</v>
      </c>
      <c r="AY247" t="str">
        <f t="shared" si="107"/>
        <v>"row":0,</v>
      </c>
      <c r="AZ247" t="s">
        <v>67</v>
      </c>
      <c r="BA247" t="str">
        <f t="shared" si="94"/>
        <v>"sq":{"a1":0,"a2":"","a3":"","s1":0,"s2":0,"s3":0},"bp":{"a1":0,"a2":"","a3":"","s1":0,"s2":0,"s3":0},"dl":{"a1":0,"a2":"","a3":"","s1":0,"s2":0,"s3":0},"sortOrder":0,"act":{}}</v>
      </c>
      <c r="BB247" t="str">
        <f t="shared" si="95"/>
        <v>"23":{"group":"A","lot":0,"name":"0","team":"0","year":"0","division":"--","bw":"0","idx":"23","sr":"0","br":"0","row":0,"sq":{"a1":0,"a2":"","a3":"","s1":0,"s2":0,"s3":0},"bp":{"a1":0,"a2":"","a3":"","s1":0,"s2":0,"s3":0},"dl":{"a1":0,"a2":"","a3":"","s1":0,"s2":0,"s3":0},"sortOrder":0,"act":{}}</v>
      </c>
    </row>
    <row r="248" spans="5:54" x14ac:dyDescent="0.25">
      <c r="E248" s="163"/>
      <c r="F248" s="126"/>
      <c r="G248" s="126"/>
      <c r="H248" s="126"/>
      <c r="I248" s="126"/>
      <c r="J248" s="126"/>
      <c r="K248" s="126"/>
      <c r="L248" s="126"/>
      <c r="M248" s="126"/>
      <c r="N248" s="126"/>
      <c r="O248" s="126"/>
      <c r="P248" s="126"/>
      <c r="Q248" s="126"/>
      <c r="R248" s="126"/>
      <c r="S248" s="126"/>
      <c r="T248" s="127"/>
      <c r="U248" s="128"/>
      <c r="V248" s="128"/>
      <c r="W248" s="129"/>
      <c r="Z248" s="15" t="str">
        <f t="shared" si="96"/>
        <v>A</v>
      </c>
      <c r="AA248" s="8">
        <f t="shared" si="85"/>
        <v>0</v>
      </c>
      <c r="AB248" s="9">
        <f t="shared" si="88"/>
        <v>0</v>
      </c>
      <c r="AC248" s="8">
        <f t="shared" si="86"/>
        <v>0</v>
      </c>
      <c r="AD248" s="8">
        <f t="shared" si="87"/>
        <v>0</v>
      </c>
      <c r="AE248" s="8" t="str">
        <f t="shared" si="89"/>
        <v>--</v>
      </c>
      <c r="AF248" s="10">
        <f t="shared" si="90"/>
        <v>0</v>
      </c>
      <c r="AG248" s="8">
        <v>23</v>
      </c>
      <c r="AH248" s="9">
        <f t="shared" si="91"/>
        <v>0</v>
      </c>
      <c r="AI248" s="11">
        <f t="shared" si="92"/>
        <v>0</v>
      </c>
      <c r="AJ248" s="6"/>
      <c r="AK248" s="6"/>
      <c r="AL248" s="6"/>
      <c r="AN248" t="str">
        <f t="shared" si="97"/>
        <v>"23":{</v>
      </c>
      <c r="AO248" t="str">
        <f t="shared" si="98"/>
        <v>"group":"A",</v>
      </c>
      <c r="AP248" t="str">
        <f t="shared" si="93"/>
        <v>"lot":0,</v>
      </c>
      <c r="AQ248" t="str">
        <f t="shared" si="99"/>
        <v>"name":"0",</v>
      </c>
      <c r="AR248" t="str">
        <f t="shared" si="100"/>
        <v>"team":"0",</v>
      </c>
      <c r="AS248" t="str">
        <f t="shared" si="101"/>
        <v>"year":"0",</v>
      </c>
      <c r="AT248" t="str">
        <f t="shared" si="102"/>
        <v>"division":"--",</v>
      </c>
      <c r="AU248" t="str">
        <f t="shared" si="103"/>
        <v>"bw":"0",</v>
      </c>
      <c r="AV248" t="str">
        <f t="shared" si="104"/>
        <v>"idx":"23",</v>
      </c>
      <c r="AW248" t="str">
        <f t="shared" si="105"/>
        <v>"sr":"0",</v>
      </c>
      <c r="AX248" t="str">
        <f t="shared" si="106"/>
        <v>"br":"0",</v>
      </c>
      <c r="AY248" t="str">
        <f t="shared" si="107"/>
        <v>"row":0,</v>
      </c>
      <c r="AZ248" t="s">
        <v>67</v>
      </c>
      <c r="BA248" t="str">
        <f t="shared" si="94"/>
        <v>"sq":{"a1":0,"a2":"","a3":"","s1":0,"s2":0,"s3":0},"bp":{"a1":0,"a2":"","a3":"","s1":0,"s2":0,"s3":0},"dl":{"a1":0,"a2":"","a3":"","s1":0,"s2":0,"s3":0},"sortOrder":0,"act":{}}</v>
      </c>
      <c r="BB248" t="str">
        <f t="shared" si="95"/>
        <v>"23":{"group":"A","lot":0,"name":"0","team":"0","year":"0","division":"--","bw":"0","idx":"23","sr":"0","br":"0","row":0,"sq":{"a1":0,"a2":"","a3":"","s1":0,"s2":0,"s3":0},"bp":{"a1":0,"a2":"","a3":"","s1":0,"s2":0,"s3":0},"dl":{"a1":0,"a2":"","a3":"","s1":0,"s2":0,"s3":0},"sortOrder":0,"act":{}}</v>
      </c>
    </row>
    <row r="249" spans="5:54" x14ac:dyDescent="0.25">
      <c r="E249" s="163"/>
      <c r="F249" s="126"/>
      <c r="G249" s="126"/>
      <c r="H249" s="126"/>
      <c r="I249" s="126"/>
      <c r="J249" s="126"/>
      <c r="K249" s="126"/>
      <c r="L249" s="126"/>
      <c r="M249" s="126"/>
      <c r="N249" s="126"/>
      <c r="O249" s="126"/>
      <c r="P249" s="126"/>
      <c r="Q249" s="126"/>
      <c r="R249" s="126"/>
      <c r="S249" s="126"/>
      <c r="T249" s="127"/>
      <c r="U249" s="128"/>
      <c r="V249" s="128"/>
      <c r="W249" s="129"/>
      <c r="Z249" s="15" t="str">
        <f t="shared" si="96"/>
        <v>A</v>
      </c>
      <c r="AA249" s="8">
        <f t="shared" si="85"/>
        <v>0</v>
      </c>
      <c r="AB249" s="9">
        <f t="shared" si="88"/>
        <v>0</v>
      </c>
      <c r="AC249" s="8">
        <f t="shared" si="86"/>
        <v>0</v>
      </c>
      <c r="AD249" s="8">
        <f t="shared" si="87"/>
        <v>0</v>
      </c>
      <c r="AE249" s="8" t="str">
        <f t="shared" si="89"/>
        <v>--</v>
      </c>
      <c r="AF249" s="10">
        <f t="shared" si="90"/>
        <v>0</v>
      </c>
      <c r="AG249" s="8">
        <v>23</v>
      </c>
      <c r="AH249" s="9">
        <f t="shared" si="91"/>
        <v>0</v>
      </c>
      <c r="AI249" s="11">
        <f t="shared" si="92"/>
        <v>0</v>
      </c>
      <c r="AJ249" s="6"/>
      <c r="AK249" s="6"/>
      <c r="AL249" s="6"/>
      <c r="AN249" t="str">
        <f t="shared" si="97"/>
        <v>"23":{</v>
      </c>
      <c r="AO249" t="str">
        <f t="shared" si="98"/>
        <v>"group":"A",</v>
      </c>
      <c r="AP249" t="str">
        <f t="shared" si="93"/>
        <v>"lot":0,</v>
      </c>
      <c r="AQ249" t="str">
        <f t="shared" si="99"/>
        <v>"name":"0",</v>
      </c>
      <c r="AR249" t="str">
        <f t="shared" si="100"/>
        <v>"team":"0",</v>
      </c>
      <c r="AS249" t="str">
        <f t="shared" si="101"/>
        <v>"year":"0",</v>
      </c>
      <c r="AT249" t="str">
        <f t="shared" si="102"/>
        <v>"division":"--",</v>
      </c>
      <c r="AU249" t="str">
        <f t="shared" si="103"/>
        <v>"bw":"0",</v>
      </c>
      <c r="AV249" t="str">
        <f t="shared" si="104"/>
        <v>"idx":"23",</v>
      </c>
      <c r="AW249" t="str">
        <f t="shared" si="105"/>
        <v>"sr":"0",</v>
      </c>
      <c r="AX249" t="str">
        <f t="shared" si="106"/>
        <v>"br":"0",</v>
      </c>
      <c r="AY249" t="str">
        <f t="shared" si="107"/>
        <v>"row":0,</v>
      </c>
      <c r="AZ249" t="s">
        <v>67</v>
      </c>
      <c r="BA249" t="str">
        <f t="shared" si="94"/>
        <v>"sq":{"a1":0,"a2":"","a3":"","s1":0,"s2":0,"s3":0},"bp":{"a1":0,"a2":"","a3":"","s1":0,"s2":0,"s3":0},"dl":{"a1":0,"a2":"","a3":"","s1":0,"s2":0,"s3":0},"sortOrder":0,"act":{}}</v>
      </c>
      <c r="BB249" t="str">
        <f t="shared" si="95"/>
        <v>"23":{"group":"A","lot":0,"name":"0","team":"0","year":"0","division":"--","bw":"0","idx":"23","sr":"0","br":"0","row":0,"sq":{"a1":0,"a2":"","a3":"","s1":0,"s2":0,"s3":0},"bp":{"a1":0,"a2":"","a3":"","s1":0,"s2":0,"s3":0},"dl":{"a1":0,"a2":"","a3":"","s1":0,"s2":0,"s3":0},"sortOrder":0,"act":{}}</v>
      </c>
    </row>
    <row r="250" spans="5:54" x14ac:dyDescent="0.25">
      <c r="E250" s="163"/>
      <c r="F250" s="126"/>
      <c r="G250" s="126"/>
      <c r="H250" s="126"/>
      <c r="I250" s="126"/>
      <c r="J250" s="126"/>
      <c r="K250" s="126"/>
      <c r="L250" s="126"/>
      <c r="M250" s="126"/>
      <c r="N250" s="126"/>
      <c r="O250" s="126"/>
      <c r="P250" s="126"/>
      <c r="Q250" s="126"/>
      <c r="R250" s="126"/>
      <c r="S250" s="126"/>
      <c r="T250" s="127"/>
      <c r="U250" s="128"/>
      <c r="V250" s="128"/>
      <c r="W250" s="129"/>
      <c r="Z250" s="15" t="str">
        <f t="shared" si="96"/>
        <v>A</v>
      </c>
      <c r="AA250" s="8">
        <f t="shared" si="85"/>
        <v>0</v>
      </c>
      <c r="AB250" s="9">
        <f t="shared" si="88"/>
        <v>0</v>
      </c>
      <c r="AC250" s="8">
        <f t="shared" si="86"/>
        <v>0</v>
      </c>
      <c r="AD250" s="8">
        <f t="shared" si="87"/>
        <v>0</v>
      </c>
      <c r="AE250" s="8" t="str">
        <f t="shared" si="89"/>
        <v>--</v>
      </c>
      <c r="AF250" s="10">
        <f t="shared" si="90"/>
        <v>0</v>
      </c>
      <c r="AG250" s="8">
        <v>23</v>
      </c>
      <c r="AH250" s="9">
        <f t="shared" si="91"/>
        <v>0</v>
      </c>
      <c r="AI250" s="11">
        <f t="shared" si="92"/>
        <v>0</v>
      </c>
      <c r="AJ250" s="6"/>
      <c r="AK250" s="6"/>
      <c r="AL250" s="6"/>
      <c r="AN250" t="str">
        <f t="shared" si="97"/>
        <v>"23":{</v>
      </c>
      <c r="AO250" t="str">
        <f t="shared" si="98"/>
        <v>"group":"A",</v>
      </c>
      <c r="AP250" t="str">
        <f t="shared" si="93"/>
        <v>"lot":0,</v>
      </c>
      <c r="AQ250" t="str">
        <f t="shared" si="99"/>
        <v>"name":"0",</v>
      </c>
      <c r="AR250" t="str">
        <f t="shared" si="100"/>
        <v>"team":"0",</v>
      </c>
      <c r="AS250" t="str">
        <f t="shared" si="101"/>
        <v>"year":"0",</v>
      </c>
      <c r="AT250" t="str">
        <f t="shared" si="102"/>
        <v>"division":"--",</v>
      </c>
      <c r="AU250" t="str">
        <f t="shared" si="103"/>
        <v>"bw":"0",</v>
      </c>
      <c r="AV250" t="str">
        <f t="shared" si="104"/>
        <v>"idx":"23",</v>
      </c>
      <c r="AW250" t="str">
        <f t="shared" si="105"/>
        <v>"sr":"0",</v>
      </c>
      <c r="AX250" t="str">
        <f t="shared" si="106"/>
        <v>"br":"0",</v>
      </c>
      <c r="AY250" t="str">
        <f t="shared" si="107"/>
        <v>"row":0,</v>
      </c>
      <c r="AZ250" t="s">
        <v>67</v>
      </c>
      <c r="BA250" t="str">
        <f t="shared" si="94"/>
        <v>"sq":{"a1":0,"a2":"","a3":"","s1":0,"s2":0,"s3":0},"bp":{"a1":0,"a2":"","a3":"","s1":0,"s2":0,"s3":0},"dl":{"a1":0,"a2":"","a3":"","s1":0,"s2":0,"s3":0},"sortOrder":0,"act":{}}</v>
      </c>
      <c r="BB250" t="str">
        <f t="shared" si="95"/>
        <v>"23":{"group":"A","lot":0,"name":"0","team":"0","year":"0","division":"--","bw":"0","idx":"23","sr":"0","br":"0","row":0,"sq":{"a1":0,"a2":"","a3":"","s1":0,"s2":0,"s3":0},"bp":{"a1":0,"a2":"","a3":"","s1":0,"s2":0,"s3":0},"dl":{"a1":0,"a2":"","a3":"","s1":0,"s2":0,"s3":0},"sortOrder":0,"act":{}}</v>
      </c>
    </row>
    <row r="251" spans="5:54" x14ac:dyDescent="0.25">
      <c r="E251" s="163"/>
      <c r="F251" s="126"/>
      <c r="G251" s="126"/>
      <c r="H251" s="126"/>
      <c r="I251" s="126"/>
      <c r="J251" s="126"/>
      <c r="K251" s="126"/>
      <c r="L251" s="126"/>
      <c r="M251" s="126"/>
      <c r="N251" s="126"/>
      <c r="O251" s="126"/>
      <c r="P251" s="126"/>
      <c r="Q251" s="126"/>
      <c r="R251" s="126"/>
      <c r="S251" s="126"/>
      <c r="T251" s="127"/>
      <c r="U251" s="128"/>
      <c r="V251" s="128"/>
      <c r="W251" s="129"/>
      <c r="Z251" s="15" t="str">
        <f t="shared" si="96"/>
        <v>A</v>
      </c>
      <c r="AA251" s="8">
        <f t="shared" si="85"/>
        <v>0</v>
      </c>
      <c r="AB251" s="9">
        <f t="shared" si="88"/>
        <v>0</v>
      </c>
      <c r="AC251" s="8">
        <f t="shared" si="86"/>
        <v>0</v>
      </c>
      <c r="AD251" s="8">
        <f t="shared" si="87"/>
        <v>0</v>
      </c>
      <c r="AE251" s="8" t="str">
        <f t="shared" si="89"/>
        <v>--</v>
      </c>
      <c r="AF251" s="10">
        <f t="shared" si="90"/>
        <v>0</v>
      </c>
      <c r="AG251" s="8">
        <v>23</v>
      </c>
      <c r="AH251" s="9">
        <f t="shared" si="91"/>
        <v>0</v>
      </c>
      <c r="AI251" s="11">
        <f t="shared" si="92"/>
        <v>0</v>
      </c>
      <c r="AJ251" s="6"/>
      <c r="AK251" s="6"/>
      <c r="AL251" s="6"/>
      <c r="AN251" t="str">
        <f t="shared" si="97"/>
        <v>"23":{</v>
      </c>
      <c r="AO251" t="str">
        <f t="shared" si="98"/>
        <v>"group":"A",</v>
      </c>
      <c r="AP251" t="str">
        <f t="shared" si="93"/>
        <v>"lot":0,</v>
      </c>
      <c r="AQ251" t="str">
        <f t="shared" si="99"/>
        <v>"name":"0",</v>
      </c>
      <c r="AR251" t="str">
        <f t="shared" si="100"/>
        <v>"team":"0",</v>
      </c>
      <c r="AS251" t="str">
        <f t="shared" si="101"/>
        <v>"year":"0",</v>
      </c>
      <c r="AT251" t="str">
        <f t="shared" si="102"/>
        <v>"division":"--",</v>
      </c>
      <c r="AU251" t="str">
        <f t="shared" si="103"/>
        <v>"bw":"0",</v>
      </c>
      <c r="AV251" t="str">
        <f t="shared" si="104"/>
        <v>"idx":"23",</v>
      </c>
      <c r="AW251" t="str">
        <f t="shared" si="105"/>
        <v>"sr":"0",</v>
      </c>
      <c r="AX251" t="str">
        <f t="shared" si="106"/>
        <v>"br":"0",</v>
      </c>
      <c r="AY251" t="str">
        <f t="shared" si="107"/>
        <v>"row":0,</v>
      </c>
      <c r="AZ251" t="s">
        <v>67</v>
      </c>
      <c r="BA251" t="str">
        <f t="shared" si="94"/>
        <v>"sq":{"a1":0,"a2":"","a3":"","s1":0,"s2":0,"s3":0},"bp":{"a1":0,"a2":"","a3":"","s1":0,"s2":0,"s3":0},"dl":{"a1":0,"a2":"","a3":"","s1":0,"s2":0,"s3":0},"sortOrder":0,"act":{}}</v>
      </c>
      <c r="BB251" t="str">
        <f t="shared" si="95"/>
        <v>"23":{"group":"A","lot":0,"name":"0","team":"0","year":"0","division":"--","bw":"0","idx":"23","sr":"0","br":"0","row":0,"sq":{"a1":0,"a2":"","a3":"","s1":0,"s2":0,"s3":0},"bp":{"a1":0,"a2":"","a3":"","s1":0,"s2":0,"s3":0},"dl":{"a1":0,"a2":"","a3":"","s1":0,"s2":0,"s3":0},"sortOrder":0,"act":{}}</v>
      </c>
    </row>
    <row r="252" spans="5:54" x14ac:dyDescent="0.25">
      <c r="E252" s="163"/>
      <c r="F252" s="126"/>
      <c r="G252" s="126"/>
      <c r="H252" s="126"/>
      <c r="I252" s="126"/>
      <c r="J252" s="126"/>
      <c r="K252" s="126"/>
      <c r="L252" s="126"/>
      <c r="M252" s="126"/>
      <c r="N252" s="126"/>
      <c r="O252" s="126"/>
      <c r="P252" s="126"/>
      <c r="Q252" s="126"/>
      <c r="R252" s="126"/>
      <c r="S252" s="126"/>
      <c r="T252" s="127"/>
      <c r="U252" s="128"/>
      <c r="V252" s="128"/>
      <c r="W252" s="129"/>
      <c r="Z252" s="15" t="str">
        <f t="shared" si="96"/>
        <v>A</v>
      </c>
      <c r="AA252" s="8">
        <f t="shared" si="85"/>
        <v>0</v>
      </c>
      <c r="AB252" s="9">
        <f t="shared" si="88"/>
        <v>0</v>
      </c>
      <c r="AC252" s="8">
        <f t="shared" si="86"/>
        <v>0</v>
      </c>
      <c r="AD252" s="8">
        <f t="shared" si="87"/>
        <v>0</v>
      </c>
      <c r="AE252" s="8" t="str">
        <f t="shared" si="89"/>
        <v>--</v>
      </c>
      <c r="AF252" s="10">
        <f t="shared" si="90"/>
        <v>0</v>
      </c>
      <c r="AG252" s="8">
        <v>23</v>
      </c>
      <c r="AH252" s="9">
        <f t="shared" si="91"/>
        <v>0</v>
      </c>
      <c r="AI252" s="11">
        <f t="shared" si="92"/>
        <v>0</v>
      </c>
      <c r="AJ252" s="6"/>
      <c r="AK252" s="6"/>
      <c r="AL252" s="6"/>
      <c r="AN252" t="str">
        <f t="shared" si="97"/>
        <v>"23":{</v>
      </c>
      <c r="AO252" t="str">
        <f t="shared" si="98"/>
        <v>"group":"A",</v>
      </c>
      <c r="AP252" t="str">
        <f t="shared" si="93"/>
        <v>"lot":0,</v>
      </c>
      <c r="AQ252" t="str">
        <f t="shared" si="99"/>
        <v>"name":"0",</v>
      </c>
      <c r="AR252" t="str">
        <f t="shared" si="100"/>
        <v>"team":"0",</v>
      </c>
      <c r="AS252" t="str">
        <f t="shared" si="101"/>
        <v>"year":"0",</v>
      </c>
      <c r="AT252" t="str">
        <f t="shared" si="102"/>
        <v>"division":"--",</v>
      </c>
      <c r="AU252" t="str">
        <f t="shared" si="103"/>
        <v>"bw":"0",</v>
      </c>
      <c r="AV252" t="str">
        <f t="shared" si="104"/>
        <v>"idx":"23",</v>
      </c>
      <c r="AW252" t="str">
        <f t="shared" si="105"/>
        <v>"sr":"0",</v>
      </c>
      <c r="AX252" t="str">
        <f t="shared" si="106"/>
        <v>"br":"0",</v>
      </c>
      <c r="AY252" t="str">
        <f t="shared" si="107"/>
        <v>"row":0,</v>
      </c>
      <c r="AZ252" t="s">
        <v>67</v>
      </c>
      <c r="BA252" t="str">
        <f t="shared" si="94"/>
        <v>"sq":{"a1":0,"a2":"","a3":"","s1":0,"s2":0,"s3":0},"bp":{"a1":0,"a2":"","a3":"","s1":0,"s2":0,"s3":0},"dl":{"a1":0,"a2":"","a3":"","s1":0,"s2":0,"s3":0},"sortOrder":0,"act":{}}</v>
      </c>
      <c r="BB252" t="str">
        <f t="shared" si="95"/>
        <v>"23":{"group":"A","lot":0,"name":"0","team":"0","year":"0","division":"--","bw":"0","idx":"23","sr":"0","br":"0","row":0,"sq":{"a1":0,"a2":"","a3":"","s1":0,"s2":0,"s3":0},"bp":{"a1":0,"a2":"","a3":"","s1":0,"s2":0,"s3":0},"dl":{"a1":0,"a2":"","a3":"","s1":0,"s2":0,"s3":0},"sortOrder":0,"act":{}}</v>
      </c>
    </row>
    <row r="253" spans="5:54" x14ac:dyDescent="0.25">
      <c r="E253" s="163"/>
      <c r="F253" s="126"/>
      <c r="G253" s="126"/>
      <c r="H253" s="126"/>
      <c r="I253" s="126"/>
      <c r="J253" s="126"/>
      <c r="K253" s="126"/>
      <c r="L253" s="126"/>
      <c r="M253" s="126"/>
      <c r="N253" s="126"/>
      <c r="O253" s="126"/>
      <c r="P253" s="126"/>
      <c r="Q253" s="126"/>
      <c r="R253" s="126"/>
      <c r="S253" s="126"/>
      <c r="T253" s="127"/>
      <c r="U253" s="128"/>
      <c r="V253" s="128"/>
      <c r="W253" s="129"/>
      <c r="Z253" s="15" t="str">
        <f t="shared" si="96"/>
        <v>A</v>
      </c>
      <c r="AA253" s="8">
        <f t="shared" si="85"/>
        <v>0</v>
      </c>
      <c r="AB253" s="9">
        <f t="shared" si="88"/>
        <v>0</v>
      </c>
      <c r="AC253" s="8">
        <f t="shared" si="86"/>
        <v>0</v>
      </c>
      <c r="AD253" s="8">
        <f t="shared" si="87"/>
        <v>0</v>
      </c>
      <c r="AE253" s="8" t="str">
        <f t="shared" si="89"/>
        <v>--</v>
      </c>
      <c r="AF253" s="10">
        <f t="shared" si="90"/>
        <v>0</v>
      </c>
      <c r="AG253" s="8">
        <v>23</v>
      </c>
      <c r="AH253" s="9">
        <f t="shared" si="91"/>
        <v>0</v>
      </c>
      <c r="AI253" s="11">
        <f t="shared" si="92"/>
        <v>0</v>
      </c>
      <c r="AJ253" s="6"/>
      <c r="AK253" s="6"/>
      <c r="AL253" s="6"/>
      <c r="AN253" t="str">
        <f t="shared" si="97"/>
        <v>"23":{</v>
      </c>
      <c r="AO253" t="str">
        <f t="shared" si="98"/>
        <v>"group":"A",</v>
      </c>
      <c r="AP253" t="str">
        <f t="shared" si="93"/>
        <v>"lot":0,</v>
      </c>
      <c r="AQ253" t="str">
        <f t="shared" si="99"/>
        <v>"name":"0",</v>
      </c>
      <c r="AR253" t="str">
        <f t="shared" si="100"/>
        <v>"team":"0",</v>
      </c>
      <c r="AS253" t="str">
        <f t="shared" si="101"/>
        <v>"year":"0",</v>
      </c>
      <c r="AT253" t="str">
        <f t="shared" si="102"/>
        <v>"division":"--",</v>
      </c>
      <c r="AU253" t="str">
        <f t="shared" si="103"/>
        <v>"bw":"0",</v>
      </c>
      <c r="AV253" t="str">
        <f t="shared" si="104"/>
        <v>"idx":"23",</v>
      </c>
      <c r="AW253" t="str">
        <f t="shared" si="105"/>
        <v>"sr":"0",</v>
      </c>
      <c r="AX253" t="str">
        <f t="shared" si="106"/>
        <v>"br":"0",</v>
      </c>
      <c r="AY253" t="str">
        <f t="shared" si="107"/>
        <v>"row":0,</v>
      </c>
      <c r="AZ253" t="s">
        <v>67</v>
      </c>
      <c r="BA253" t="str">
        <f t="shared" si="94"/>
        <v>"sq":{"a1":0,"a2":"","a3":"","s1":0,"s2":0,"s3":0},"bp":{"a1":0,"a2":"","a3":"","s1":0,"s2":0,"s3":0},"dl":{"a1":0,"a2":"","a3":"","s1":0,"s2":0,"s3":0},"sortOrder":0,"act":{}}</v>
      </c>
      <c r="BB253" t="str">
        <f t="shared" si="95"/>
        <v>"23":{"group":"A","lot":0,"name":"0","team":"0","year":"0","division":"--","bw":"0","idx":"23","sr":"0","br":"0","row":0,"sq":{"a1":0,"a2":"","a3":"","s1":0,"s2":0,"s3":0},"bp":{"a1":0,"a2":"","a3":"","s1":0,"s2":0,"s3":0},"dl":{"a1":0,"a2":"","a3":"","s1":0,"s2":0,"s3":0},"sortOrder":0,"act":{}}</v>
      </c>
    </row>
    <row r="254" spans="5:54" x14ac:dyDescent="0.25">
      <c r="E254" s="163"/>
      <c r="F254" s="126"/>
      <c r="G254" s="126"/>
      <c r="H254" s="126"/>
      <c r="I254" s="126"/>
      <c r="J254" s="126"/>
      <c r="K254" s="126"/>
      <c r="L254" s="126"/>
      <c r="M254" s="126"/>
      <c r="N254" s="126"/>
      <c r="O254" s="126"/>
      <c r="P254" s="126"/>
      <c r="Q254" s="126"/>
      <c r="R254" s="126"/>
      <c r="S254" s="126"/>
      <c r="T254" s="127"/>
      <c r="U254" s="128"/>
      <c r="V254" s="128"/>
      <c r="W254" s="129"/>
      <c r="Z254" s="15" t="str">
        <f t="shared" si="96"/>
        <v>A</v>
      </c>
      <c r="AA254" s="8">
        <f t="shared" si="85"/>
        <v>0</v>
      </c>
      <c r="AB254" s="9">
        <f t="shared" si="88"/>
        <v>0</v>
      </c>
      <c r="AC254" s="8">
        <f t="shared" si="86"/>
        <v>0</v>
      </c>
      <c r="AD254" s="8">
        <f t="shared" si="87"/>
        <v>0</v>
      </c>
      <c r="AE254" s="8" t="str">
        <f t="shared" si="89"/>
        <v>--</v>
      </c>
      <c r="AF254" s="10">
        <f t="shared" si="90"/>
        <v>0</v>
      </c>
      <c r="AG254" s="8">
        <v>23</v>
      </c>
      <c r="AH254" s="9">
        <f t="shared" si="91"/>
        <v>0</v>
      </c>
      <c r="AI254" s="11">
        <f t="shared" si="92"/>
        <v>0</v>
      </c>
      <c r="AJ254" s="6"/>
      <c r="AK254" s="6"/>
      <c r="AL254" s="6"/>
      <c r="AN254" t="str">
        <f t="shared" si="97"/>
        <v>"23":{</v>
      </c>
      <c r="AO254" t="str">
        <f t="shared" si="98"/>
        <v>"group":"A",</v>
      </c>
      <c r="AP254" t="str">
        <f t="shared" si="93"/>
        <v>"lot":0,</v>
      </c>
      <c r="AQ254" t="str">
        <f t="shared" si="99"/>
        <v>"name":"0",</v>
      </c>
      <c r="AR254" t="str">
        <f t="shared" si="100"/>
        <v>"team":"0",</v>
      </c>
      <c r="AS254" t="str">
        <f t="shared" si="101"/>
        <v>"year":"0",</v>
      </c>
      <c r="AT254" t="str">
        <f t="shared" si="102"/>
        <v>"division":"--",</v>
      </c>
      <c r="AU254" t="str">
        <f t="shared" si="103"/>
        <v>"bw":"0",</v>
      </c>
      <c r="AV254" t="str">
        <f t="shared" si="104"/>
        <v>"idx":"23",</v>
      </c>
      <c r="AW254" t="str">
        <f t="shared" si="105"/>
        <v>"sr":"0",</v>
      </c>
      <c r="AX254" t="str">
        <f t="shared" si="106"/>
        <v>"br":"0",</v>
      </c>
      <c r="AY254" t="str">
        <f t="shared" si="107"/>
        <v>"row":0,</v>
      </c>
      <c r="AZ254" t="s">
        <v>67</v>
      </c>
      <c r="BA254" t="str">
        <f t="shared" si="94"/>
        <v>"sq":{"a1":0,"a2":"","a3":"","s1":0,"s2":0,"s3":0},"bp":{"a1":0,"a2":"","a3":"","s1":0,"s2":0,"s3":0},"dl":{"a1":0,"a2":"","a3":"","s1":0,"s2":0,"s3":0},"sortOrder":0,"act":{}}</v>
      </c>
      <c r="BB254" t="str">
        <f t="shared" si="95"/>
        <v>"23":{"group":"A","lot":0,"name":"0","team":"0","year":"0","division":"--","bw":"0","idx":"23","sr":"0","br":"0","row":0,"sq":{"a1":0,"a2":"","a3":"","s1":0,"s2":0,"s3":0},"bp":{"a1":0,"a2":"","a3":"","s1":0,"s2":0,"s3":0},"dl":{"a1":0,"a2":"","a3":"","s1":0,"s2":0,"s3":0},"sortOrder":0,"act":{}}</v>
      </c>
    </row>
    <row r="255" spans="5:54" x14ac:dyDescent="0.25">
      <c r="E255" s="163"/>
      <c r="F255" s="126"/>
      <c r="G255" s="126"/>
      <c r="H255" s="126"/>
      <c r="I255" s="126"/>
      <c r="J255" s="126"/>
      <c r="K255" s="126"/>
      <c r="L255" s="126"/>
      <c r="M255" s="126"/>
      <c r="N255" s="126"/>
      <c r="O255" s="126"/>
      <c r="P255" s="126"/>
      <c r="Q255" s="126"/>
      <c r="R255" s="126"/>
      <c r="S255" s="126"/>
      <c r="T255" s="127"/>
      <c r="U255" s="128"/>
      <c r="V255" s="128"/>
      <c r="W255" s="129"/>
      <c r="Z255" s="15" t="str">
        <f t="shared" si="96"/>
        <v>A</v>
      </c>
      <c r="AA255" s="8">
        <f t="shared" si="85"/>
        <v>0</v>
      </c>
      <c r="AB255" s="9">
        <f t="shared" si="88"/>
        <v>0</v>
      </c>
      <c r="AC255" s="8">
        <f t="shared" si="86"/>
        <v>0</v>
      </c>
      <c r="AD255" s="8">
        <f t="shared" si="87"/>
        <v>0</v>
      </c>
      <c r="AE255" s="8" t="str">
        <f t="shared" si="89"/>
        <v>--</v>
      </c>
      <c r="AF255" s="10">
        <f t="shared" si="90"/>
        <v>0</v>
      </c>
      <c r="AG255" s="8">
        <v>23</v>
      </c>
      <c r="AH255" s="9">
        <f t="shared" si="91"/>
        <v>0</v>
      </c>
      <c r="AI255" s="11">
        <f t="shared" si="92"/>
        <v>0</v>
      </c>
      <c r="AJ255" s="6"/>
      <c r="AK255" s="6"/>
      <c r="AL255" s="6"/>
      <c r="AN255" t="str">
        <f t="shared" si="97"/>
        <v>"23":{</v>
      </c>
      <c r="AO255" t="str">
        <f t="shared" si="98"/>
        <v>"group":"A",</v>
      </c>
      <c r="AP255" t="str">
        <f t="shared" si="93"/>
        <v>"lot":0,</v>
      </c>
      <c r="AQ255" t="str">
        <f t="shared" si="99"/>
        <v>"name":"0",</v>
      </c>
      <c r="AR255" t="str">
        <f t="shared" si="100"/>
        <v>"team":"0",</v>
      </c>
      <c r="AS255" t="str">
        <f t="shared" si="101"/>
        <v>"year":"0",</v>
      </c>
      <c r="AT255" t="str">
        <f t="shared" si="102"/>
        <v>"division":"--",</v>
      </c>
      <c r="AU255" t="str">
        <f t="shared" si="103"/>
        <v>"bw":"0",</v>
      </c>
      <c r="AV255" t="str">
        <f t="shared" si="104"/>
        <v>"idx":"23",</v>
      </c>
      <c r="AW255" t="str">
        <f t="shared" si="105"/>
        <v>"sr":"0",</v>
      </c>
      <c r="AX255" t="str">
        <f t="shared" si="106"/>
        <v>"br":"0",</v>
      </c>
      <c r="AY255" t="str">
        <f t="shared" si="107"/>
        <v>"row":0,</v>
      </c>
      <c r="AZ255" t="s">
        <v>67</v>
      </c>
      <c r="BA255" t="str">
        <f t="shared" si="94"/>
        <v>"sq":{"a1":0,"a2":"","a3":"","s1":0,"s2":0,"s3":0},"bp":{"a1":0,"a2":"","a3":"","s1":0,"s2":0,"s3":0},"dl":{"a1":0,"a2":"","a3":"","s1":0,"s2":0,"s3":0},"sortOrder":0,"act":{}}</v>
      </c>
      <c r="BB255" t="str">
        <f t="shared" si="95"/>
        <v>"23":{"group":"A","lot":0,"name":"0","team":"0","year":"0","division":"--","bw":"0","idx":"23","sr":"0","br":"0","row":0,"sq":{"a1":0,"a2":"","a3":"","s1":0,"s2":0,"s3":0},"bp":{"a1":0,"a2":"","a3":"","s1":0,"s2":0,"s3":0},"dl":{"a1":0,"a2":"","a3":"","s1":0,"s2":0,"s3":0},"sortOrder":0,"act":{}}</v>
      </c>
    </row>
    <row r="256" spans="5:54" x14ac:dyDescent="0.25">
      <c r="E256" s="163"/>
      <c r="F256" s="126"/>
      <c r="G256" s="126"/>
      <c r="H256" s="126"/>
      <c r="I256" s="126"/>
      <c r="J256" s="126"/>
      <c r="K256" s="126"/>
      <c r="L256" s="126"/>
      <c r="M256" s="126"/>
      <c r="N256" s="126"/>
      <c r="O256" s="126"/>
      <c r="P256" s="126"/>
      <c r="Q256" s="126"/>
      <c r="R256" s="126"/>
      <c r="S256" s="126"/>
      <c r="T256" s="127"/>
      <c r="U256" s="128"/>
      <c r="V256" s="128"/>
      <c r="W256" s="129"/>
      <c r="Z256" s="15" t="str">
        <f t="shared" si="96"/>
        <v>A</v>
      </c>
      <c r="AA256" s="8">
        <f t="shared" si="85"/>
        <v>0</v>
      </c>
      <c r="AB256" s="9">
        <f t="shared" si="88"/>
        <v>0</v>
      </c>
      <c r="AC256" s="8">
        <f t="shared" si="86"/>
        <v>0</v>
      </c>
      <c r="AD256" s="8">
        <f t="shared" si="87"/>
        <v>0</v>
      </c>
      <c r="AE256" s="8" t="str">
        <f t="shared" si="89"/>
        <v>--</v>
      </c>
      <c r="AF256" s="10">
        <f t="shared" si="90"/>
        <v>0</v>
      </c>
      <c r="AG256" s="8">
        <v>23</v>
      </c>
      <c r="AH256" s="9">
        <f t="shared" si="91"/>
        <v>0</v>
      </c>
      <c r="AI256" s="11">
        <f t="shared" si="92"/>
        <v>0</v>
      </c>
      <c r="AJ256" s="6"/>
      <c r="AK256" s="6"/>
      <c r="AL256" s="6"/>
      <c r="AN256" t="str">
        <f t="shared" si="97"/>
        <v>"23":{</v>
      </c>
      <c r="AO256" t="str">
        <f t="shared" si="98"/>
        <v>"group":"A",</v>
      </c>
      <c r="AP256" t="str">
        <f t="shared" si="93"/>
        <v>"lot":0,</v>
      </c>
      <c r="AQ256" t="str">
        <f t="shared" si="99"/>
        <v>"name":"0",</v>
      </c>
      <c r="AR256" t="str">
        <f t="shared" si="100"/>
        <v>"team":"0",</v>
      </c>
      <c r="AS256" t="str">
        <f t="shared" si="101"/>
        <v>"year":"0",</v>
      </c>
      <c r="AT256" t="str">
        <f t="shared" si="102"/>
        <v>"division":"--",</v>
      </c>
      <c r="AU256" t="str">
        <f t="shared" si="103"/>
        <v>"bw":"0",</v>
      </c>
      <c r="AV256" t="str">
        <f t="shared" si="104"/>
        <v>"idx":"23",</v>
      </c>
      <c r="AW256" t="str">
        <f t="shared" si="105"/>
        <v>"sr":"0",</v>
      </c>
      <c r="AX256" t="str">
        <f t="shared" si="106"/>
        <v>"br":"0",</v>
      </c>
      <c r="AY256" t="str">
        <f t="shared" si="107"/>
        <v>"row":0,</v>
      </c>
      <c r="AZ256" t="s">
        <v>67</v>
      </c>
      <c r="BA256" t="str">
        <f t="shared" si="94"/>
        <v>"sq":{"a1":0,"a2":"","a3":"","s1":0,"s2":0,"s3":0},"bp":{"a1":0,"a2":"","a3":"","s1":0,"s2":0,"s3":0},"dl":{"a1":0,"a2":"","a3":"","s1":0,"s2":0,"s3":0},"sortOrder":0,"act":{}}</v>
      </c>
      <c r="BB256" t="str">
        <f t="shared" si="95"/>
        <v>"23":{"group":"A","lot":0,"name":"0","team":"0","year":"0","division":"--","bw":"0","idx":"23","sr":"0","br":"0","row":0,"sq":{"a1":0,"a2":"","a3":"","s1":0,"s2":0,"s3":0},"bp":{"a1":0,"a2":"","a3":"","s1":0,"s2":0,"s3":0},"dl":{"a1":0,"a2":"","a3":"","s1":0,"s2":0,"s3":0},"sortOrder":0,"act":{}}</v>
      </c>
    </row>
    <row r="257" spans="5:54" x14ac:dyDescent="0.25">
      <c r="E257" s="163"/>
      <c r="F257" s="126"/>
      <c r="G257" s="126"/>
      <c r="H257" s="126"/>
      <c r="I257" s="126"/>
      <c r="J257" s="126"/>
      <c r="K257" s="126"/>
      <c r="L257" s="126"/>
      <c r="M257" s="126"/>
      <c r="N257" s="126"/>
      <c r="O257" s="126"/>
      <c r="P257" s="126"/>
      <c r="Q257" s="126"/>
      <c r="R257" s="126"/>
      <c r="S257" s="126"/>
      <c r="T257" s="127"/>
      <c r="U257" s="128"/>
      <c r="V257" s="128"/>
      <c r="W257" s="129"/>
      <c r="Z257" s="15" t="str">
        <f t="shared" si="96"/>
        <v>A</v>
      </c>
      <c r="AA257" s="8">
        <f t="shared" si="85"/>
        <v>0</v>
      </c>
      <c r="AB257" s="9">
        <f t="shared" si="88"/>
        <v>0</v>
      </c>
      <c r="AC257" s="8">
        <f t="shared" si="86"/>
        <v>0</v>
      </c>
      <c r="AD257" s="8">
        <f t="shared" si="87"/>
        <v>0</v>
      </c>
      <c r="AE257" s="8" t="str">
        <f t="shared" si="89"/>
        <v>--</v>
      </c>
      <c r="AF257" s="10">
        <f t="shared" si="90"/>
        <v>0</v>
      </c>
      <c r="AG257" s="8">
        <v>23</v>
      </c>
      <c r="AH257" s="9">
        <f t="shared" si="91"/>
        <v>0</v>
      </c>
      <c r="AI257" s="11">
        <f t="shared" si="92"/>
        <v>0</v>
      </c>
      <c r="AJ257" s="6"/>
      <c r="AK257" s="6"/>
      <c r="AL257" s="6"/>
      <c r="AN257" t="str">
        <f t="shared" si="97"/>
        <v>"23":{</v>
      </c>
      <c r="AO257" t="str">
        <f t="shared" si="98"/>
        <v>"group":"A",</v>
      </c>
      <c r="AP257" t="str">
        <f t="shared" si="93"/>
        <v>"lot":0,</v>
      </c>
      <c r="AQ257" t="str">
        <f t="shared" si="99"/>
        <v>"name":"0",</v>
      </c>
      <c r="AR257" t="str">
        <f t="shared" si="100"/>
        <v>"team":"0",</v>
      </c>
      <c r="AS257" t="str">
        <f t="shared" si="101"/>
        <v>"year":"0",</v>
      </c>
      <c r="AT257" t="str">
        <f t="shared" si="102"/>
        <v>"division":"--",</v>
      </c>
      <c r="AU257" t="str">
        <f t="shared" si="103"/>
        <v>"bw":"0",</v>
      </c>
      <c r="AV257" t="str">
        <f t="shared" si="104"/>
        <v>"idx":"23",</v>
      </c>
      <c r="AW257" t="str">
        <f t="shared" si="105"/>
        <v>"sr":"0",</v>
      </c>
      <c r="AX257" t="str">
        <f t="shared" si="106"/>
        <v>"br":"0",</v>
      </c>
      <c r="AY257" t="str">
        <f t="shared" si="107"/>
        <v>"row":0,</v>
      </c>
      <c r="AZ257" t="s">
        <v>67</v>
      </c>
      <c r="BA257" t="str">
        <f t="shared" si="94"/>
        <v>"sq":{"a1":0,"a2":"","a3":"","s1":0,"s2":0,"s3":0},"bp":{"a1":0,"a2":"","a3":"","s1":0,"s2":0,"s3":0},"dl":{"a1":0,"a2":"","a3":"","s1":0,"s2":0,"s3":0},"sortOrder":0,"act":{}}</v>
      </c>
      <c r="BB257" t="str">
        <f t="shared" si="95"/>
        <v>"23":{"group":"A","lot":0,"name":"0","team":"0","year":"0","division":"--","bw":"0","idx":"23","sr":"0","br":"0","row":0,"sq":{"a1":0,"a2":"","a3":"","s1":0,"s2":0,"s3":0},"bp":{"a1":0,"a2":"","a3":"","s1":0,"s2":0,"s3":0},"dl":{"a1":0,"a2":"","a3":"","s1":0,"s2":0,"s3":0},"sortOrder":0,"act":{}}</v>
      </c>
    </row>
    <row r="258" spans="5:54" x14ac:dyDescent="0.25">
      <c r="E258" s="163"/>
      <c r="F258" s="126"/>
      <c r="G258" s="126"/>
      <c r="H258" s="126"/>
      <c r="I258" s="126"/>
      <c r="J258" s="126"/>
      <c r="K258" s="126"/>
      <c r="L258" s="126"/>
      <c r="M258" s="126"/>
      <c r="N258" s="126"/>
      <c r="O258" s="126"/>
      <c r="P258" s="126"/>
      <c r="Q258" s="126"/>
      <c r="R258" s="126"/>
      <c r="S258" s="126"/>
      <c r="T258" s="127"/>
      <c r="U258" s="128"/>
      <c r="V258" s="128"/>
      <c r="W258" s="129"/>
      <c r="Z258" s="15" t="str">
        <f t="shared" si="96"/>
        <v>A</v>
      </c>
      <c r="AA258" s="8">
        <f t="shared" si="85"/>
        <v>0</v>
      </c>
      <c r="AB258" s="9">
        <f t="shared" si="88"/>
        <v>0</v>
      </c>
      <c r="AC258" s="8">
        <f t="shared" si="86"/>
        <v>0</v>
      </c>
      <c r="AD258" s="8">
        <f t="shared" si="87"/>
        <v>0</v>
      </c>
      <c r="AE258" s="8" t="str">
        <f t="shared" si="89"/>
        <v>--</v>
      </c>
      <c r="AF258" s="10">
        <f t="shared" si="90"/>
        <v>0</v>
      </c>
      <c r="AG258" s="8">
        <v>23</v>
      </c>
      <c r="AH258" s="9">
        <f t="shared" si="91"/>
        <v>0</v>
      </c>
      <c r="AI258" s="11">
        <f t="shared" si="92"/>
        <v>0</v>
      </c>
      <c r="AJ258" s="6"/>
      <c r="AK258" s="6"/>
      <c r="AL258" s="6"/>
      <c r="AN258" t="str">
        <f t="shared" si="97"/>
        <v>"23":{</v>
      </c>
      <c r="AO258" t="str">
        <f t="shared" si="98"/>
        <v>"group":"A",</v>
      </c>
      <c r="AP258" t="str">
        <f t="shared" si="93"/>
        <v>"lot":0,</v>
      </c>
      <c r="AQ258" t="str">
        <f t="shared" si="99"/>
        <v>"name":"0",</v>
      </c>
      <c r="AR258" t="str">
        <f t="shared" si="100"/>
        <v>"team":"0",</v>
      </c>
      <c r="AS258" t="str">
        <f t="shared" si="101"/>
        <v>"year":"0",</v>
      </c>
      <c r="AT258" t="str">
        <f t="shared" si="102"/>
        <v>"division":"--",</v>
      </c>
      <c r="AU258" t="str">
        <f t="shared" si="103"/>
        <v>"bw":"0",</v>
      </c>
      <c r="AV258" t="str">
        <f t="shared" si="104"/>
        <v>"idx":"23",</v>
      </c>
      <c r="AW258" t="str">
        <f t="shared" si="105"/>
        <v>"sr":"0",</v>
      </c>
      <c r="AX258" t="str">
        <f t="shared" si="106"/>
        <v>"br":"0",</v>
      </c>
      <c r="AY258" t="str">
        <f t="shared" si="107"/>
        <v>"row":0,</v>
      </c>
      <c r="AZ258" t="s">
        <v>67</v>
      </c>
      <c r="BA258" t="str">
        <f t="shared" si="94"/>
        <v>"sq":{"a1":0,"a2":"","a3":"","s1":0,"s2":0,"s3":0},"bp":{"a1":0,"a2":"","a3":"","s1":0,"s2":0,"s3":0},"dl":{"a1":0,"a2":"","a3":"","s1":0,"s2":0,"s3":0},"sortOrder":0,"act":{}}</v>
      </c>
      <c r="BB258" t="str">
        <f t="shared" si="95"/>
        <v>"23":{"group":"A","lot":0,"name":"0","team":"0","year":"0","division":"--","bw":"0","idx":"23","sr":"0","br":"0","row":0,"sq":{"a1":0,"a2":"","a3":"","s1":0,"s2":0,"s3":0},"bp":{"a1":0,"a2":"","a3":"","s1":0,"s2":0,"s3":0},"dl":{"a1":0,"a2":"","a3":"","s1":0,"s2":0,"s3":0},"sortOrder":0,"act":{}}</v>
      </c>
    </row>
    <row r="259" spans="5:54" x14ac:dyDescent="0.25">
      <c r="E259" s="163"/>
      <c r="F259" s="126"/>
      <c r="G259" s="126"/>
      <c r="H259" s="126"/>
      <c r="I259" s="126"/>
      <c r="J259" s="126"/>
      <c r="K259" s="126"/>
      <c r="L259" s="126"/>
      <c r="M259" s="126"/>
      <c r="N259" s="126"/>
      <c r="O259" s="126"/>
      <c r="P259" s="126"/>
      <c r="Q259" s="126"/>
      <c r="R259" s="126"/>
      <c r="S259" s="126"/>
      <c r="T259" s="127"/>
      <c r="U259" s="128"/>
      <c r="V259" s="128"/>
      <c r="W259" s="129"/>
      <c r="Z259" s="15" t="str">
        <f t="shared" si="96"/>
        <v>A</v>
      </c>
      <c r="AA259" s="8">
        <f t="shared" si="85"/>
        <v>0</v>
      </c>
      <c r="AB259" s="9">
        <f t="shared" si="88"/>
        <v>0</v>
      </c>
      <c r="AC259" s="8">
        <f t="shared" si="86"/>
        <v>0</v>
      </c>
      <c r="AD259" s="8">
        <f t="shared" si="87"/>
        <v>0</v>
      </c>
      <c r="AE259" s="8" t="str">
        <f t="shared" si="89"/>
        <v>--</v>
      </c>
      <c r="AF259" s="10">
        <f t="shared" si="90"/>
        <v>0</v>
      </c>
      <c r="AG259" s="8">
        <v>23</v>
      </c>
      <c r="AH259" s="9">
        <f t="shared" si="91"/>
        <v>0</v>
      </c>
      <c r="AI259" s="11">
        <f t="shared" si="92"/>
        <v>0</v>
      </c>
      <c r="AJ259" s="6"/>
      <c r="AK259" s="6"/>
      <c r="AL259" s="6"/>
      <c r="AN259" t="str">
        <f t="shared" si="97"/>
        <v>"23":{</v>
      </c>
      <c r="AO259" t="str">
        <f t="shared" si="98"/>
        <v>"group":"A",</v>
      </c>
      <c r="AP259" t="str">
        <f t="shared" si="93"/>
        <v>"lot":0,</v>
      </c>
      <c r="AQ259" t="str">
        <f t="shared" si="99"/>
        <v>"name":"0",</v>
      </c>
      <c r="AR259" t="str">
        <f t="shared" si="100"/>
        <v>"team":"0",</v>
      </c>
      <c r="AS259" t="str">
        <f t="shared" si="101"/>
        <v>"year":"0",</v>
      </c>
      <c r="AT259" t="str">
        <f t="shared" si="102"/>
        <v>"division":"--",</v>
      </c>
      <c r="AU259" t="str">
        <f t="shared" si="103"/>
        <v>"bw":"0",</v>
      </c>
      <c r="AV259" t="str">
        <f t="shared" si="104"/>
        <v>"idx":"23",</v>
      </c>
      <c r="AW259" t="str">
        <f t="shared" si="105"/>
        <v>"sr":"0",</v>
      </c>
      <c r="AX259" t="str">
        <f t="shared" si="106"/>
        <v>"br":"0",</v>
      </c>
      <c r="AY259" t="str">
        <f t="shared" si="107"/>
        <v>"row":0,</v>
      </c>
      <c r="AZ259" t="s">
        <v>67</v>
      </c>
      <c r="BA259" t="str">
        <f t="shared" si="94"/>
        <v>"sq":{"a1":0,"a2":"","a3":"","s1":0,"s2":0,"s3":0},"bp":{"a1":0,"a2":"","a3":"","s1":0,"s2":0,"s3":0},"dl":{"a1":0,"a2":"","a3":"","s1":0,"s2":0,"s3":0},"sortOrder":0,"act":{}}</v>
      </c>
      <c r="BB259" t="str">
        <f t="shared" si="95"/>
        <v>"23":{"group":"A","lot":0,"name":"0","team":"0","year":"0","division":"--","bw":"0","idx":"23","sr":"0","br":"0","row":0,"sq":{"a1":0,"a2":"","a3":"","s1":0,"s2":0,"s3":0},"bp":{"a1":0,"a2":"","a3":"","s1":0,"s2":0,"s3":0},"dl":{"a1":0,"a2":"","a3":"","s1":0,"s2":0,"s3":0},"sortOrder":0,"act":{}}</v>
      </c>
    </row>
    <row r="260" spans="5:54" x14ac:dyDescent="0.25">
      <c r="E260" s="163"/>
      <c r="F260" s="126"/>
      <c r="G260" s="126"/>
      <c r="H260" s="126"/>
      <c r="I260" s="126"/>
      <c r="J260" s="126"/>
      <c r="K260" s="126"/>
      <c r="L260" s="126"/>
      <c r="M260" s="126"/>
      <c r="N260" s="126"/>
      <c r="O260" s="126"/>
      <c r="P260" s="126"/>
      <c r="Q260" s="126"/>
      <c r="R260" s="126"/>
      <c r="S260" s="126"/>
      <c r="T260" s="127"/>
      <c r="U260" s="128"/>
      <c r="V260" s="128"/>
      <c r="W260" s="129"/>
      <c r="Z260" s="15" t="str">
        <f t="shared" si="96"/>
        <v>A</v>
      </c>
      <c r="AA260" s="8">
        <f t="shared" ref="AA260:AA299" si="108">G260</f>
        <v>0</v>
      </c>
      <c r="AB260" s="9">
        <f t="shared" si="88"/>
        <v>0</v>
      </c>
      <c r="AC260" s="8">
        <f t="shared" ref="AC260:AC299" si="109">J260</f>
        <v>0</v>
      </c>
      <c r="AD260" s="8">
        <f t="shared" ref="AD260:AD299" si="110">K260</f>
        <v>0</v>
      </c>
      <c r="AE260" s="8" t="str">
        <f t="shared" si="89"/>
        <v>--</v>
      </c>
      <c r="AF260" s="10">
        <f t="shared" si="90"/>
        <v>0</v>
      </c>
      <c r="AG260" s="8">
        <v>23</v>
      </c>
      <c r="AH260" s="9">
        <f t="shared" si="91"/>
        <v>0</v>
      </c>
      <c r="AI260" s="11">
        <f t="shared" si="92"/>
        <v>0</v>
      </c>
      <c r="AJ260" s="6"/>
      <c r="AK260" s="6"/>
      <c r="AL260" s="6"/>
      <c r="AN260" t="str">
        <f t="shared" si="97"/>
        <v>"23":{</v>
      </c>
      <c r="AO260" t="str">
        <f t="shared" si="98"/>
        <v>"group":"A",</v>
      </c>
      <c r="AP260" t="str">
        <f t="shared" si="93"/>
        <v>"lot":0,</v>
      </c>
      <c r="AQ260" t="str">
        <f t="shared" si="99"/>
        <v>"name":"0",</v>
      </c>
      <c r="AR260" t="str">
        <f t="shared" si="100"/>
        <v>"team":"0",</v>
      </c>
      <c r="AS260" t="str">
        <f t="shared" si="101"/>
        <v>"year":"0",</v>
      </c>
      <c r="AT260" t="str">
        <f t="shared" si="102"/>
        <v>"division":"--",</v>
      </c>
      <c r="AU260" t="str">
        <f t="shared" si="103"/>
        <v>"bw":"0",</v>
      </c>
      <c r="AV260" t="str">
        <f t="shared" si="104"/>
        <v>"idx":"23",</v>
      </c>
      <c r="AW260" t="str">
        <f t="shared" si="105"/>
        <v>"sr":"0",</v>
      </c>
      <c r="AX260" t="str">
        <f t="shared" si="106"/>
        <v>"br":"0",</v>
      </c>
      <c r="AY260" t="str">
        <f t="shared" si="107"/>
        <v>"row":0,</v>
      </c>
      <c r="AZ260" t="s">
        <v>67</v>
      </c>
      <c r="BA260" t="str">
        <f t="shared" si="94"/>
        <v>"sq":{"a1":0,"a2":"","a3":"","s1":0,"s2":0,"s3":0},"bp":{"a1":0,"a2":"","a3":"","s1":0,"s2":0,"s3":0},"dl":{"a1":0,"a2":"","a3":"","s1":0,"s2":0,"s3":0},"sortOrder":0,"act":{}}</v>
      </c>
      <c r="BB260" t="str">
        <f t="shared" si="95"/>
        <v>"23":{"group":"A","lot":0,"name":"0","team":"0","year":"0","division":"--","bw":"0","idx":"23","sr":"0","br":"0","row":0,"sq":{"a1":0,"a2":"","a3":"","s1":0,"s2":0,"s3":0},"bp":{"a1":0,"a2":"","a3":"","s1":0,"s2":0,"s3":0},"dl":{"a1":0,"a2":"","a3":"","s1":0,"s2":0,"s3":0},"sortOrder":0,"act":{}}</v>
      </c>
    </row>
    <row r="261" spans="5:54" x14ac:dyDescent="0.25">
      <c r="E261" s="163"/>
      <c r="F261" s="126"/>
      <c r="G261" s="126"/>
      <c r="H261" s="126"/>
      <c r="I261" s="126"/>
      <c r="J261" s="126"/>
      <c r="K261" s="126"/>
      <c r="L261" s="126"/>
      <c r="M261" s="126"/>
      <c r="N261" s="126"/>
      <c r="O261" s="126"/>
      <c r="P261" s="126"/>
      <c r="Q261" s="126"/>
      <c r="R261" s="126"/>
      <c r="S261" s="126"/>
      <c r="T261" s="127"/>
      <c r="U261" s="128"/>
      <c r="V261" s="128"/>
      <c r="W261" s="129"/>
      <c r="Z261" s="15" t="str">
        <f t="shared" si="96"/>
        <v>A</v>
      </c>
      <c r="AA261" s="8">
        <f t="shared" si="108"/>
        <v>0</v>
      </c>
      <c r="AB261" s="9">
        <f t="shared" ref="AB261:AB299" si="111">IF(ISBLANK(H261),I261,H261&amp;" " &amp;I261)</f>
        <v>0</v>
      </c>
      <c r="AC261" s="8">
        <f t="shared" si="109"/>
        <v>0</v>
      </c>
      <c r="AD261" s="8">
        <f t="shared" si="110"/>
        <v>0</v>
      </c>
      <c r="AE261" s="8" t="str">
        <f t="shared" ref="AE261:AE299" si="112">LEFT(N261,1)&amp;"-"&amp;L261&amp;"-"&amp;M261</f>
        <v>--</v>
      </c>
      <c r="AF261" s="10">
        <f t="shared" ref="AF261:AF299" si="113">R261</f>
        <v>0</v>
      </c>
      <c r="AG261" s="8">
        <v>23</v>
      </c>
      <c r="AH261" s="9">
        <f t="shared" ref="AH261:AH299" si="114">S261</f>
        <v>0</v>
      </c>
      <c r="AI261" s="11">
        <f t="shared" ref="AI261:AI299" si="115">T261</f>
        <v>0</v>
      </c>
      <c r="AJ261" s="6"/>
      <c r="AK261" s="6"/>
      <c r="AL261" s="6"/>
      <c r="AN261" t="str">
        <f t="shared" si="97"/>
        <v>"23":{</v>
      </c>
      <c r="AO261" t="str">
        <f t="shared" si="98"/>
        <v>"group":"A",</v>
      </c>
      <c r="AP261" t="str">
        <f t="shared" ref="AP261:AP299" si="116">AA$3&amp;":"&amp;AA261&amp;","</f>
        <v>"lot":0,</v>
      </c>
      <c r="AQ261" t="str">
        <f t="shared" si="99"/>
        <v>"name":"0",</v>
      </c>
      <c r="AR261" t="str">
        <f t="shared" si="100"/>
        <v>"team":"0",</v>
      </c>
      <c r="AS261" t="str">
        <f t="shared" si="101"/>
        <v>"year":"0",</v>
      </c>
      <c r="AT261" t="str">
        <f t="shared" si="102"/>
        <v>"division":"--",</v>
      </c>
      <c r="AU261" t="str">
        <f t="shared" si="103"/>
        <v>"bw":"0",</v>
      </c>
      <c r="AV261" t="str">
        <f t="shared" si="104"/>
        <v>"idx":"23",</v>
      </c>
      <c r="AW261" t="str">
        <f t="shared" si="105"/>
        <v>"sr":"0",</v>
      </c>
      <c r="AX261" t="str">
        <f t="shared" si="106"/>
        <v>"br":"0",</v>
      </c>
      <c r="AY261" t="str">
        <f t="shared" si="107"/>
        <v>"row":0,</v>
      </c>
      <c r="AZ261" t="s">
        <v>67</v>
      </c>
      <c r="BA261" t="str">
        <f t="shared" ref="BA261:BA299" si="117">SUBSTITUTE(SUBSTITUTE(SUBSTITUTE(AZ261,"999.5",IF(ISBLANK(U261),"0",U261)),"888.5",IF(ISBLANK(V261),"0",V261)),"555.5",IF(ISBLANK(W261),"0",W261))</f>
        <v>"sq":{"a1":0,"a2":"","a3":"","s1":0,"s2":0,"s3":0},"bp":{"a1":0,"a2":"","a3":"","s1":0,"s2":0,"s3":0},"dl":{"a1":0,"a2":"","a3":"","s1":0,"s2":0,"s3":0},"sortOrder":0,"act":{}}</v>
      </c>
      <c r="BB261" t="str">
        <f t="shared" ref="BB261:BB299" si="118">AN261&amp;AO261&amp;AP261&amp;AQ261&amp;AR261&amp;AS261&amp;AT261&amp;AU261&amp;AV261&amp;AW261&amp;AX261&amp;AY261&amp;BA261</f>
        <v>"23":{"group":"A","lot":0,"name":"0","team":"0","year":"0","division":"--","bw":"0","idx":"23","sr":"0","br":"0","row":0,"sq":{"a1":0,"a2":"","a3":"","s1":0,"s2":0,"s3":0},"bp":{"a1":0,"a2":"","a3":"","s1":0,"s2":0,"s3":0},"dl":{"a1":0,"a2":"","a3":"","s1":0,"s2":0,"s3":0},"sortOrder":0,"act":{}}</v>
      </c>
    </row>
    <row r="262" spans="5:54" x14ac:dyDescent="0.25">
      <c r="E262" s="163"/>
      <c r="F262" s="126"/>
      <c r="G262" s="126"/>
      <c r="H262" s="126"/>
      <c r="I262" s="126"/>
      <c r="J262" s="126"/>
      <c r="K262" s="126"/>
      <c r="L262" s="126"/>
      <c r="M262" s="126"/>
      <c r="N262" s="126"/>
      <c r="O262" s="126"/>
      <c r="P262" s="126"/>
      <c r="Q262" s="126"/>
      <c r="R262" s="126"/>
      <c r="S262" s="126"/>
      <c r="T262" s="127"/>
      <c r="U262" s="128"/>
      <c r="V262" s="128"/>
      <c r="W262" s="129"/>
      <c r="Z262" s="15" t="str">
        <f t="shared" si="96"/>
        <v>A</v>
      </c>
      <c r="AA262" s="8">
        <f t="shared" si="108"/>
        <v>0</v>
      </c>
      <c r="AB262" s="9">
        <f t="shared" si="111"/>
        <v>0</v>
      </c>
      <c r="AC262" s="8">
        <f t="shared" si="109"/>
        <v>0</v>
      </c>
      <c r="AD262" s="8">
        <f t="shared" si="110"/>
        <v>0</v>
      </c>
      <c r="AE262" s="8" t="str">
        <f t="shared" si="112"/>
        <v>--</v>
      </c>
      <c r="AF262" s="10">
        <f t="shared" si="113"/>
        <v>0</v>
      </c>
      <c r="AG262" s="8">
        <v>23</v>
      </c>
      <c r="AH262" s="9">
        <f t="shared" si="114"/>
        <v>0</v>
      </c>
      <c r="AI262" s="11">
        <f t="shared" si="115"/>
        <v>0</v>
      </c>
      <c r="AJ262" s="6"/>
      <c r="AK262" s="6"/>
      <c r="AL262" s="6"/>
      <c r="AN262" t="str">
        <f t="shared" si="97"/>
        <v>"23":{</v>
      </c>
      <c r="AO262" t="str">
        <f t="shared" si="98"/>
        <v>"group":"A",</v>
      </c>
      <c r="AP262" t="str">
        <f t="shared" si="116"/>
        <v>"lot":0,</v>
      </c>
      <c r="AQ262" t="str">
        <f t="shared" si="99"/>
        <v>"name":"0",</v>
      </c>
      <c r="AR262" t="str">
        <f t="shared" si="100"/>
        <v>"team":"0",</v>
      </c>
      <c r="AS262" t="str">
        <f t="shared" si="101"/>
        <v>"year":"0",</v>
      </c>
      <c r="AT262" t="str">
        <f t="shared" si="102"/>
        <v>"division":"--",</v>
      </c>
      <c r="AU262" t="str">
        <f t="shared" si="103"/>
        <v>"bw":"0",</v>
      </c>
      <c r="AV262" t="str">
        <f t="shared" si="104"/>
        <v>"idx":"23",</v>
      </c>
      <c r="AW262" t="str">
        <f t="shared" si="105"/>
        <v>"sr":"0",</v>
      </c>
      <c r="AX262" t="str">
        <f t="shared" si="106"/>
        <v>"br":"0",</v>
      </c>
      <c r="AY262" t="str">
        <f t="shared" si="107"/>
        <v>"row":0,</v>
      </c>
      <c r="AZ262" t="s">
        <v>67</v>
      </c>
      <c r="BA262" t="str">
        <f t="shared" si="117"/>
        <v>"sq":{"a1":0,"a2":"","a3":"","s1":0,"s2":0,"s3":0},"bp":{"a1":0,"a2":"","a3":"","s1":0,"s2":0,"s3":0},"dl":{"a1":0,"a2":"","a3":"","s1":0,"s2":0,"s3":0},"sortOrder":0,"act":{}}</v>
      </c>
      <c r="BB262" t="str">
        <f t="shared" si="118"/>
        <v>"23":{"group":"A","lot":0,"name":"0","team":"0","year":"0","division":"--","bw":"0","idx":"23","sr":"0","br":"0","row":0,"sq":{"a1":0,"a2":"","a3":"","s1":0,"s2":0,"s3":0},"bp":{"a1":0,"a2":"","a3":"","s1":0,"s2":0,"s3":0},"dl":{"a1":0,"a2":"","a3":"","s1":0,"s2":0,"s3":0},"sortOrder":0,"act":{}}</v>
      </c>
    </row>
    <row r="263" spans="5:54" x14ac:dyDescent="0.25">
      <c r="E263" s="163"/>
      <c r="F263" s="126"/>
      <c r="G263" s="126"/>
      <c r="H263" s="126"/>
      <c r="I263" s="126"/>
      <c r="J263" s="126"/>
      <c r="K263" s="126"/>
      <c r="L263" s="126"/>
      <c r="M263" s="126"/>
      <c r="N263" s="126"/>
      <c r="O263" s="126"/>
      <c r="P263" s="126"/>
      <c r="Q263" s="126"/>
      <c r="R263" s="126"/>
      <c r="S263" s="126"/>
      <c r="T263" s="127"/>
      <c r="U263" s="128"/>
      <c r="V263" s="128"/>
      <c r="W263" s="129"/>
      <c r="Z263" s="15" t="str">
        <f t="shared" si="96"/>
        <v>A</v>
      </c>
      <c r="AA263" s="8">
        <f t="shared" si="108"/>
        <v>0</v>
      </c>
      <c r="AB263" s="9">
        <f t="shared" si="111"/>
        <v>0</v>
      </c>
      <c r="AC263" s="8">
        <f t="shared" si="109"/>
        <v>0</v>
      </c>
      <c r="AD263" s="8">
        <f t="shared" si="110"/>
        <v>0</v>
      </c>
      <c r="AE263" s="8" t="str">
        <f t="shared" si="112"/>
        <v>--</v>
      </c>
      <c r="AF263" s="10">
        <f t="shared" si="113"/>
        <v>0</v>
      </c>
      <c r="AG263" s="8">
        <v>23</v>
      </c>
      <c r="AH263" s="9">
        <f t="shared" si="114"/>
        <v>0</v>
      </c>
      <c r="AI263" s="11">
        <f t="shared" si="115"/>
        <v>0</v>
      </c>
      <c r="AJ263" s="6"/>
      <c r="AK263" s="6"/>
      <c r="AL263" s="6"/>
      <c r="AN263" t="str">
        <f t="shared" si="97"/>
        <v>"23":{</v>
      </c>
      <c r="AO263" t="str">
        <f t="shared" si="98"/>
        <v>"group":"A",</v>
      </c>
      <c r="AP263" t="str">
        <f t="shared" si="116"/>
        <v>"lot":0,</v>
      </c>
      <c r="AQ263" t="str">
        <f t="shared" si="99"/>
        <v>"name":"0",</v>
      </c>
      <c r="AR263" t="str">
        <f t="shared" si="100"/>
        <v>"team":"0",</v>
      </c>
      <c r="AS263" t="str">
        <f t="shared" si="101"/>
        <v>"year":"0",</v>
      </c>
      <c r="AT263" t="str">
        <f t="shared" si="102"/>
        <v>"division":"--",</v>
      </c>
      <c r="AU263" t="str">
        <f t="shared" si="103"/>
        <v>"bw":"0",</v>
      </c>
      <c r="AV263" t="str">
        <f t="shared" si="104"/>
        <v>"idx":"23",</v>
      </c>
      <c r="AW263" t="str">
        <f t="shared" si="105"/>
        <v>"sr":"0",</v>
      </c>
      <c r="AX263" t="str">
        <f t="shared" si="106"/>
        <v>"br":"0",</v>
      </c>
      <c r="AY263" t="str">
        <f t="shared" si="107"/>
        <v>"row":0,</v>
      </c>
      <c r="AZ263" t="s">
        <v>67</v>
      </c>
      <c r="BA263" t="str">
        <f t="shared" si="117"/>
        <v>"sq":{"a1":0,"a2":"","a3":"","s1":0,"s2":0,"s3":0},"bp":{"a1":0,"a2":"","a3":"","s1":0,"s2":0,"s3":0},"dl":{"a1":0,"a2":"","a3":"","s1":0,"s2":0,"s3":0},"sortOrder":0,"act":{}}</v>
      </c>
      <c r="BB263" t="str">
        <f t="shared" si="118"/>
        <v>"23":{"group":"A","lot":0,"name":"0","team":"0","year":"0","division":"--","bw":"0","idx":"23","sr":"0","br":"0","row":0,"sq":{"a1":0,"a2":"","a3":"","s1":0,"s2":0,"s3":0},"bp":{"a1":0,"a2":"","a3":"","s1":0,"s2":0,"s3":0},"dl":{"a1":0,"a2":"","a3":"","s1":0,"s2":0,"s3":0},"sortOrder":0,"act":{}}</v>
      </c>
    </row>
    <row r="264" spans="5:54" x14ac:dyDescent="0.25">
      <c r="E264" s="163"/>
      <c r="F264" s="126"/>
      <c r="G264" s="126"/>
      <c r="H264" s="126"/>
      <c r="I264" s="126"/>
      <c r="J264" s="126"/>
      <c r="K264" s="126"/>
      <c r="L264" s="126"/>
      <c r="M264" s="126"/>
      <c r="N264" s="126"/>
      <c r="O264" s="126"/>
      <c r="P264" s="126"/>
      <c r="Q264" s="126"/>
      <c r="R264" s="126"/>
      <c r="S264" s="126"/>
      <c r="T264" s="127"/>
      <c r="U264" s="128"/>
      <c r="V264" s="128"/>
      <c r="W264" s="129"/>
      <c r="Z264" s="15" t="str">
        <f t="shared" si="96"/>
        <v>A</v>
      </c>
      <c r="AA264" s="8">
        <f t="shared" si="108"/>
        <v>0</v>
      </c>
      <c r="AB264" s="9">
        <f t="shared" si="111"/>
        <v>0</v>
      </c>
      <c r="AC264" s="8">
        <f t="shared" si="109"/>
        <v>0</v>
      </c>
      <c r="AD264" s="8">
        <f t="shared" si="110"/>
        <v>0</v>
      </c>
      <c r="AE264" s="8" t="str">
        <f t="shared" si="112"/>
        <v>--</v>
      </c>
      <c r="AF264" s="10">
        <f t="shared" si="113"/>
        <v>0</v>
      </c>
      <c r="AG264" s="8">
        <v>23</v>
      </c>
      <c r="AH264" s="9">
        <f t="shared" si="114"/>
        <v>0</v>
      </c>
      <c r="AI264" s="11">
        <f t="shared" si="115"/>
        <v>0</v>
      </c>
      <c r="AJ264" s="6"/>
      <c r="AK264" s="6"/>
      <c r="AL264" s="6"/>
      <c r="AN264" t="str">
        <f t="shared" si="97"/>
        <v>"23":{</v>
      </c>
      <c r="AO264" t="str">
        <f t="shared" si="98"/>
        <v>"group":"A",</v>
      </c>
      <c r="AP264" t="str">
        <f t="shared" si="116"/>
        <v>"lot":0,</v>
      </c>
      <c r="AQ264" t="str">
        <f t="shared" si="99"/>
        <v>"name":"0",</v>
      </c>
      <c r="AR264" t="str">
        <f t="shared" si="100"/>
        <v>"team":"0",</v>
      </c>
      <c r="AS264" t="str">
        <f t="shared" si="101"/>
        <v>"year":"0",</v>
      </c>
      <c r="AT264" t="str">
        <f t="shared" si="102"/>
        <v>"division":"--",</v>
      </c>
      <c r="AU264" t="str">
        <f t="shared" si="103"/>
        <v>"bw":"0",</v>
      </c>
      <c r="AV264" t="str">
        <f t="shared" si="104"/>
        <v>"idx":"23",</v>
      </c>
      <c r="AW264" t="str">
        <f t="shared" si="105"/>
        <v>"sr":"0",</v>
      </c>
      <c r="AX264" t="str">
        <f t="shared" si="106"/>
        <v>"br":"0",</v>
      </c>
      <c r="AY264" t="str">
        <f t="shared" si="107"/>
        <v>"row":0,</v>
      </c>
      <c r="AZ264" t="s">
        <v>67</v>
      </c>
      <c r="BA264" t="str">
        <f t="shared" si="117"/>
        <v>"sq":{"a1":0,"a2":"","a3":"","s1":0,"s2":0,"s3":0},"bp":{"a1":0,"a2":"","a3":"","s1":0,"s2":0,"s3":0},"dl":{"a1":0,"a2":"","a3":"","s1":0,"s2":0,"s3":0},"sortOrder":0,"act":{}}</v>
      </c>
      <c r="BB264" t="str">
        <f t="shared" si="118"/>
        <v>"23":{"group":"A","lot":0,"name":"0","team":"0","year":"0","division":"--","bw":"0","idx":"23","sr":"0","br":"0","row":0,"sq":{"a1":0,"a2":"","a3":"","s1":0,"s2":0,"s3":0},"bp":{"a1":0,"a2":"","a3":"","s1":0,"s2":0,"s3":0},"dl":{"a1":0,"a2":"","a3":"","s1":0,"s2":0,"s3":0},"sortOrder":0,"act":{}}</v>
      </c>
    </row>
    <row r="265" spans="5:54" x14ac:dyDescent="0.25">
      <c r="E265" s="163"/>
      <c r="F265" s="126"/>
      <c r="G265" s="126"/>
      <c r="H265" s="126"/>
      <c r="I265" s="126"/>
      <c r="J265" s="126"/>
      <c r="K265" s="126"/>
      <c r="L265" s="126"/>
      <c r="M265" s="126"/>
      <c r="N265" s="126"/>
      <c r="O265" s="126"/>
      <c r="P265" s="126"/>
      <c r="Q265" s="126"/>
      <c r="R265" s="126"/>
      <c r="S265" s="126"/>
      <c r="T265" s="127"/>
      <c r="U265" s="128"/>
      <c r="V265" s="128"/>
      <c r="W265" s="129"/>
      <c r="Z265" s="15" t="str">
        <f t="shared" si="96"/>
        <v>A</v>
      </c>
      <c r="AA265" s="8">
        <f t="shared" si="108"/>
        <v>0</v>
      </c>
      <c r="AB265" s="9">
        <f t="shared" si="111"/>
        <v>0</v>
      </c>
      <c r="AC265" s="8">
        <f t="shared" si="109"/>
        <v>0</v>
      </c>
      <c r="AD265" s="8">
        <f t="shared" si="110"/>
        <v>0</v>
      </c>
      <c r="AE265" s="8" t="str">
        <f t="shared" si="112"/>
        <v>--</v>
      </c>
      <c r="AF265" s="10">
        <f t="shared" si="113"/>
        <v>0</v>
      </c>
      <c r="AG265" s="8">
        <v>23</v>
      </c>
      <c r="AH265" s="9">
        <f t="shared" si="114"/>
        <v>0</v>
      </c>
      <c r="AI265" s="11">
        <f t="shared" si="115"/>
        <v>0</v>
      </c>
      <c r="AJ265" s="6"/>
      <c r="AK265" s="6"/>
      <c r="AL265" s="6"/>
      <c r="AN265" t="str">
        <f t="shared" si="97"/>
        <v>"23":{</v>
      </c>
      <c r="AO265" t="str">
        <f t="shared" si="98"/>
        <v>"group":"A",</v>
      </c>
      <c r="AP265" t="str">
        <f t="shared" si="116"/>
        <v>"lot":0,</v>
      </c>
      <c r="AQ265" t="str">
        <f t="shared" si="99"/>
        <v>"name":"0",</v>
      </c>
      <c r="AR265" t="str">
        <f t="shared" si="100"/>
        <v>"team":"0",</v>
      </c>
      <c r="AS265" t="str">
        <f t="shared" si="101"/>
        <v>"year":"0",</v>
      </c>
      <c r="AT265" t="str">
        <f t="shared" si="102"/>
        <v>"division":"--",</v>
      </c>
      <c r="AU265" t="str">
        <f t="shared" si="103"/>
        <v>"bw":"0",</v>
      </c>
      <c r="AV265" t="str">
        <f t="shared" si="104"/>
        <v>"idx":"23",</v>
      </c>
      <c r="AW265" t="str">
        <f t="shared" si="105"/>
        <v>"sr":"0",</v>
      </c>
      <c r="AX265" t="str">
        <f t="shared" si="106"/>
        <v>"br":"0",</v>
      </c>
      <c r="AY265" t="str">
        <f t="shared" si="107"/>
        <v>"row":0,</v>
      </c>
      <c r="AZ265" t="s">
        <v>67</v>
      </c>
      <c r="BA265" t="str">
        <f t="shared" si="117"/>
        <v>"sq":{"a1":0,"a2":"","a3":"","s1":0,"s2":0,"s3":0},"bp":{"a1":0,"a2":"","a3":"","s1":0,"s2":0,"s3":0},"dl":{"a1":0,"a2":"","a3":"","s1":0,"s2":0,"s3":0},"sortOrder":0,"act":{}}</v>
      </c>
      <c r="BB265" t="str">
        <f t="shared" si="118"/>
        <v>"23":{"group":"A","lot":0,"name":"0","team":"0","year":"0","division":"--","bw":"0","idx":"23","sr":"0","br":"0","row":0,"sq":{"a1":0,"a2":"","a3":"","s1":0,"s2":0,"s3":0},"bp":{"a1":0,"a2":"","a3":"","s1":0,"s2":0,"s3":0},"dl":{"a1":0,"a2":"","a3":"","s1":0,"s2":0,"s3":0},"sortOrder":0,"act":{}}</v>
      </c>
    </row>
    <row r="266" spans="5:54" x14ac:dyDescent="0.25">
      <c r="E266" s="163"/>
      <c r="F266" s="126"/>
      <c r="G266" s="126"/>
      <c r="H266" s="126"/>
      <c r="I266" s="126"/>
      <c r="J266" s="126"/>
      <c r="K266" s="126"/>
      <c r="L266" s="126"/>
      <c r="M266" s="126"/>
      <c r="N266" s="126"/>
      <c r="O266" s="126"/>
      <c r="P266" s="126"/>
      <c r="Q266" s="126"/>
      <c r="R266" s="126"/>
      <c r="S266" s="126"/>
      <c r="T266" s="127"/>
      <c r="U266" s="128"/>
      <c r="V266" s="128"/>
      <c r="W266" s="129"/>
      <c r="Z266" s="15" t="str">
        <f t="shared" si="96"/>
        <v>A</v>
      </c>
      <c r="AA266" s="8">
        <f t="shared" si="108"/>
        <v>0</v>
      </c>
      <c r="AB266" s="9">
        <f t="shared" si="111"/>
        <v>0</v>
      </c>
      <c r="AC266" s="8">
        <f t="shared" si="109"/>
        <v>0</v>
      </c>
      <c r="AD266" s="8">
        <f t="shared" si="110"/>
        <v>0</v>
      </c>
      <c r="AE266" s="8" t="str">
        <f t="shared" si="112"/>
        <v>--</v>
      </c>
      <c r="AF266" s="10">
        <f t="shared" si="113"/>
        <v>0</v>
      </c>
      <c r="AG266" s="8">
        <v>23</v>
      </c>
      <c r="AH266" s="9">
        <f t="shared" si="114"/>
        <v>0</v>
      </c>
      <c r="AI266" s="11">
        <f t="shared" si="115"/>
        <v>0</v>
      </c>
      <c r="AJ266" s="6"/>
      <c r="AK266" s="6"/>
      <c r="AL266" s="6"/>
      <c r="AN266" t="str">
        <f t="shared" si="97"/>
        <v>"23":{</v>
      </c>
      <c r="AO266" t="str">
        <f t="shared" si="98"/>
        <v>"group":"A",</v>
      </c>
      <c r="AP266" t="str">
        <f t="shared" si="116"/>
        <v>"lot":0,</v>
      </c>
      <c r="AQ266" t="str">
        <f t="shared" si="99"/>
        <v>"name":"0",</v>
      </c>
      <c r="AR266" t="str">
        <f t="shared" si="100"/>
        <v>"team":"0",</v>
      </c>
      <c r="AS266" t="str">
        <f t="shared" si="101"/>
        <v>"year":"0",</v>
      </c>
      <c r="AT266" t="str">
        <f t="shared" si="102"/>
        <v>"division":"--",</v>
      </c>
      <c r="AU266" t="str">
        <f t="shared" si="103"/>
        <v>"bw":"0",</v>
      </c>
      <c r="AV266" t="str">
        <f t="shared" si="104"/>
        <v>"idx":"23",</v>
      </c>
      <c r="AW266" t="str">
        <f t="shared" si="105"/>
        <v>"sr":"0",</v>
      </c>
      <c r="AX266" t="str">
        <f t="shared" si="106"/>
        <v>"br":"0",</v>
      </c>
      <c r="AY266" t="str">
        <f t="shared" si="107"/>
        <v>"row":0,</v>
      </c>
      <c r="AZ266" t="s">
        <v>67</v>
      </c>
      <c r="BA266" t="str">
        <f t="shared" si="117"/>
        <v>"sq":{"a1":0,"a2":"","a3":"","s1":0,"s2":0,"s3":0},"bp":{"a1":0,"a2":"","a3":"","s1":0,"s2":0,"s3":0},"dl":{"a1":0,"a2":"","a3":"","s1":0,"s2":0,"s3":0},"sortOrder":0,"act":{}}</v>
      </c>
      <c r="BB266" t="str">
        <f t="shared" si="118"/>
        <v>"23":{"group":"A","lot":0,"name":"0","team":"0","year":"0","division":"--","bw":"0","idx":"23","sr":"0","br":"0","row":0,"sq":{"a1":0,"a2":"","a3":"","s1":0,"s2":0,"s3":0},"bp":{"a1":0,"a2":"","a3":"","s1":0,"s2":0,"s3":0},"dl":{"a1":0,"a2":"","a3":"","s1":0,"s2":0,"s3":0},"sortOrder":0,"act":{}}</v>
      </c>
    </row>
    <row r="267" spans="5:54" x14ac:dyDescent="0.25">
      <c r="E267" s="163"/>
      <c r="F267" s="126"/>
      <c r="G267" s="126"/>
      <c r="H267" s="126"/>
      <c r="I267" s="126"/>
      <c r="J267" s="126"/>
      <c r="K267" s="126"/>
      <c r="L267" s="126"/>
      <c r="M267" s="126"/>
      <c r="N267" s="126"/>
      <c r="O267" s="126"/>
      <c r="P267" s="126"/>
      <c r="Q267" s="126"/>
      <c r="R267" s="126"/>
      <c r="S267" s="126"/>
      <c r="T267" s="127"/>
      <c r="U267" s="128"/>
      <c r="V267" s="128"/>
      <c r="W267" s="129"/>
      <c r="Z267" s="15" t="str">
        <f t="shared" si="96"/>
        <v>A</v>
      </c>
      <c r="AA267" s="8">
        <f t="shared" si="108"/>
        <v>0</v>
      </c>
      <c r="AB267" s="9">
        <f t="shared" si="111"/>
        <v>0</v>
      </c>
      <c r="AC267" s="8">
        <f t="shared" si="109"/>
        <v>0</v>
      </c>
      <c r="AD267" s="8">
        <f t="shared" si="110"/>
        <v>0</v>
      </c>
      <c r="AE267" s="8" t="str">
        <f t="shared" si="112"/>
        <v>--</v>
      </c>
      <c r="AF267" s="10">
        <f t="shared" si="113"/>
        <v>0</v>
      </c>
      <c r="AG267" s="8">
        <v>23</v>
      </c>
      <c r="AH267" s="9">
        <f t="shared" si="114"/>
        <v>0</v>
      </c>
      <c r="AI267" s="11">
        <f t="shared" si="115"/>
        <v>0</v>
      </c>
      <c r="AJ267" s="6"/>
      <c r="AK267" s="6"/>
      <c r="AL267" s="6"/>
      <c r="AN267" t="str">
        <f t="shared" si="97"/>
        <v>"23":{</v>
      </c>
      <c r="AO267" t="str">
        <f t="shared" si="98"/>
        <v>"group":"A",</v>
      </c>
      <c r="AP267" t="str">
        <f t="shared" si="116"/>
        <v>"lot":0,</v>
      </c>
      <c r="AQ267" t="str">
        <f t="shared" si="99"/>
        <v>"name":"0",</v>
      </c>
      <c r="AR267" t="str">
        <f t="shared" si="100"/>
        <v>"team":"0",</v>
      </c>
      <c r="AS267" t="str">
        <f t="shared" si="101"/>
        <v>"year":"0",</v>
      </c>
      <c r="AT267" t="str">
        <f t="shared" si="102"/>
        <v>"division":"--",</v>
      </c>
      <c r="AU267" t="str">
        <f t="shared" si="103"/>
        <v>"bw":"0",</v>
      </c>
      <c r="AV267" t="str">
        <f t="shared" si="104"/>
        <v>"idx":"23",</v>
      </c>
      <c r="AW267" t="str">
        <f t="shared" si="105"/>
        <v>"sr":"0",</v>
      </c>
      <c r="AX267" t="str">
        <f t="shared" si="106"/>
        <v>"br":"0",</v>
      </c>
      <c r="AY267" t="str">
        <f t="shared" si="107"/>
        <v>"row":0,</v>
      </c>
      <c r="AZ267" t="s">
        <v>67</v>
      </c>
      <c r="BA267" t="str">
        <f t="shared" si="117"/>
        <v>"sq":{"a1":0,"a2":"","a3":"","s1":0,"s2":0,"s3":0},"bp":{"a1":0,"a2":"","a3":"","s1":0,"s2":0,"s3":0},"dl":{"a1":0,"a2":"","a3":"","s1":0,"s2":0,"s3":0},"sortOrder":0,"act":{}}</v>
      </c>
      <c r="BB267" t="str">
        <f t="shared" si="118"/>
        <v>"23":{"group":"A","lot":0,"name":"0","team":"0","year":"0","division":"--","bw":"0","idx":"23","sr":"0","br":"0","row":0,"sq":{"a1":0,"a2":"","a3":"","s1":0,"s2":0,"s3":0},"bp":{"a1":0,"a2":"","a3":"","s1":0,"s2":0,"s3":0},"dl":{"a1":0,"a2":"","a3":"","s1":0,"s2":0,"s3":0},"sortOrder":0,"act":{}}</v>
      </c>
    </row>
    <row r="268" spans="5:54" x14ac:dyDescent="0.25">
      <c r="E268" s="163"/>
      <c r="F268" s="126"/>
      <c r="G268" s="126"/>
      <c r="H268" s="126"/>
      <c r="I268" s="126"/>
      <c r="J268" s="126"/>
      <c r="K268" s="126"/>
      <c r="L268" s="126"/>
      <c r="M268" s="126"/>
      <c r="N268" s="126"/>
      <c r="O268" s="126"/>
      <c r="P268" s="126"/>
      <c r="Q268" s="126"/>
      <c r="R268" s="126"/>
      <c r="S268" s="126"/>
      <c r="T268" s="127"/>
      <c r="U268" s="128"/>
      <c r="V268" s="128"/>
      <c r="W268" s="129"/>
      <c r="Z268" s="15" t="str">
        <f t="shared" si="96"/>
        <v>A</v>
      </c>
      <c r="AA268" s="8">
        <f t="shared" si="108"/>
        <v>0</v>
      </c>
      <c r="AB268" s="9">
        <f t="shared" si="111"/>
        <v>0</v>
      </c>
      <c r="AC268" s="8">
        <f t="shared" si="109"/>
        <v>0</v>
      </c>
      <c r="AD268" s="8">
        <f t="shared" si="110"/>
        <v>0</v>
      </c>
      <c r="AE268" s="8" t="str">
        <f t="shared" si="112"/>
        <v>--</v>
      </c>
      <c r="AF268" s="10">
        <f t="shared" si="113"/>
        <v>0</v>
      </c>
      <c r="AG268" s="8">
        <v>23</v>
      </c>
      <c r="AH268" s="9">
        <f t="shared" si="114"/>
        <v>0</v>
      </c>
      <c r="AI268" s="11">
        <f t="shared" si="115"/>
        <v>0</v>
      </c>
      <c r="AJ268" s="6"/>
      <c r="AK268" s="6"/>
      <c r="AL268" s="6"/>
      <c r="AN268" t="str">
        <f t="shared" si="97"/>
        <v>"23":{</v>
      </c>
      <c r="AO268" t="str">
        <f t="shared" si="98"/>
        <v>"group":"A",</v>
      </c>
      <c r="AP268" t="str">
        <f t="shared" si="116"/>
        <v>"lot":0,</v>
      </c>
      <c r="AQ268" t="str">
        <f t="shared" si="99"/>
        <v>"name":"0",</v>
      </c>
      <c r="AR268" t="str">
        <f t="shared" si="100"/>
        <v>"team":"0",</v>
      </c>
      <c r="AS268" t="str">
        <f t="shared" si="101"/>
        <v>"year":"0",</v>
      </c>
      <c r="AT268" t="str">
        <f t="shared" si="102"/>
        <v>"division":"--",</v>
      </c>
      <c r="AU268" t="str">
        <f t="shared" si="103"/>
        <v>"bw":"0",</v>
      </c>
      <c r="AV268" t="str">
        <f t="shared" si="104"/>
        <v>"idx":"23",</v>
      </c>
      <c r="AW268" t="str">
        <f t="shared" si="105"/>
        <v>"sr":"0",</v>
      </c>
      <c r="AX268" t="str">
        <f t="shared" si="106"/>
        <v>"br":"0",</v>
      </c>
      <c r="AY268" t="str">
        <f t="shared" si="107"/>
        <v>"row":0,</v>
      </c>
      <c r="AZ268" t="s">
        <v>67</v>
      </c>
      <c r="BA268" t="str">
        <f t="shared" si="117"/>
        <v>"sq":{"a1":0,"a2":"","a3":"","s1":0,"s2":0,"s3":0},"bp":{"a1":0,"a2":"","a3":"","s1":0,"s2":0,"s3":0},"dl":{"a1":0,"a2":"","a3":"","s1":0,"s2":0,"s3":0},"sortOrder":0,"act":{}}</v>
      </c>
      <c r="BB268" t="str">
        <f t="shared" si="118"/>
        <v>"23":{"group":"A","lot":0,"name":"0","team":"0","year":"0","division":"--","bw":"0","idx":"23","sr":"0","br":"0","row":0,"sq":{"a1":0,"a2":"","a3":"","s1":0,"s2":0,"s3":0},"bp":{"a1":0,"a2":"","a3":"","s1":0,"s2":0,"s3":0},"dl":{"a1":0,"a2":"","a3":"","s1":0,"s2":0,"s3":0},"sortOrder":0,"act":{}}</v>
      </c>
    </row>
    <row r="269" spans="5:54" x14ac:dyDescent="0.25">
      <c r="E269" s="163"/>
      <c r="F269" s="126"/>
      <c r="G269" s="126"/>
      <c r="H269" s="126"/>
      <c r="I269" s="126"/>
      <c r="J269" s="126"/>
      <c r="K269" s="126"/>
      <c r="L269" s="126"/>
      <c r="M269" s="126"/>
      <c r="N269" s="126"/>
      <c r="O269" s="126"/>
      <c r="P269" s="126"/>
      <c r="Q269" s="126"/>
      <c r="R269" s="126"/>
      <c r="S269" s="126"/>
      <c r="T269" s="127"/>
      <c r="U269" s="128"/>
      <c r="V269" s="128"/>
      <c r="W269" s="129"/>
      <c r="Z269" s="15" t="str">
        <f t="shared" si="96"/>
        <v>A</v>
      </c>
      <c r="AA269" s="8">
        <f t="shared" si="108"/>
        <v>0</v>
      </c>
      <c r="AB269" s="9">
        <f t="shared" si="111"/>
        <v>0</v>
      </c>
      <c r="AC269" s="8">
        <f t="shared" si="109"/>
        <v>0</v>
      </c>
      <c r="AD269" s="8">
        <f t="shared" si="110"/>
        <v>0</v>
      </c>
      <c r="AE269" s="8" t="str">
        <f t="shared" si="112"/>
        <v>--</v>
      </c>
      <c r="AF269" s="10">
        <f t="shared" si="113"/>
        <v>0</v>
      </c>
      <c r="AG269" s="8">
        <v>23</v>
      </c>
      <c r="AH269" s="9">
        <f t="shared" si="114"/>
        <v>0</v>
      </c>
      <c r="AI269" s="11">
        <f t="shared" si="115"/>
        <v>0</v>
      </c>
      <c r="AJ269" s="6"/>
      <c r="AK269" s="6"/>
      <c r="AL269" s="6"/>
      <c r="AN269" t="str">
        <f t="shared" si="97"/>
        <v>"23":{</v>
      </c>
      <c r="AO269" t="str">
        <f t="shared" si="98"/>
        <v>"group":"A",</v>
      </c>
      <c r="AP269" t="str">
        <f t="shared" si="116"/>
        <v>"lot":0,</v>
      </c>
      <c r="AQ269" t="str">
        <f t="shared" si="99"/>
        <v>"name":"0",</v>
      </c>
      <c r="AR269" t="str">
        <f t="shared" si="100"/>
        <v>"team":"0",</v>
      </c>
      <c r="AS269" t="str">
        <f t="shared" si="101"/>
        <v>"year":"0",</v>
      </c>
      <c r="AT269" t="str">
        <f t="shared" si="102"/>
        <v>"division":"--",</v>
      </c>
      <c r="AU269" t="str">
        <f t="shared" si="103"/>
        <v>"bw":"0",</v>
      </c>
      <c r="AV269" t="str">
        <f t="shared" si="104"/>
        <v>"idx":"23",</v>
      </c>
      <c r="AW269" t="str">
        <f t="shared" si="105"/>
        <v>"sr":"0",</v>
      </c>
      <c r="AX269" t="str">
        <f t="shared" si="106"/>
        <v>"br":"0",</v>
      </c>
      <c r="AY269" t="str">
        <f t="shared" si="107"/>
        <v>"row":0,</v>
      </c>
      <c r="AZ269" t="s">
        <v>67</v>
      </c>
      <c r="BA269" t="str">
        <f t="shared" si="117"/>
        <v>"sq":{"a1":0,"a2":"","a3":"","s1":0,"s2":0,"s3":0},"bp":{"a1":0,"a2":"","a3":"","s1":0,"s2":0,"s3":0},"dl":{"a1":0,"a2":"","a3":"","s1":0,"s2":0,"s3":0},"sortOrder":0,"act":{}}</v>
      </c>
      <c r="BB269" t="str">
        <f t="shared" si="118"/>
        <v>"23":{"group":"A","lot":0,"name":"0","team":"0","year":"0","division":"--","bw":"0","idx":"23","sr":"0","br":"0","row":0,"sq":{"a1":0,"a2":"","a3":"","s1":0,"s2":0,"s3":0},"bp":{"a1":0,"a2":"","a3":"","s1":0,"s2":0,"s3":0},"dl":{"a1":0,"a2":"","a3":"","s1":0,"s2":0,"s3":0},"sortOrder":0,"act":{}}</v>
      </c>
    </row>
    <row r="270" spans="5:54" x14ac:dyDescent="0.25">
      <c r="E270" s="163"/>
      <c r="F270" s="126"/>
      <c r="G270" s="126"/>
      <c r="H270" s="126"/>
      <c r="I270" s="126"/>
      <c r="J270" s="126"/>
      <c r="K270" s="126"/>
      <c r="L270" s="126"/>
      <c r="M270" s="126"/>
      <c r="N270" s="126"/>
      <c r="O270" s="126"/>
      <c r="P270" s="126"/>
      <c r="Q270" s="126"/>
      <c r="R270" s="126"/>
      <c r="S270" s="126"/>
      <c r="T270" s="127"/>
      <c r="U270" s="128"/>
      <c r="V270" s="128"/>
      <c r="W270" s="129"/>
      <c r="Z270" s="15" t="str">
        <f t="shared" si="96"/>
        <v>A</v>
      </c>
      <c r="AA270" s="8">
        <f t="shared" si="108"/>
        <v>0</v>
      </c>
      <c r="AB270" s="9">
        <f t="shared" si="111"/>
        <v>0</v>
      </c>
      <c r="AC270" s="8">
        <f t="shared" si="109"/>
        <v>0</v>
      </c>
      <c r="AD270" s="8">
        <f t="shared" si="110"/>
        <v>0</v>
      </c>
      <c r="AE270" s="8" t="str">
        <f t="shared" si="112"/>
        <v>--</v>
      </c>
      <c r="AF270" s="10">
        <f t="shared" si="113"/>
        <v>0</v>
      </c>
      <c r="AG270" s="8">
        <v>23</v>
      </c>
      <c r="AH270" s="9">
        <f t="shared" si="114"/>
        <v>0</v>
      </c>
      <c r="AI270" s="11">
        <f t="shared" si="115"/>
        <v>0</v>
      </c>
      <c r="AJ270" s="6"/>
      <c r="AK270" s="6"/>
      <c r="AL270" s="6"/>
      <c r="AN270" t="str">
        <f t="shared" si="97"/>
        <v>"23":{</v>
      </c>
      <c r="AO270" t="str">
        <f t="shared" si="98"/>
        <v>"group":"A",</v>
      </c>
      <c r="AP270" t="str">
        <f t="shared" si="116"/>
        <v>"lot":0,</v>
      </c>
      <c r="AQ270" t="str">
        <f t="shared" si="99"/>
        <v>"name":"0",</v>
      </c>
      <c r="AR270" t="str">
        <f t="shared" si="100"/>
        <v>"team":"0",</v>
      </c>
      <c r="AS270" t="str">
        <f t="shared" si="101"/>
        <v>"year":"0",</v>
      </c>
      <c r="AT270" t="str">
        <f t="shared" si="102"/>
        <v>"division":"--",</v>
      </c>
      <c r="AU270" t="str">
        <f t="shared" si="103"/>
        <v>"bw":"0",</v>
      </c>
      <c r="AV270" t="str">
        <f t="shared" si="104"/>
        <v>"idx":"23",</v>
      </c>
      <c r="AW270" t="str">
        <f t="shared" si="105"/>
        <v>"sr":"0",</v>
      </c>
      <c r="AX270" t="str">
        <f t="shared" si="106"/>
        <v>"br":"0",</v>
      </c>
      <c r="AY270" t="str">
        <f t="shared" si="107"/>
        <v>"row":0,</v>
      </c>
      <c r="AZ270" t="s">
        <v>67</v>
      </c>
      <c r="BA270" t="str">
        <f t="shared" si="117"/>
        <v>"sq":{"a1":0,"a2":"","a3":"","s1":0,"s2":0,"s3":0},"bp":{"a1":0,"a2":"","a3":"","s1":0,"s2":0,"s3":0},"dl":{"a1":0,"a2":"","a3":"","s1":0,"s2":0,"s3":0},"sortOrder":0,"act":{}}</v>
      </c>
      <c r="BB270" t="str">
        <f t="shared" si="118"/>
        <v>"23":{"group":"A","lot":0,"name":"0","team":"0","year":"0","division":"--","bw":"0","idx":"23","sr":"0","br":"0","row":0,"sq":{"a1":0,"a2":"","a3":"","s1":0,"s2":0,"s3":0},"bp":{"a1":0,"a2":"","a3":"","s1":0,"s2":0,"s3":0},"dl":{"a1":0,"a2":"","a3":"","s1":0,"s2":0,"s3":0},"sortOrder":0,"act":{}}</v>
      </c>
    </row>
    <row r="271" spans="5:54" x14ac:dyDescent="0.25">
      <c r="E271" s="163"/>
      <c r="F271" s="126"/>
      <c r="G271" s="126"/>
      <c r="H271" s="126"/>
      <c r="I271" s="126"/>
      <c r="J271" s="126"/>
      <c r="K271" s="126"/>
      <c r="L271" s="126"/>
      <c r="M271" s="126"/>
      <c r="N271" s="126"/>
      <c r="O271" s="126"/>
      <c r="P271" s="126"/>
      <c r="Q271" s="126"/>
      <c r="R271" s="126"/>
      <c r="S271" s="126"/>
      <c r="T271" s="127"/>
      <c r="U271" s="128"/>
      <c r="V271" s="128"/>
      <c r="W271" s="129"/>
      <c r="Z271" s="15" t="str">
        <f t="shared" si="96"/>
        <v>A</v>
      </c>
      <c r="AA271" s="8">
        <f t="shared" si="108"/>
        <v>0</v>
      </c>
      <c r="AB271" s="9">
        <f t="shared" si="111"/>
        <v>0</v>
      </c>
      <c r="AC271" s="8">
        <f t="shared" si="109"/>
        <v>0</v>
      </c>
      <c r="AD271" s="8">
        <f t="shared" si="110"/>
        <v>0</v>
      </c>
      <c r="AE271" s="8" t="str">
        <f t="shared" si="112"/>
        <v>--</v>
      </c>
      <c r="AF271" s="10">
        <f t="shared" si="113"/>
        <v>0</v>
      </c>
      <c r="AG271" s="8">
        <v>23</v>
      </c>
      <c r="AH271" s="9">
        <f t="shared" si="114"/>
        <v>0</v>
      </c>
      <c r="AI271" s="11">
        <f t="shared" si="115"/>
        <v>0</v>
      </c>
      <c r="AJ271" s="6"/>
      <c r="AK271" s="6"/>
      <c r="AL271" s="6"/>
      <c r="AN271" t="str">
        <f t="shared" si="97"/>
        <v>"23":{</v>
      </c>
      <c r="AO271" t="str">
        <f t="shared" si="98"/>
        <v>"group":"A",</v>
      </c>
      <c r="AP271" t="str">
        <f t="shared" si="116"/>
        <v>"lot":0,</v>
      </c>
      <c r="AQ271" t="str">
        <f t="shared" si="99"/>
        <v>"name":"0",</v>
      </c>
      <c r="AR271" t="str">
        <f t="shared" si="100"/>
        <v>"team":"0",</v>
      </c>
      <c r="AS271" t="str">
        <f t="shared" si="101"/>
        <v>"year":"0",</v>
      </c>
      <c r="AT271" t="str">
        <f t="shared" si="102"/>
        <v>"division":"--",</v>
      </c>
      <c r="AU271" t="str">
        <f t="shared" si="103"/>
        <v>"bw":"0",</v>
      </c>
      <c r="AV271" t="str">
        <f t="shared" si="104"/>
        <v>"idx":"23",</v>
      </c>
      <c r="AW271" t="str">
        <f t="shared" si="105"/>
        <v>"sr":"0",</v>
      </c>
      <c r="AX271" t="str">
        <f t="shared" si="106"/>
        <v>"br":"0",</v>
      </c>
      <c r="AY271" t="str">
        <f t="shared" si="107"/>
        <v>"row":0,</v>
      </c>
      <c r="AZ271" t="s">
        <v>67</v>
      </c>
      <c r="BA271" t="str">
        <f t="shared" si="117"/>
        <v>"sq":{"a1":0,"a2":"","a3":"","s1":0,"s2":0,"s3":0},"bp":{"a1":0,"a2":"","a3":"","s1":0,"s2":0,"s3":0},"dl":{"a1":0,"a2":"","a3":"","s1":0,"s2":0,"s3":0},"sortOrder":0,"act":{}}</v>
      </c>
      <c r="BB271" t="str">
        <f t="shared" si="118"/>
        <v>"23":{"group":"A","lot":0,"name":"0","team":"0","year":"0","division":"--","bw":"0","idx":"23","sr":"0","br":"0","row":0,"sq":{"a1":0,"a2":"","a3":"","s1":0,"s2":0,"s3":0},"bp":{"a1":0,"a2":"","a3":"","s1":0,"s2":0,"s3":0},"dl":{"a1":0,"a2":"","a3":"","s1":0,"s2":0,"s3":0},"sortOrder":0,"act":{}}</v>
      </c>
    </row>
    <row r="272" spans="5:54" x14ac:dyDescent="0.25">
      <c r="E272" s="163"/>
      <c r="F272" s="126"/>
      <c r="G272" s="126"/>
      <c r="H272" s="126"/>
      <c r="I272" s="126"/>
      <c r="J272" s="126"/>
      <c r="K272" s="126"/>
      <c r="L272" s="126"/>
      <c r="M272" s="126"/>
      <c r="N272" s="126"/>
      <c r="O272" s="126"/>
      <c r="P272" s="126"/>
      <c r="Q272" s="126"/>
      <c r="R272" s="126"/>
      <c r="S272" s="126"/>
      <c r="T272" s="127"/>
      <c r="U272" s="128"/>
      <c r="V272" s="128"/>
      <c r="W272" s="129"/>
      <c r="Z272" s="15" t="str">
        <f t="shared" si="96"/>
        <v>A</v>
      </c>
      <c r="AA272" s="8">
        <f t="shared" si="108"/>
        <v>0</v>
      </c>
      <c r="AB272" s="9">
        <f t="shared" si="111"/>
        <v>0</v>
      </c>
      <c r="AC272" s="8">
        <f t="shared" si="109"/>
        <v>0</v>
      </c>
      <c r="AD272" s="8">
        <f t="shared" si="110"/>
        <v>0</v>
      </c>
      <c r="AE272" s="8" t="str">
        <f t="shared" si="112"/>
        <v>--</v>
      </c>
      <c r="AF272" s="10">
        <f t="shared" si="113"/>
        <v>0</v>
      </c>
      <c r="AG272" s="8">
        <v>23</v>
      </c>
      <c r="AH272" s="9">
        <f t="shared" si="114"/>
        <v>0</v>
      </c>
      <c r="AI272" s="11">
        <f t="shared" si="115"/>
        <v>0</v>
      </c>
      <c r="AJ272" s="6"/>
      <c r="AK272" s="6"/>
      <c r="AL272" s="6"/>
      <c r="AN272" t="str">
        <f t="shared" si="97"/>
        <v>"23":{</v>
      </c>
      <c r="AO272" t="str">
        <f t="shared" si="98"/>
        <v>"group":"A",</v>
      </c>
      <c r="AP272" t="str">
        <f t="shared" si="116"/>
        <v>"lot":0,</v>
      </c>
      <c r="AQ272" t="str">
        <f t="shared" si="99"/>
        <v>"name":"0",</v>
      </c>
      <c r="AR272" t="str">
        <f t="shared" si="100"/>
        <v>"team":"0",</v>
      </c>
      <c r="AS272" t="str">
        <f t="shared" si="101"/>
        <v>"year":"0",</v>
      </c>
      <c r="AT272" t="str">
        <f t="shared" si="102"/>
        <v>"division":"--",</v>
      </c>
      <c r="AU272" t="str">
        <f t="shared" si="103"/>
        <v>"bw":"0",</v>
      </c>
      <c r="AV272" t="str">
        <f t="shared" si="104"/>
        <v>"idx":"23",</v>
      </c>
      <c r="AW272" t="str">
        <f t="shared" si="105"/>
        <v>"sr":"0",</v>
      </c>
      <c r="AX272" t="str">
        <f t="shared" si="106"/>
        <v>"br":"0",</v>
      </c>
      <c r="AY272" t="str">
        <f t="shared" si="107"/>
        <v>"row":0,</v>
      </c>
      <c r="AZ272" t="s">
        <v>67</v>
      </c>
      <c r="BA272" t="str">
        <f t="shared" si="117"/>
        <v>"sq":{"a1":0,"a2":"","a3":"","s1":0,"s2":0,"s3":0},"bp":{"a1":0,"a2":"","a3":"","s1":0,"s2":0,"s3":0},"dl":{"a1":0,"a2":"","a3":"","s1":0,"s2":0,"s3":0},"sortOrder":0,"act":{}}</v>
      </c>
      <c r="BB272" t="str">
        <f t="shared" si="118"/>
        <v>"23":{"group":"A","lot":0,"name":"0","team":"0","year":"0","division":"--","bw":"0","idx":"23","sr":"0","br":"0","row":0,"sq":{"a1":0,"a2":"","a3":"","s1":0,"s2":0,"s3":0},"bp":{"a1":0,"a2":"","a3":"","s1":0,"s2":0,"s3":0},"dl":{"a1":0,"a2":"","a3":"","s1":0,"s2":0,"s3":0},"sortOrder":0,"act":{}}</v>
      </c>
    </row>
    <row r="273" spans="5:54" x14ac:dyDescent="0.25">
      <c r="E273" s="163"/>
      <c r="F273" s="126"/>
      <c r="G273" s="126"/>
      <c r="H273" s="126"/>
      <c r="I273" s="126"/>
      <c r="J273" s="126"/>
      <c r="K273" s="126"/>
      <c r="L273" s="126"/>
      <c r="M273" s="126"/>
      <c r="N273" s="126"/>
      <c r="O273" s="126"/>
      <c r="P273" s="126"/>
      <c r="Q273" s="126"/>
      <c r="R273" s="126"/>
      <c r="S273" s="126"/>
      <c r="T273" s="127"/>
      <c r="U273" s="128"/>
      <c r="V273" s="128"/>
      <c r="W273" s="129"/>
      <c r="Z273" s="15" t="str">
        <f t="shared" si="96"/>
        <v>A</v>
      </c>
      <c r="AA273" s="8">
        <f t="shared" si="108"/>
        <v>0</v>
      </c>
      <c r="AB273" s="9">
        <f t="shared" si="111"/>
        <v>0</v>
      </c>
      <c r="AC273" s="8">
        <f t="shared" si="109"/>
        <v>0</v>
      </c>
      <c r="AD273" s="8">
        <f t="shared" si="110"/>
        <v>0</v>
      </c>
      <c r="AE273" s="8" t="str">
        <f t="shared" si="112"/>
        <v>--</v>
      </c>
      <c r="AF273" s="10">
        <f t="shared" si="113"/>
        <v>0</v>
      </c>
      <c r="AG273" s="8">
        <v>23</v>
      </c>
      <c r="AH273" s="9">
        <f t="shared" si="114"/>
        <v>0</v>
      </c>
      <c r="AI273" s="11">
        <f t="shared" si="115"/>
        <v>0</v>
      </c>
      <c r="AJ273" s="6"/>
      <c r="AK273" s="6"/>
      <c r="AL273" s="6"/>
      <c r="AN273" t="str">
        <f t="shared" si="97"/>
        <v>"23":{</v>
      </c>
      <c r="AO273" t="str">
        <f t="shared" si="98"/>
        <v>"group":"A",</v>
      </c>
      <c r="AP273" t="str">
        <f t="shared" si="116"/>
        <v>"lot":0,</v>
      </c>
      <c r="AQ273" t="str">
        <f t="shared" si="99"/>
        <v>"name":"0",</v>
      </c>
      <c r="AR273" t="str">
        <f t="shared" si="100"/>
        <v>"team":"0",</v>
      </c>
      <c r="AS273" t="str">
        <f t="shared" si="101"/>
        <v>"year":"0",</v>
      </c>
      <c r="AT273" t="str">
        <f t="shared" si="102"/>
        <v>"division":"--",</v>
      </c>
      <c r="AU273" t="str">
        <f t="shared" si="103"/>
        <v>"bw":"0",</v>
      </c>
      <c r="AV273" t="str">
        <f t="shared" si="104"/>
        <v>"idx":"23",</v>
      </c>
      <c r="AW273" t="str">
        <f t="shared" si="105"/>
        <v>"sr":"0",</v>
      </c>
      <c r="AX273" t="str">
        <f t="shared" si="106"/>
        <v>"br":"0",</v>
      </c>
      <c r="AY273" t="str">
        <f t="shared" si="107"/>
        <v>"row":0,</v>
      </c>
      <c r="AZ273" t="s">
        <v>67</v>
      </c>
      <c r="BA273" t="str">
        <f t="shared" si="117"/>
        <v>"sq":{"a1":0,"a2":"","a3":"","s1":0,"s2":0,"s3":0},"bp":{"a1":0,"a2":"","a3":"","s1":0,"s2":0,"s3":0},"dl":{"a1":0,"a2":"","a3":"","s1":0,"s2":0,"s3":0},"sortOrder":0,"act":{}}</v>
      </c>
      <c r="BB273" t="str">
        <f t="shared" si="118"/>
        <v>"23":{"group":"A","lot":0,"name":"0","team":"0","year":"0","division":"--","bw":"0","idx":"23","sr":"0","br":"0","row":0,"sq":{"a1":0,"a2":"","a3":"","s1":0,"s2":0,"s3":0},"bp":{"a1":0,"a2":"","a3":"","s1":0,"s2":0,"s3":0},"dl":{"a1":0,"a2":"","a3":"","s1":0,"s2":0,"s3":0},"sortOrder":0,"act":{}}</v>
      </c>
    </row>
    <row r="274" spans="5:54" x14ac:dyDescent="0.25">
      <c r="E274" s="163"/>
      <c r="F274" s="126"/>
      <c r="G274" s="126"/>
      <c r="H274" s="126"/>
      <c r="I274" s="126"/>
      <c r="J274" s="126"/>
      <c r="K274" s="126"/>
      <c r="L274" s="126"/>
      <c r="M274" s="126"/>
      <c r="N274" s="126"/>
      <c r="O274" s="126"/>
      <c r="P274" s="126"/>
      <c r="Q274" s="126"/>
      <c r="R274" s="126"/>
      <c r="S274" s="126"/>
      <c r="T274" s="127"/>
      <c r="U274" s="128"/>
      <c r="V274" s="128"/>
      <c r="W274" s="129"/>
      <c r="Z274" s="15" t="str">
        <f t="shared" si="96"/>
        <v>A</v>
      </c>
      <c r="AA274" s="8">
        <f t="shared" si="108"/>
        <v>0</v>
      </c>
      <c r="AB274" s="9">
        <f t="shared" si="111"/>
        <v>0</v>
      </c>
      <c r="AC274" s="8">
        <f t="shared" si="109"/>
        <v>0</v>
      </c>
      <c r="AD274" s="8">
        <f t="shared" si="110"/>
        <v>0</v>
      </c>
      <c r="AE274" s="8" t="str">
        <f t="shared" si="112"/>
        <v>--</v>
      </c>
      <c r="AF274" s="10">
        <f t="shared" si="113"/>
        <v>0</v>
      </c>
      <c r="AG274" s="8">
        <v>23</v>
      </c>
      <c r="AH274" s="9">
        <f t="shared" si="114"/>
        <v>0</v>
      </c>
      <c r="AI274" s="11">
        <f t="shared" si="115"/>
        <v>0</v>
      </c>
      <c r="AJ274" s="6"/>
      <c r="AK274" s="6"/>
      <c r="AL274" s="6"/>
      <c r="AN274" t="str">
        <f t="shared" si="97"/>
        <v>"23":{</v>
      </c>
      <c r="AO274" t="str">
        <f t="shared" si="98"/>
        <v>"group":"A",</v>
      </c>
      <c r="AP274" t="str">
        <f t="shared" si="116"/>
        <v>"lot":0,</v>
      </c>
      <c r="AQ274" t="str">
        <f t="shared" si="99"/>
        <v>"name":"0",</v>
      </c>
      <c r="AR274" t="str">
        <f t="shared" si="100"/>
        <v>"team":"0",</v>
      </c>
      <c r="AS274" t="str">
        <f t="shared" si="101"/>
        <v>"year":"0",</v>
      </c>
      <c r="AT274" t="str">
        <f t="shared" si="102"/>
        <v>"division":"--",</v>
      </c>
      <c r="AU274" t="str">
        <f t="shared" si="103"/>
        <v>"bw":"0",</v>
      </c>
      <c r="AV274" t="str">
        <f t="shared" si="104"/>
        <v>"idx":"23",</v>
      </c>
      <c r="AW274" t="str">
        <f t="shared" si="105"/>
        <v>"sr":"0",</v>
      </c>
      <c r="AX274" t="str">
        <f t="shared" si="106"/>
        <v>"br":"0",</v>
      </c>
      <c r="AY274" t="str">
        <f t="shared" si="107"/>
        <v>"row":0,</v>
      </c>
      <c r="AZ274" t="s">
        <v>67</v>
      </c>
      <c r="BA274" t="str">
        <f t="shared" si="117"/>
        <v>"sq":{"a1":0,"a2":"","a3":"","s1":0,"s2":0,"s3":0},"bp":{"a1":0,"a2":"","a3":"","s1":0,"s2":0,"s3":0},"dl":{"a1":0,"a2":"","a3":"","s1":0,"s2":0,"s3":0},"sortOrder":0,"act":{}}</v>
      </c>
      <c r="BB274" t="str">
        <f t="shared" si="118"/>
        <v>"23":{"group":"A","lot":0,"name":"0","team":"0","year":"0","division":"--","bw":"0","idx":"23","sr":"0","br":"0","row":0,"sq":{"a1":0,"a2":"","a3":"","s1":0,"s2":0,"s3":0},"bp":{"a1":0,"a2":"","a3":"","s1":0,"s2":0,"s3":0},"dl":{"a1":0,"a2":"","a3":"","s1":0,"s2":0,"s3":0},"sortOrder":0,"act":{}}</v>
      </c>
    </row>
    <row r="275" spans="5:54" x14ac:dyDescent="0.25">
      <c r="E275" s="163"/>
      <c r="F275" s="126"/>
      <c r="G275" s="126"/>
      <c r="H275" s="126"/>
      <c r="I275" s="126"/>
      <c r="J275" s="126"/>
      <c r="K275" s="126"/>
      <c r="L275" s="126"/>
      <c r="M275" s="126"/>
      <c r="N275" s="126"/>
      <c r="O275" s="126"/>
      <c r="P275" s="126"/>
      <c r="Q275" s="126"/>
      <c r="R275" s="126"/>
      <c r="S275" s="126"/>
      <c r="T275" s="127"/>
      <c r="U275" s="128"/>
      <c r="V275" s="128"/>
      <c r="W275" s="129"/>
      <c r="Z275" s="15" t="str">
        <f t="shared" si="96"/>
        <v>A</v>
      </c>
      <c r="AA275" s="8">
        <f t="shared" si="108"/>
        <v>0</v>
      </c>
      <c r="AB275" s="9">
        <f t="shared" si="111"/>
        <v>0</v>
      </c>
      <c r="AC275" s="8">
        <f t="shared" si="109"/>
        <v>0</v>
      </c>
      <c r="AD275" s="8">
        <f t="shared" si="110"/>
        <v>0</v>
      </c>
      <c r="AE275" s="8" t="str">
        <f t="shared" si="112"/>
        <v>--</v>
      </c>
      <c r="AF275" s="10">
        <f t="shared" si="113"/>
        <v>0</v>
      </c>
      <c r="AG275" s="8">
        <v>23</v>
      </c>
      <c r="AH275" s="9">
        <f t="shared" si="114"/>
        <v>0</v>
      </c>
      <c r="AI275" s="11">
        <f t="shared" si="115"/>
        <v>0</v>
      </c>
      <c r="AJ275" s="6"/>
      <c r="AK275" s="6"/>
      <c r="AL275" s="6"/>
      <c r="AN275" t="str">
        <f t="shared" si="97"/>
        <v>"23":{</v>
      </c>
      <c r="AO275" t="str">
        <f t="shared" si="98"/>
        <v>"group":"A",</v>
      </c>
      <c r="AP275" t="str">
        <f t="shared" si="116"/>
        <v>"lot":0,</v>
      </c>
      <c r="AQ275" t="str">
        <f t="shared" si="99"/>
        <v>"name":"0",</v>
      </c>
      <c r="AR275" t="str">
        <f t="shared" si="100"/>
        <v>"team":"0",</v>
      </c>
      <c r="AS275" t="str">
        <f t="shared" si="101"/>
        <v>"year":"0",</v>
      </c>
      <c r="AT275" t="str">
        <f t="shared" si="102"/>
        <v>"division":"--",</v>
      </c>
      <c r="AU275" t="str">
        <f t="shared" si="103"/>
        <v>"bw":"0",</v>
      </c>
      <c r="AV275" t="str">
        <f t="shared" si="104"/>
        <v>"idx":"23",</v>
      </c>
      <c r="AW275" t="str">
        <f t="shared" si="105"/>
        <v>"sr":"0",</v>
      </c>
      <c r="AX275" t="str">
        <f t="shared" si="106"/>
        <v>"br":"0",</v>
      </c>
      <c r="AY275" t="str">
        <f t="shared" si="107"/>
        <v>"row":0,</v>
      </c>
      <c r="AZ275" t="s">
        <v>67</v>
      </c>
      <c r="BA275" t="str">
        <f t="shared" si="117"/>
        <v>"sq":{"a1":0,"a2":"","a3":"","s1":0,"s2":0,"s3":0},"bp":{"a1":0,"a2":"","a3":"","s1":0,"s2":0,"s3":0},"dl":{"a1":0,"a2":"","a3":"","s1":0,"s2":0,"s3":0},"sortOrder":0,"act":{}}</v>
      </c>
      <c r="BB275" t="str">
        <f t="shared" si="118"/>
        <v>"23":{"group":"A","lot":0,"name":"0","team":"0","year":"0","division":"--","bw":"0","idx":"23","sr":"0","br":"0","row":0,"sq":{"a1":0,"a2":"","a3":"","s1":0,"s2":0,"s3":0},"bp":{"a1":0,"a2":"","a3":"","s1":0,"s2":0,"s3":0},"dl":{"a1":0,"a2":"","a3":"","s1":0,"s2":0,"s3":0},"sortOrder":0,"act":{}}</v>
      </c>
    </row>
    <row r="276" spans="5:54" x14ac:dyDescent="0.25">
      <c r="E276" s="163"/>
      <c r="F276" s="126"/>
      <c r="G276" s="126"/>
      <c r="H276" s="126"/>
      <c r="I276" s="126"/>
      <c r="J276" s="126"/>
      <c r="K276" s="126"/>
      <c r="L276" s="126"/>
      <c r="M276" s="126"/>
      <c r="N276" s="126"/>
      <c r="O276" s="126"/>
      <c r="P276" s="126"/>
      <c r="Q276" s="126"/>
      <c r="R276" s="126"/>
      <c r="S276" s="126"/>
      <c r="T276" s="127"/>
      <c r="U276" s="128"/>
      <c r="V276" s="128"/>
      <c r="W276" s="129"/>
      <c r="Z276" s="15" t="str">
        <f t="shared" si="96"/>
        <v>A</v>
      </c>
      <c r="AA276" s="8">
        <f t="shared" si="108"/>
        <v>0</v>
      </c>
      <c r="AB276" s="9">
        <f t="shared" si="111"/>
        <v>0</v>
      </c>
      <c r="AC276" s="8">
        <f t="shared" si="109"/>
        <v>0</v>
      </c>
      <c r="AD276" s="8">
        <f t="shared" si="110"/>
        <v>0</v>
      </c>
      <c r="AE276" s="8" t="str">
        <f t="shared" si="112"/>
        <v>--</v>
      </c>
      <c r="AF276" s="10">
        <f t="shared" si="113"/>
        <v>0</v>
      </c>
      <c r="AG276" s="8">
        <v>23</v>
      </c>
      <c r="AH276" s="9">
        <f t="shared" si="114"/>
        <v>0</v>
      </c>
      <c r="AI276" s="11">
        <f t="shared" si="115"/>
        <v>0</v>
      </c>
      <c r="AJ276" s="6"/>
      <c r="AK276" s="6"/>
      <c r="AL276" s="6"/>
      <c r="AN276" t="str">
        <f t="shared" si="97"/>
        <v>"23":{</v>
      </c>
      <c r="AO276" t="str">
        <f t="shared" si="98"/>
        <v>"group":"A",</v>
      </c>
      <c r="AP276" t="str">
        <f t="shared" si="116"/>
        <v>"lot":0,</v>
      </c>
      <c r="AQ276" t="str">
        <f t="shared" si="99"/>
        <v>"name":"0",</v>
      </c>
      <c r="AR276" t="str">
        <f t="shared" si="100"/>
        <v>"team":"0",</v>
      </c>
      <c r="AS276" t="str">
        <f t="shared" si="101"/>
        <v>"year":"0",</v>
      </c>
      <c r="AT276" t="str">
        <f t="shared" si="102"/>
        <v>"division":"--",</v>
      </c>
      <c r="AU276" t="str">
        <f t="shared" si="103"/>
        <v>"bw":"0",</v>
      </c>
      <c r="AV276" t="str">
        <f t="shared" si="104"/>
        <v>"idx":"23",</v>
      </c>
      <c r="AW276" t="str">
        <f t="shared" si="105"/>
        <v>"sr":"0",</v>
      </c>
      <c r="AX276" t="str">
        <f t="shared" si="106"/>
        <v>"br":"0",</v>
      </c>
      <c r="AY276" t="str">
        <f t="shared" si="107"/>
        <v>"row":0,</v>
      </c>
      <c r="AZ276" t="s">
        <v>67</v>
      </c>
      <c r="BA276" t="str">
        <f t="shared" si="117"/>
        <v>"sq":{"a1":0,"a2":"","a3":"","s1":0,"s2":0,"s3":0},"bp":{"a1":0,"a2":"","a3":"","s1":0,"s2":0,"s3":0},"dl":{"a1":0,"a2":"","a3":"","s1":0,"s2":0,"s3":0},"sortOrder":0,"act":{}}</v>
      </c>
      <c r="BB276" t="str">
        <f t="shared" si="118"/>
        <v>"23":{"group":"A","lot":0,"name":"0","team":"0","year":"0","division":"--","bw":"0","idx":"23","sr":"0","br":"0","row":0,"sq":{"a1":0,"a2":"","a3":"","s1":0,"s2":0,"s3":0},"bp":{"a1":0,"a2":"","a3":"","s1":0,"s2":0,"s3":0},"dl":{"a1":0,"a2":"","a3":"","s1":0,"s2":0,"s3":0},"sortOrder":0,"act":{}}</v>
      </c>
    </row>
    <row r="277" spans="5:54" x14ac:dyDescent="0.25">
      <c r="E277" s="163"/>
      <c r="F277" s="126"/>
      <c r="G277" s="126"/>
      <c r="H277" s="126"/>
      <c r="I277" s="126"/>
      <c r="J277" s="126"/>
      <c r="K277" s="126"/>
      <c r="L277" s="126"/>
      <c r="M277" s="126"/>
      <c r="N277" s="126"/>
      <c r="O277" s="126"/>
      <c r="P277" s="126"/>
      <c r="Q277" s="126"/>
      <c r="R277" s="126"/>
      <c r="S277" s="126"/>
      <c r="T277" s="127"/>
      <c r="U277" s="128"/>
      <c r="V277" s="128"/>
      <c r="W277" s="129"/>
      <c r="Z277" s="15" t="str">
        <f t="shared" si="96"/>
        <v>A</v>
      </c>
      <c r="AA277" s="8">
        <f t="shared" si="108"/>
        <v>0</v>
      </c>
      <c r="AB277" s="9">
        <f t="shared" si="111"/>
        <v>0</v>
      </c>
      <c r="AC277" s="8">
        <f t="shared" si="109"/>
        <v>0</v>
      </c>
      <c r="AD277" s="8">
        <f t="shared" si="110"/>
        <v>0</v>
      </c>
      <c r="AE277" s="8" t="str">
        <f t="shared" si="112"/>
        <v>--</v>
      </c>
      <c r="AF277" s="10">
        <f t="shared" si="113"/>
        <v>0</v>
      </c>
      <c r="AG277" s="8">
        <v>23</v>
      </c>
      <c r="AH277" s="9">
        <f t="shared" si="114"/>
        <v>0</v>
      </c>
      <c r="AI277" s="11">
        <f t="shared" si="115"/>
        <v>0</v>
      </c>
      <c r="AJ277" s="6"/>
      <c r="AK277" s="6"/>
      <c r="AL277" s="6"/>
      <c r="AN277" t="str">
        <f t="shared" si="97"/>
        <v>"23":{</v>
      </c>
      <c r="AO277" t="str">
        <f t="shared" si="98"/>
        <v>"group":"A",</v>
      </c>
      <c r="AP277" t="str">
        <f t="shared" si="116"/>
        <v>"lot":0,</v>
      </c>
      <c r="AQ277" t="str">
        <f t="shared" si="99"/>
        <v>"name":"0",</v>
      </c>
      <c r="AR277" t="str">
        <f t="shared" si="100"/>
        <v>"team":"0",</v>
      </c>
      <c r="AS277" t="str">
        <f t="shared" si="101"/>
        <v>"year":"0",</v>
      </c>
      <c r="AT277" t="str">
        <f t="shared" si="102"/>
        <v>"division":"--",</v>
      </c>
      <c r="AU277" t="str">
        <f t="shared" si="103"/>
        <v>"bw":"0",</v>
      </c>
      <c r="AV277" t="str">
        <f t="shared" si="104"/>
        <v>"idx":"23",</v>
      </c>
      <c r="AW277" t="str">
        <f t="shared" si="105"/>
        <v>"sr":"0",</v>
      </c>
      <c r="AX277" t="str">
        <f t="shared" si="106"/>
        <v>"br":"0",</v>
      </c>
      <c r="AY277" t="str">
        <f t="shared" si="107"/>
        <v>"row":0,</v>
      </c>
      <c r="AZ277" t="s">
        <v>67</v>
      </c>
      <c r="BA277" t="str">
        <f t="shared" si="117"/>
        <v>"sq":{"a1":0,"a2":"","a3":"","s1":0,"s2":0,"s3":0},"bp":{"a1":0,"a2":"","a3":"","s1":0,"s2":0,"s3":0},"dl":{"a1":0,"a2":"","a3":"","s1":0,"s2":0,"s3":0},"sortOrder":0,"act":{}}</v>
      </c>
      <c r="BB277" t="str">
        <f t="shared" si="118"/>
        <v>"23":{"group":"A","lot":0,"name":"0","team":"0","year":"0","division":"--","bw":"0","idx":"23","sr":"0","br":"0","row":0,"sq":{"a1":0,"a2":"","a3":"","s1":0,"s2":0,"s3":0},"bp":{"a1":0,"a2":"","a3":"","s1":0,"s2":0,"s3":0},"dl":{"a1":0,"a2":"","a3":"","s1":0,"s2":0,"s3":0},"sortOrder":0,"act":{}}</v>
      </c>
    </row>
    <row r="278" spans="5:54" x14ac:dyDescent="0.25">
      <c r="E278" s="163"/>
      <c r="F278" s="126"/>
      <c r="G278" s="126"/>
      <c r="H278" s="126"/>
      <c r="I278" s="126"/>
      <c r="J278" s="126"/>
      <c r="K278" s="126"/>
      <c r="L278" s="126"/>
      <c r="M278" s="126"/>
      <c r="N278" s="126"/>
      <c r="O278" s="126"/>
      <c r="P278" s="126"/>
      <c r="Q278" s="126"/>
      <c r="R278" s="126"/>
      <c r="S278" s="126"/>
      <c r="T278" s="127"/>
      <c r="U278" s="128"/>
      <c r="V278" s="128"/>
      <c r="W278" s="129"/>
      <c r="Z278" s="15" t="str">
        <f t="shared" si="96"/>
        <v>A</v>
      </c>
      <c r="AA278" s="8">
        <f t="shared" si="108"/>
        <v>0</v>
      </c>
      <c r="AB278" s="9">
        <f t="shared" si="111"/>
        <v>0</v>
      </c>
      <c r="AC278" s="8">
        <f t="shared" si="109"/>
        <v>0</v>
      </c>
      <c r="AD278" s="8">
        <f t="shared" si="110"/>
        <v>0</v>
      </c>
      <c r="AE278" s="8" t="str">
        <f t="shared" si="112"/>
        <v>--</v>
      </c>
      <c r="AF278" s="10">
        <f t="shared" si="113"/>
        <v>0</v>
      </c>
      <c r="AG278" s="8">
        <v>23</v>
      </c>
      <c r="AH278" s="9">
        <f t="shared" si="114"/>
        <v>0</v>
      </c>
      <c r="AI278" s="11">
        <f t="shared" si="115"/>
        <v>0</v>
      </c>
      <c r="AJ278" s="6"/>
      <c r="AK278" s="6"/>
      <c r="AL278" s="6"/>
      <c r="AN278" t="str">
        <f t="shared" si="97"/>
        <v>"23":{</v>
      </c>
      <c r="AO278" t="str">
        <f t="shared" si="98"/>
        <v>"group":"A",</v>
      </c>
      <c r="AP278" t="str">
        <f t="shared" si="116"/>
        <v>"lot":0,</v>
      </c>
      <c r="AQ278" t="str">
        <f t="shared" si="99"/>
        <v>"name":"0",</v>
      </c>
      <c r="AR278" t="str">
        <f t="shared" si="100"/>
        <v>"team":"0",</v>
      </c>
      <c r="AS278" t="str">
        <f t="shared" si="101"/>
        <v>"year":"0",</v>
      </c>
      <c r="AT278" t="str">
        <f t="shared" si="102"/>
        <v>"division":"--",</v>
      </c>
      <c r="AU278" t="str">
        <f t="shared" si="103"/>
        <v>"bw":"0",</v>
      </c>
      <c r="AV278" t="str">
        <f t="shared" si="104"/>
        <v>"idx":"23",</v>
      </c>
      <c r="AW278" t="str">
        <f t="shared" si="105"/>
        <v>"sr":"0",</v>
      </c>
      <c r="AX278" t="str">
        <f t="shared" si="106"/>
        <v>"br":"0",</v>
      </c>
      <c r="AY278" t="str">
        <f t="shared" si="107"/>
        <v>"row":0,</v>
      </c>
      <c r="AZ278" t="s">
        <v>67</v>
      </c>
      <c r="BA278" t="str">
        <f t="shared" si="117"/>
        <v>"sq":{"a1":0,"a2":"","a3":"","s1":0,"s2":0,"s3":0},"bp":{"a1":0,"a2":"","a3":"","s1":0,"s2":0,"s3":0},"dl":{"a1":0,"a2":"","a3":"","s1":0,"s2":0,"s3":0},"sortOrder":0,"act":{}}</v>
      </c>
      <c r="BB278" t="str">
        <f t="shared" si="118"/>
        <v>"23":{"group":"A","lot":0,"name":"0","team":"0","year":"0","division":"--","bw":"0","idx":"23","sr":"0","br":"0","row":0,"sq":{"a1":0,"a2":"","a3":"","s1":0,"s2":0,"s3":0},"bp":{"a1":0,"a2":"","a3":"","s1":0,"s2":0,"s3":0},"dl":{"a1":0,"a2":"","a3":"","s1":0,"s2":0,"s3":0},"sortOrder":0,"act":{}}</v>
      </c>
    </row>
    <row r="279" spans="5:54" x14ac:dyDescent="0.25">
      <c r="E279" s="163"/>
      <c r="F279" s="126"/>
      <c r="G279" s="126"/>
      <c r="H279" s="126"/>
      <c r="I279" s="126"/>
      <c r="J279" s="126"/>
      <c r="K279" s="126"/>
      <c r="L279" s="126"/>
      <c r="M279" s="126"/>
      <c r="N279" s="126"/>
      <c r="O279" s="126"/>
      <c r="P279" s="126"/>
      <c r="Q279" s="126"/>
      <c r="R279" s="126"/>
      <c r="S279" s="126"/>
      <c r="T279" s="127"/>
      <c r="U279" s="128"/>
      <c r="V279" s="128"/>
      <c r="W279" s="129"/>
      <c r="Z279" s="15" t="str">
        <f t="shared" si="96"/>
        <v>A</v>
      </c>
      <c r="AA279" s="8">
        <f t="shared" si="108"/>
        <v>0</v>
      </c>
      <c r="AB279" s="9">
        <f t="shared" si="111"/>
        <v>0</v>
      </c>
      <c r="AC279" s="8">
        <f t="shared" si="109"/>
        <v>0</v>
      </c>
      <c r="AD279" s="8">
        <f t="shared" si="110"/>
        <v>0</v>
      </c>
      <c r="AE279" s="8" t="str">
        <f t="shared" si="112"/>
        <v>--</v>
      </c>
      <c r="AF279" s="10">
        <f t="shared" si="113"/>
        <v>0</v>
      </c>
      <c r="AG279" s="8">
        <v>23</v>
      </c>
      <c r="AH279" s="9">
        <f t="shared" si="114"/>
        <v>0</v>
      </c>
      <c r="AI279" s="11">
        <f t="shared" si="115"/>
        <v>0</v>
      </c>
      <c r="AJ279" s="6"/>
      <c r="AK279" s="6"/>
      <c r="AL279" s="6"/>
      <c r="AN279" t="str">
        <f t="shared" si="97"/>
        <v>"23":{</v>
      </c>
      <c r="AO279" t="str">
        <f t="shared" si="98"/>
        <v>"group":"A",</v>
      </c>
      <c r="AP279" t="str">
        <f t="shared" si="116"/>
        <v>"lot":0,</v>
      </c>
      <c r="AQ279" t="str">
        <f t="shared" si="99"/>
        <v>"name":"0",</v>
      </c>
      <c r="AR279" t="str">
        <f t="shared" si="100"/>
        <v>"team":"0",</v>
      </c>
      <c r="AS279" t="str">
        <f t="shared" si="101"/>
        <v>"year":"0",</v>
      </c>
      <c r="AT279" t="str">
        <f t="shared" si="102"/>
        <v>"division":"--",</v>
      </c>
      <c r="AU279" t="str">
        <f t="shared" si="103"/>
        <v>"bw":"0",</v>
      </c>
      <c r="AV279" t="str">
        <f t="shared" si="104"/>
        <v>"idx":"23",</v>
      </c>
      <c r="AW279" t="str">
        <f t="shared" si="105"/>
        <v>"sr":"0",</v>
      </c>
      <c r="AX279" t="str">
        <f t="shared" si="106"/>
        <v>"br":"0",</v>
      </c>
      <c r="AY279" t="str">
        <f t="shared" si="107"/>
        <v>"row":0,</v>
      </c>
      <c r="AZ279" t="s">
        <v>67</v>
      </c>
      <c r="BA279" t="str">
        <f t="shared" si="117"/>
        <v>"sq":{"a1":0,"a2":"","a3":"","s1":0,"s2":0,"s3":0},"bp":{"a1":0,"a2":"","a3":"","s1":0,"s2":0,"s3":0},"dl":{"a1":0,"a2":"","a3":"","s1":0,"s2":0,"s3":0},"sortOrder":0,"act":{}}</v>
      </c>
      <c r="BB279" t="str">
        <f t="shared" si="118"/>
        <v>"23":{"group":"A","lot":0,"name":"0","team":"0","year":"0","division":"--","bw":"0","idx":"23","sr":"0","br":"0","row":0,"sq":{"a1":0,"a2":"","a3":"","s1":0,"s2":0,"s3":0},"bp":{"a1":0,"a2":"","a3":"","s1":0,"s2":0,"s3":0},"dl":{"a1":0,"a2":"","a3":"","s1":0,"s2":0,"s3":0},"sortOrder":0,"act":{}}</v>
      </c>
    </row>
    <row r="280" spans="5:54" x14ac:dyDescent="0.25">
      <c r="E280" s="163"/>
      <c r="F280" s="126"/>
      <c r="G280" s="126"/>
      <c r="H280" s="126"/>
      <c r="I280" s="126"/>
      <c r="J280" s="126"/>
      <c r="K280" s="126"/>
      <c r="L280" s="126"/>
      <c r="M280" s="126"/>
      <c r="N280" s="126"/>
      <c r="O280" s="126"/>
      <c r="P280" s="126"/>
      <c r="Q280" s="126"/>
      <c r="R280" s="126"/>
      <c r="S280" s="126"/>
      <c r="T280" s="127"/>
      <c r="U280" s="128"/>
      <c r="V280" s="128"/>
      <c r="W280" s="129"/>
      <c r="Z280" s="15" t="str">
        <f t="shared" si="96"/>
        <v>A</v>
      </c>
      <c r="AA280" s="8">
        <f t="shared" si="108"/>
        <v>0</v>
      </c>
      <c r="AB280" s="9">
        <f t="shared" si="111"/>
        <v>0</v>
      </c>
      <c r="AC280" s="8">
        <f t="shared" si="109"/>
        <v>0</v>
      </c>
      <c r="AD280" s="8">
        <f t="shared" si="110"/>
        <v>0</v>
      </c>
      <c r="AE280" s="8" t="str">
        <f t="shared" si="112"/>
        <v>--</v>
      </c>
      <c r="AF280" s="10">
        <f t="shared" si="113"/>
        <v>0</v>
      </c>
      <c r="AG280" s="8">
        <v>23</v>
      </c>
      <c r="AH280" s="9">
        <f t="shared" si="114"/>
        <v>0</v>
      </c>
      <c r="AI280" s="11">
        <f t="shared" si="115"/>
        <v>0</v>
      </c>
      <c r="AJ280" s="6"/>
      <c r="AK280" s="6"/>
      <c r="AL280" s="6"/>
      <c r="AN280" t="str">
        <f t="shared" si="97"/>
        <v>"23":{</v>
      </c>
      <c r="AO280" t="str">
        <f t="shared" si="98"/>
        <v>"group":"A",</v>
      </c>
      <c r="AP280" t="str">
        <f t="shared" si="116"/>
        <v>"lot":0,</v>
      </c>
      <c r="AQ280" t="str">
        <f t="shared" si="99"/>
        <v>"name":"0",</v>
      </c>
      <c r="AR280" t="str">
        <f t="shared" si="100"/>
        <v>"team":"0",</v>
      </c>
      <c r="AS280" t="str">
        <f t="shared" si="101"/>
        <v>"year":"0",</v>
      </c>
      <c r="AT280" t="str">
        <f t="shared" si="102"/>
        <v>"division":"--",</v>
      </c>
      <c r="AU280" t="str">
        <f t="shared" si="103"/>
        <v>"bw":"0",</v>
      </c>
      <c r="AV280" t="str">
        <f t="shared" si="104"/>
        <v>"idx":"23",</v>
      </c>
      <c r="AW280" t="str">
        <f t="shared" si="105"/>
        <v>"sr":"0",</v>
      </c>
      <c r="AX280" t="str">
        <f t="shared" si="106"/>
        <v>"br":"0",</v>
      </c>
      <c r="AY280" t="str">
        <f t="shared" si="107"/>
        <v>"row":0,</v>
      </c>
      <c r="AZ280" t="s">
        <v>67</v>
      </c>
      <c r="BA280" t="str">
        <f t="shared" si="117"/>
        <v>"sq":{"a1":0,"a2":"","a3":"","s1":0,"s2":0,"s3":0},"bp":{"a1":0,"a2":"","a3":"","s1":0,"s2":0,"s3":0},"dl":{"a1":0,"a2":"","a3":"","s1":0,"s2":0,"s3":0},"sortOrder":0,"act":{}}</v>
      </c>
      <c r="BB280" t="str">
        <f t="shared" si="118"/>
        <v>"23":{"group":"A","lot":0,"name":"0","team":"0","year":"0","division":"--","bw":"0","idx":"23","sr":"0","br":"0","row":0,"sq":{"a1":0,"a2":"","a3":"","s1":0,"s2":0,"s3":0},"bp":{"a1":0,"a2":"","a3":"","s1":0,"s2":0,"s3":0},"dl":{"a1":0,"a2":"","a3":"","s1":0,"s2":0,"s3":0},"sortOrder":0,"act":{}}</v>
      </c>
    </row>
    <row r="281" spans="5:54" x14ac:dyDescent="0.25">
      <c r="E281" s="163"/>
      <c r="F281" s="126"/>
      <c r="G281" s="126"/>
      <c r="H281" s="126"/>
      <c r="I281" s="126"/>
      <c r="J281" s="126"/>
      <c r="K281" s="126"/>
      <c r="L281" s="126"/>
      <c r="M281" s="126"/>
      <c r="N281" s="126"/>
      <c r="O281" s="126"/>
      <c r="P281" s="126"/>
      <c r="Q281" s="126"/>
      <c r="R281" s="126"/>
      <c r="S281" s="126"/>
      <c r="T281" s="127"/>
      <c r="U281" s="128"/>
      <c r="V281" s="128"/>
      <c r="W281" s="129"/>
      <c r="Z281" s="15" t="str">
        <f t="shared" si="96"/>
        <v>A</v>
      </c>
      <c r="AA281" s="8">
        <f t="shared" si="108"/>
        <v>0</v>
      </c>
      <c r="AB281" s="9">
        <f t="shared" si="111"/>
        <v>0</v>
      </c>
      <c r="AC281" s="8">
        <f t="shared" si="109"/>
        <v>0</v>
      </c>
      <c r="AD281" s="8">
        <f t="shared" si="110"/>
        <v>0</v>
      </c>
      <c r="AE281" s="8" t="str">
        <f t="shared" si="112"/>
        <v>--</v>
      </c>
      <c r="AF281" s="10">
        <f t="shared" si="113"/>
        <v>0</v>
      </c>
      <c r="AG281" s="8">
        <v>23</v>
      </c>
      <c r="AH281" s="9">
        <f t="shared" si="114"/>
        <v>0</v>
      </c>
      <c r="AI281" s="11">
        <f t="shared" si="115"/>
        <v>0</v>
      </c>
      <c r="AJ281" s="6"/>
      <c r="AK281" s="6"/>
      <c r="AL281" s="6"/>
      <c r="AN281" t="str">
        <f t="shared" si="97"/>
        <v>"23":{</v>
      </c>
      <c r="AO281" t="str">
        <f t="shared" si="98"/>
        <v>"group":"A",</v>
      </c>
      <c r="AP281" t="str">
        <f t="shared" si="116"/>
        <v>"lot":0,</v>
      </c>
      <c r="AQ281" t="str">
        <f t="shared" si="99"/>
        <v>"name":"0",</v>
      </c>
      <c r="AR281" t="str">
        <f t="shared" si="100"/>
        <v>"team":"0",</v>
      </c>
      <c r="AS281" t="str">
        <f t="shared" si="101"/>
        <v>"year":"0",</v>
      </c>
      <c r="AT281" t="str">
        <f t="shared" si="102"/>
        <v>"division":"--",</v>
      </c>
      <c r="AU281" t="str">
        <f t="shared" si="103"/>
        <v>"bw":"0",</v>
      </c>
      <c r="AV281" t="str">
        <f t="shared" si="104"/>
        <v>"idx":"23",</v>
      </c>
      <c r="AW281" t="str">
        <f t="shared" si="105"/>
        <v>"sr":"0",</v>
      </c>
      <c r="AX281" t="str">
        <f t="shared" si="106"/>
        <v>"br":"0",</v>
      </c>
      <c r="AY281" t="str">
        <f t="shared" si="107"/>
        <v>"row":0,</v>
      </c>
      <c r="AZ281" t="s">
        <v>67</v>
      </c>
      <c r="BA281" t="str">
        <f t="shared" si="117"/>
        <v>"sq":{"a1":0,"a2":"","a3":"","s1":0,"s2":0,"s3":0},"bp":{"a1":0,"a2":"","a3":"","s1":0,"s2":0,"s3":0},"dl":{"a1":0,"a2":"","a3":"","s1":0,"s2":0,"s3":0},"sortOrder":0,"act":{}}</v>
      </c>
      <c r="BB281" t="str">
        <f t="shared" si="118"/>
        <v>"23":{"group":"A","lot":0,"name":"0","team":"0","year":"0","division":"--","bw":"0","idx":"23","sr":"0","br":"0","row":0,"sq":{"a1":0,"a2":"","a3":"","s1":0,"s2":0,"s3":0},"bp":{"a1":0,"a2":"","a3":"","s1":0,"s2":0,"s3":0},"dl":{"a1":0,"a2":"","a3":"","s1":0,"s2":0,"s3":0},"sortOrder":0,"act":{}}</v>
      </c>
    </row>
    <row r="282" spans="5:54" x14ac:dyDescent="0.25">
      <c r="E282" s="163"/>
      <c r="F282" s="126"/>
      <c r="G282" s="126"/>
      <c r="H282" s="126"/>
      <c r="I282" s="126"/>
      <c r="J282" s="126"/>
      <c r="K282" s="126"/>
      <c r="L282" s="126"/>
      <c r="M282" s="126"/>
      <c r="N282" s="126"/>
      <c r="O282" s="126"/>
      <c r="P282" s="126"/>
      <c r="Q282" s="126"/>
      <c r="R282" s="126"/>
      <c r="S282" s="126"/>
      <c r="T282" s="127"/>
      <c r="U282" s="128"/>
      <c r="V282" s="128"/>
      <c r="W282" s="129"/>
      <c r="Z282" s="15" t="str">
        <f t="shared" si="96"/>
        <v>A</v>
      </c>
      <c r="AA282" s="8">
        <f t="shared" si="108"/>
        <v>0</v>
      </c>
      <c r="AB282" s="9">
        <f t="shared" si="111"/>
        <v>0</v>
      </c>
      <c r="AC282" s="8">
        <f t="shared" si="109"/>
        <v>0</v>
      </c>
      <c r="AD282" s="8">
        <f t="shared" si="110"/>
        <v>0</v>
      </c>
      <c r="AE282" s="8" t="str">
        <f t="shared" si="112"/>
        <v>--</v>
      </c>
      <c r="AF282" s="10">
        <f t="shared" si="113"/>
        <v>0</v>
      </c>
      <c r="AG282" s="8">
        <v>23</v>
      </c>
      <c r="AH282" s="9">
        <f t="shared" si="114"/>
        <v>0</v>
      </c>
      <c r="AI282" s="11">
        <f t="shared" si="115"/>
        <v>0</v>
      </c>
      <c r="AJ282" s="6"/>
      <c r="AK282" s="6"/>
      <c r="AL282" s="6"/>
      <c r="AN282" t="str">
        <f t="shared" si="97"/>
        <v>"23":{</v>
      </c>
      <c r="AO282" t="str">
        <f t="shared" si="98"/>
        <v>"group":"A",</v>
      </c>
      <c r="AP282" t="str">
        <f t="shared" si="116"/>
        <v>"lot":0,</v>
      </c>
      <c r="AQ282" t="str">
        <f t="shared" si="99"/>
        <v>"name":"0",</v>
      </c>
      <c r="AR282" t="str">
        <f t="shared" si="100"/>
        <v>"team":"0",</v>
      </c>
      <c r="AS282" t="str">
        <f t="shared" si="101"/>
        <v>"year":"0",</v>
      </c>
      <c r="AT282" t="str">
        <f t="shared" si="102"/>
        <v>"division":"--",</v>
      </c>
      <c r="AU282" t="str">
        <f t="shared" si="103"/>
        <v>"bw":"0",</v>
      </c>
      <c r="AV282" t="str">
        <f t="shared" si="104"/>
        <v>"idx":"23",</v>
      </c>
      <c r="AW282" t="str">
        <f t="shared" si="105"/>
        <v>"sr":"0",</v>
      </c>
      <c r="AX282" t="str">
        <f t="shared" si="106"/>
        <v>"br":"0",</v>
      </c>
      <c r="AY282" t="str">
        <f t="shared" si="107"/>
        <v>"row":0,</v>
      </c>
      <c r="AZ282" t="s">
        <v>67</v>
      </c>
      <c r="BA282" t="str">
        <f t="shared" si="117"/>
        <v>"sq":{"a1":0,"a2":"","a3":"","s1":0,"s2":0,"s3":0},"bp":{"a1":0,"a2":"","a3":"","s1":0,"s2":0,"s3":0},"dl":{"a1":0,"a2":"","a3":"","s1":0,"s2":0,"s3":0},"sortOrder":0,"act":{}}</v>
      </c>
      <c r="BB282" t="str">
        <f t="shared" si="118"/>
        <v>"23":{"group":"A","lot":0,"name":"0","team":"0","year":"0","division":"--","bw":"0","idx":"23","sr":"0","br":"0","row":0,"sq":{"a1":0,"a2":"","a3":"","s1":0,"s2":0,"s3":0},"bp":{"a1":0,"a2":"","a3":"","s1":0,"s2":0,"s3":0},"dl":{"a1":0,"a2":"","a3":"","s1":0,"s2":0,"s3":0},"sortOrder":0,"act":{}}</v>
      </c>
    </row>
    <row r="283" spans="5:54" x14ac:dyDescent="0.25">
      <c r="E283" s="163"/>
      <c r="F283" s="126"/>
      <c r="G283" s="126"/>
      <c r="H283" s="126"/>
      <c r="I283" s="126"/>
      <c r="J283" s="126"/>
      <c r="K283" s="126"/>
      <c r="L283" s="126"/>
      <c r="M283" s="126"/>
      <c r="N283" s="126"/>
      <c r="O283" s="126"/>
      <c r="P283" s="126"/>
      <c r="Q283" s="126"/>
      <c r="R283" s="126"/>
      <c r="S283" s="126"/>
      <c r="T283" s="127"/>
      <c r="U283" s="128"/>
      <c r="V283" s="128"/>
      <c r="W283" s="129"/>
      <c r="Z283" s="15" t="str">
        <f t="shared" si="96"/>
        <v>A</v>
      </c>
      <c r="AA283" s="8">
        <f t="shared" si="108"/>
        <v>0</v>
      </c>
      <c r="AB283" s="9">
        <f t="shared" si="111"/>
        <v>0</v>
      </c>
      <c r="AC283" s="8">
        <f t="shared" si="109"/>
        <v>0</v>
      </c>
      <c r="AD283" s="8">
        <f t="shared" si="110"/>
        <v>0</v>
      </c>
      <c r="AE283" s="8" t="str">
        <f t="shared" si="112"/>
        <v>--</v>
      </c>
      <c r="AF283" s="10">
        <f t="shared" si="113"/>
        <v>0</v>
      </c>
      <c r="AG283" s="8">
        <v>23</v>
      </c>
      <c r="AH283" s="9">
        <f t="shared" si="114"/>
        <v>0</v>
      </c>
      <c r="AI283" s="11">
        <f t="shared" si="115"/>
        <v>0</v>
      </c>
      <c r="AJ283" s="6"/>
      <c r="AK283" s="6"/>
      <c r="AL283" s="6"/>
      <c r="AN283" t="str">
        <f t="shared" si="97"/>
        <v>"23":{</v>
      </c>
      <c r="AO283" t="str">
        <f t="shared" si="98"/>
        <v>"group":"A",</v>
      </c>
      <c r="AP283" t="str">
        <f t="shared" si="116"/>
        <v>"lot":0,</v>
      </c>
      <c r="AQ283" t="str">
        <f t="shared" si="99"/>
        <v>"name":"0",</v>
      </c>
      <c r="AR283" t="str">
        <f t="shared" si="100"/>
        <v>"team":"0",</v>
      </c>
      <c r="AS283" t="str">
        <f t="shared" si="101"/>
        <v>"year":"0",</v>
      </c>
      <c r="AT283" t="str">
        <f t="shared" si="102"/>
        <v>"division":"--",</v>
      </c>
      <c r="AU283" t="str">
        <f t="shared" si="103"/>
        <v>"bw":"0",</v>
      </c>
      <c r="AV283" t="str">
        <f t="shared" si="104"/>
        <v>"idx":"23",</v>
      </c>
      <c r="AW283" t="str">
        <f t="shared" si="105"/>
        <v>"sr":"0",</v>
      </c>
      <c r="AX283" t="str">
        <f t="shared" si="106"/>
        <v>"br":"0",</v>
      </c>
      <c r="AY283" t="str">
        <f t="shared" si="107"/>
        <v>"row":0,</v>
      </c>
      <c r="AZ283" t="s">
        <v>67</v>
      </c>
      <c r="BA283" t="str">
        <f t="shared" si="117"/>
        <v>"sq":{"a1":0,"a2":"","a3":"","s1":0,"s2":0,"s3":0},"bp":{"a1":0,"a2":"","a3":"","s1":0,"s2":0,"s3":0},"dl":{"a1":0,"a2":"","a3":"","s1":0,"s2":0,"s3":0},"sortOrder":0,"act":{}}</v>
      </c>
      <c r="BB283" t="str">
        <f t="shared" si="118"/>
        <v>"23":{"group":"A","lot":0,"name":"0","team":"0","year":"0","division":"--","bw":"0","idx":"23","sr":"0","br":"0","row":0,"sq":{"a1":0,"a2":"","a3":"","s1":0,"s2":0,"s3":0},"bp":{"a1":0,"a2":"","a3":"","s1":0,"s2":0,"s3":0},"dl":{"a1":0,"a2":"","a3":"","s1":0,"s2":0,"s3":0},"sortOrder":0,"act":{}}</v>
      </c>
    </row>
    <row r="284" spans="5:54" x14ac:dyDescent="0.25">
      <c r="E284" s="163"/>
      <c r="F284" s="126"/>
      <c r="G284" s="126"/>
      <c r="H284" s="126"/>
      <c r="I284" s="126"/>
      <c r="J284" s="126"/>
      <c r="K284" s="126"/>
      <c r="L284" s="126"/>
      <c r="M284" s="126"/>
      <c r="N284" s="126"/>
      <c r="O284" s="126"/>
      <c r="P284" s="126"/>
      <c r="Q284" s="126"/>
      <c r="R284" s="126"/>
      <c r="S284" s="126"/>
      <c r="T284" s="127"/>
      <c r="U284" s="128"/>
      <c r="V284" s="128"/>
      <c r="W284" s="129"/>
      <c r="Z284" s="15" t="str">
        <f t="shared" si="96"/>
        <v>A</v>
      </c>
      <c r="AA284" s="8">
        <f t="shared" si="108"/>
        <v>0</v>
      </c>
      <c r="AB284" s="9">
        <f t="shared" si="111"/>
        <v>0</v>
      </c>
      <c r="AC284" s="8">
        <f t="shared" si="109"/>
        <v>0</v>
      </c>
      <c r="AD284" s="8">
        <f t="shared" si="110"/>
        <v>0</v>
      </c>
      <c r="AE284" s="8" t="str">
        <f t="shared" si="112"/>
        <v>--</v>
      </c>
      <c r="AF284" s="10">
        <f t="shared" si="113"/>
        <v>0</v>
      </c>
      <c r="AG284" s="8">
        <v>23</v>
      </c>
      <c r="AH284" s="9">
        <f t="shared" si="114"/>
        <v>0</v>
      </c>
      <c r="AI284" s="11">
        <f t="shared" si="115"/>
        <v>0</v>
      </c>
      <c r="AJ284" s="6"/>
      <c r="AK284" s="6"/>
      <c r="AL284" s="6"/>
      <c r="AN284" t="str">
        <f t="shared" si="97"/>
        <v>"23":{</v>
      </c>
      <c r="AO284" t="str">
        <f t="shared" si="98"/>
        <v>"group":"A",</v>
      </c>
      <c r="AP284" t="str">
        <f t="shared" si="116"/>
        <v>"lot":0,</v>
      </c>
      <c r="AQ284" t="str">
        <f t="shared" si="99"/>
        <v>"name":"0",</v>
      </c>
      <c r="AR284" t="str">
        <f t="shared" si="100"/>
        <v>"team":"0",</v>
      </c>
      <c r="AS284" t="str">
        <f t="shared" si="101"/>
        <v>"year":"0",</v>
      </c>
      <c r="AT284" t="str">
        <f t="shared" si="102"/>
        <v>"division":"--",</v>
      </c>
      <c r="AU284" t="str">
        <f t="shared" si="103"/>
        <v>"bw":"0",</v>
      </c>
      <c r="AV284" t="str">
        <f t="shared" si="104"/>
        <v>"idx":"23",</v>
      </c>
      <c r="AW284" t="str">
        <f t="shared" si="105"/>
        <v>"sr":"0",</v>
      </c>
      <c r="AX284" t="str">
        <f t="shared" si="106"/>
        <v>"br":"0",</v>
      </c>
      <c r="AY284" t="str">
        <f t="shared" si="107"/>
        <v>"row":0,</v>
      </c>
      <c r="AZ284" t="s">
        <v>67</v>
      </c>
      <c r="BA284" t="str">
        <f t="shared" si="117"/>
        <v>"sq":{"a1":0,"a2":"","a3":"","s1":0,"s2":0,"s3":0},"bp":{"a1":0,"a2":"","a3":"","s1":0,"s2":0,"s3":0},"dl":{"a1":0,"a2":"","a3":"","s1":0,"s2":0,"s3":0},"sortOrder":0,"act":{}}</v>
      </c>
      <c r="BB284" t="str">
        <f t="shared" si="118"/>
        <v>"23":{"group":"A","lot":0,"name":"0","team":"0","year":"0","division":"--","bw":"0","idx":"23","sr":"0","br":"0","row":0,"sq":{"a1":0,"a2":"","a3":"","s1":0,"s2":0,"s3":0},"bp":{"a1":0,"a2":"","a3":"","s1":0,"s2":0,"s3":0},"dl":{"a1":0,"a2":"","a3":"","s1":0,"s2":0,"s3":0},"sortOrder":0,"act":{}}</v>
      </c>
    </row>
    <row r="285" spans="5:54" x14ac:dyDescent="0.25">
      <c r="E285" s="163"/>
      <c r="F285" s="126"/>
      <c r="G285" s="126"/>
      <c r="H285" s="126"/>
      <c r="I285" s="126"/>
      <c r="J285" s="126"/>
      <c r="K285" s="126"/>
      <c r="L285" s="126"/>
      <c r="M285" s="126"/>
      <c r="N285" s="126"/>
      <c r="O285" s="126"/>
      <c r="P285" s="126"/>
      <c r="Q285" s="126"/>
      <c r="R285" s="126"/>
      <c r="S285" s="126"/>
      <c r="T285" s="127"/>
      <c r="U285" s="128"/>
      <c r="V285" s="128"/>
      <c r="W285" s="129"/>
      <c r="Z285" s="15" t="str">
        <f t="shared" si="96"/>
        <v>A</v>
      </c>
      <c r="AA285" s="8">
        <f t="shared" si="108"/>
        <v>0</v>
      </c>
      <c r="AB285" s="9">
        <f t="shared" si="111"/>
        <v>0</v>
      </c>
      <c r="AC285" s="8">
        <f t="shared" si="109"/>
        <v>0</v>
      </c>
      <c r="AD285" s="8">
        <f t="shared" si="110"/>
        <v>0</v>
      </c>
      <c r="AE285" s="8" t="str">
        <f t="shared" si="112"/>
        <v>--</v>
      </c>
      <c r="AF285" s="10">
        <f t="shared" si="113"/>
        <v>0</v>
      </c>
      <c r="AG285" s="8">
        <v>23</v>
      </c>
      <c r="AH285" s="9">
        <f t="shared" si="114"/>
        <v>0</v>
      </c>
      <c r="AI285" s="11">
        <f t="shared" si="115"/>
        <v>0</v>
      </c>
      <c r="AJ285" s="6"/>
      <c r="AK285" s="6"/>
      <c r="AL285" s="6"/>
      <c r="AN285" t="str">
        <f t="shared" si="97"/>
        <v>"23":{</v>
      </c>
      <c r="AO285" t="str">
        <f t="shared" si="98"/>
        <v>"group":"A",</v>
      </c>
      <c r="AP285" t="str">
        <f t="shared" si="116"/>
        <v>"lot":0,</v>
      </c>
      <c r="AQ285" t="str">
        <f t="shared" si="99"/>
        <v>"name":"0",</v>
      </c>
      <c r="AR285" t="str">
        <f t="shared" si="100"/>
        <v>"team":"0",</v>
      </c>
      <c r="AS285" t="str">
        <f t="shared" si="101"/>
        <v>"year":"0",</v>
      </c>
      <c r="AT285" t="str">
        <f t="shared" si="102"/>
        <v>"division":"--",</v>
      </c>
      <c r="AU285" t="str">
        <f t="shared" si="103"/>
        <v>"bw":"0",</v>
      </c>
      <c r="AV285" t="str">
        <f t="shared" si="104"/>
        <v>"idx":"23",</v>
      </c>
      <c r="AW285" t="str">
        <f t="shared" si="105"/>
        <v>"sr":"0",</v>
      </c>
      <c r="AX285" t="str">
        <f t="shared" si="106"/>
        <v>"br":"0",</v>
      </c>
      <c r="AY285" t="str">
        <f t="shared" si="107"/>
        <v>"row":0,</v>
      </c>
      <c r="AZ285" t="s">
        <v>67</v>
      </c>
      <c r="BA285" t="str">
        <f t="shared" si="117"/>
        <v>"sq":{"a1":0,"a2":"","a3":"","s1":0,"s2":0,"s3":0},"bp":{"a1":0,"a2":"","a3":"","s1":0,"s2":0,"s3":0},"dl":{"a1":0,"a2":"","a3":"","s1":0,"s2":0,"s3":0},"sortOrder":0,"act":{}}</v>
      </c>
      <c r="BB285" t="str">
        <f t="shared" si="118"/>
        <v>"23":{"group":"A","lot":0,"name":"0","team":"0","year":"0","division":"--","bw":"0","idx":"23","sr":"0","br":"0","row":0,"sq":{"a1":0,"a2":"","a3":"","s1":0,"s2":0,"s3":0},"bp":{"a1":0,"a2":"","a3":"","s1":0,"s2":0,"s3":0},"dl":{"a1":0,"a2":"","a3":"","s1":0,"s2":0,"s3":0},"sortOrder":0,"act":{}}</v>
      </c>
    </row>
    <row r="286" spans="5:54" x14ac:dyDescent="0.25">
      <c r="E286" s="163"/>
      <c r="F286" s="126"/>
      <c r="G286" s="126"/>
      <c r="H286" s="126"/>
      <c r="I286" s="126"/>
      <c r="J286" s="126"/>
      <c r="K286" s="126"/>
      <c r="L286" s="126"/>
      <c r="M286" s="126"/>
      <c r="N286" s="126"/>
      <c r="O286" s="126"/>
      <c r="P286" s="126"/>
      <c r="Q286" s="126"/>
      <c r="R286" s="126"/>
      <c r="S286" s="126"/>
      <c r="T286" s="127"/>
      <c r="U286" s="128"/>
      <c r="V286" s="128"/>
      <c r="W286" s="129"/>
      <c r="Z286" s="15" t="str">
        <f t="shared" si="96"/>
        <v>A</v>
      </c>
      <c r="AA286" s="8">
        <f t="shared" si="108"/>
        <v>0</v>
      </c>
      <c r="AB286" s="9">
        <f t="shared" si="111"/>
        <v>0</v>
      </c>
      <c r="AC286" s="8">
        <f t="shared" si="109"/>
        <v>0</v>
      </c>
      <c r="AD286" s="8">
        <f t="shared" si="110"/>
        <v>0</v>
      </c>
      <c r="AE286" s="8" t="str">
        <f t="shared" si="112"/>
        <v>--</v>
      </c>
      <c r="AF286" s="10">
        <f t="shared" si="113"/>
        <v>0</v>
      </c>
      <c r="AG286" s="8">
        <v>23</v>
      </c>
      <c r="AH286" s="9">
        <f t="shared" si="114"/>
        <v>0</v>
      </c>
      <c r="AI286" s="11">
        <f t="shared" si="115"/>
        <v>0</v>
      </c>
      <c r="AJ286" s="6"/>
      <c r="AK286" s="6"/>
      <c r="AL286" s="6"/>
      <c r="AN286" t="str">
        <f t="shared" si="97"/>
        <v>"23":{</v>
      </c>
      <c r="AO286" t="str">
        <f t="shared" si="98"/>
        <v>"group":"A",</v>
      </c>
      <c r="AP286" t="str">
        <f t="shared" si="116"/>
        <v>"lot":0,</v>
      </c>
      <c r="AQ286" t="str">
        <f t="shared" si="99"/>
        <v>"name":"0",</v>
      </c>
      <c r="AR286" t="str">
        <f t="shared" si="100"/>
        <v>"team":"0",</v>
      </c>
      <c r="AS286" t="str">
        <f t="shared" si="101"/>
        <v>"year":"0",</v>
      </c>
      <c r="AT286" t="str">
        <f t="shared" si="102"/>
        <v>"division":"--",</v>
      </c>
      <c r="AU286" t="str">
        <f t="shared" si="103"/>
        <v>"bw":"0",</v>
      </c>
      <c r="AV286" t="str">
        <f t="shared" si="104"/>
        <v>"idx":"23",</v>
      </c>
      <c r="AW286" t="str">
        <f t="shared" si="105"/>
        <v>"sr":"0",</v>
      </c>
      <c r="AX286" t="str">
        <f t="shared" si="106"/>
        <v>"br":"0",</v>
      </c>
      <c r="AY286" t="str">
        <f t="shared" si="107"/>
        <v>"row":0,</v>
      </c>
      <c r="AZ286" t="s">
        <v>67</v>
      </c>
      <c r="BA286" t="str">
        <f t="shared" si="117"/>
        <v>"sq":{"a1":0,"a2":"","a3":"","s1":0,"s2":0,"s3":0},"bp":{"a1":0,"a2":"","a3":"","s1":0,"s2":0,"s3":0},"dl":{"a1":0,"a2":"","a3":"","s1":0,"s2":0,"s3":0},"sortOrder":0,"act":{}}</v>
      </c>
      <c r="BB286" t="str">
        <f t="shared" si="118"/>
        <v>"23":{"group":"A","lot":0,"name":"0","team":"0","year":"0","division":"--","bw":"0","idx":"23","sr":"0","br":"0","row":0,"sq":{"a1":0,"a2":"","a3":"","s1":0,"s2":0,"s3":0},"bp":{"a1":0,"a2":"","a3":"","s1":0,"s2":0,"s3":0},"dl":{"a1":0,"a2":"","a3":"","s1":0,"s2":0,"s3":0},"sortOrder":0,"act":{}}</v>
      </c>
    </row>
    <row r="287" spans="5:54" x14ac:dyDescent="0.25">
      <c r="E287" s="163"/>
      <c r="F287" s="126"/>
      <c r="G287" s="126"/>
      <c r="H287" s="126"/>
      <c r="I287" s="126"/>
      <c r="J287" s="126"/>
      <c r="K287" s="126"/>
      <c r="L287" s="126"/>
      <c r="M287" s="126"/>
      <c r="N287" s="126"/>
      <c r="O287" s="126"/>
      <c r="P287" s="126"/>
      <c r="Q287" s="126"/>
      <c r="R287" s="126"/>
      <c r="S287" s="126"/>
      <c r="T287" s="127"/>
      <c r="U287" s="128"/>
      <c r="V287" s="128"/>
      <c r="W287" s="129"/>
      <c r="Z287" s="15" t="str">
        <f t="shared" si="96"/>
        <v>A</v>
      </c>
      <c r="AA287" s="8">
        <f t="shared" si="108"/>
        <v>0</v>
      </c>
      <c r="AB287" s="9">
        <f t="shared" si="111"/>
        <v>0</v>
      </c>
      <c r="AC287" s="8">
        <f t="shared" si="109"/>
        <v>0</v>
      </c>
      <c r="AD287" s="8">
        <f t="shared" si="110"/>
        <v>0</v>
      </c>
      <c r="AE287" s="8" t="str">
        <f t="shared" si="112"/>
        <v>--</v>
      </c>
      <c r="AF287" s="10">
        <f t="shared" si="113"/>
        <v>0</v>
      </c>
      <c r="AG287" s="8">
        <v>23</v>
      </c>
      <c r="AH287" s="9">
        <f t="shared" si="114"/>
        <v>0</v>
      </c>
      <c r="AI287" s="11">
        <f t="shared" si="115"/>
        <v>0</v>
      </c>
      <c r="AJ287" s="6"/>
      <c r="AK287" s="6"/>
      <c r="AL287" s="6"/>
      <c r="AN287" t="str">
        <f t="shared" si="97"/>
        <v>"23":{</v>
      </c>
      <c r="AO287" t="str">
        <f t="shared" si="98"/>
        <v>"group":"A",</v>
      </c>
      <c r="AP287" t="str">
        <f t="shared" si="116"/>
        <v>"lot":0,</v>
      </c>
      <c r="AQ287" t="str">
        <f t="shared" si="99"/>
        <v>"name":"0",</v>
      </c>
      <c r="AR287" t="str">
        <f t="shared" si="100"/>
        <v>"team":"0",</v>
      </c>
      <c r="AS287" t="str">
        <f t="shared" si="101"/>
        <v>"year":"0",</v>
      </c>
      <c r="AT287" t="str">
        <f t="shared" si="102"/>
        <v>"division":"--",</v>
      </c>
      <c r="AU287" t="str">
        <f t="shared" si="103"/>
        <v>"bw":"0",</v>
      </c>
      <c r="AV287" t="str">
        <f t="shared" si="104"/>
        <v>"idx":"23",</v>
      </c>
      <c r="AW287" t="str">
        <f t="shared" si="105"/>
        <v>"sr":"0",</v>
      </c>
      <c r="AX287" t="str">
        <f t="shared" si="106"/>
        <v>"br":"0",</v>
      </c>
      <c r="AY287" t="str">
        <f t="shared" si="107"/>
        <v>"row":0,</v>
      </c>
      <c r="AZ287" t="s">
        <v>67</v>
      </c>
      <c r="BA287" t="str">
        <f t="shared" si="117"/>
        <v>"sq":{"a1":0,"a2":"","a3":"","s1":0,"s2":0,"s3":0},"bp":{"a1":0,"a2":"","a3":"","s1":0,"s2":0,"s3":0},"dl":{"a1":0,"a2":"","a3":"","s1":0,"s2":0,"s3":0},"sortOrder":0,"act":{}}</v>
      </c>
      <c r="BB287" t="str">
        <f t="shared" si="118"/>
        <v>"23":{"group":"A","lot":0,"name":"0","team":"0","year":"0","division":"--","bw":"0","idx":"23","sr":"0","br":"0","row":0,"sq":{"a1":0,"a2":"","a3":"","s1":0,"s2":0,"s3":0},"bp":{"a1":0,"a2":"","a3":"","s1":0,"s2":0,"s3":0},"dl":{"a1":0,"a2":"","a3":"","s1":0,"s2":0,"s3":0},"sortOrder":0,"act":{}}</v>
      </c>
    </row>
    <row r="288" spans="5:54" x14ac:dyDescent="0.25">
      <c r="E288" s="163"/>
      <c r="F288" s="126"/>
      <c r="G288" s="126"/>
      <c r="H288" s="126"/>
      <c r="I288" s="126"/>
      <c r="J288" s="126"/>
      <c r="K288" s="126"/>
      <c r="L288" s="126"/>
      <c r="M288" s="126"/>
      <c r="N288" s="126"/>
      <c r="O288" s="126"/>
      <c r="P288" s="126"/>
      <c r="Q288" s="126"/>
      <c r="R288" s="126"/>
      <c r="S288" s="126"/>
      <c r="T288" s="127"/>
      <c r="U288" s="128"/>
      <c r="V288" s="128"/>
      <c r="W288" s="129"/>
      <c r="Z288" s="15" t="str">
        <f t="shared" si="96"/>
        <v>A</v>
      </c>
      <c r="AA288" s="8">
        <f t="shared" si="108"/>
        <v>0</v>
      </c>
      <c r="AB288" s="9">
        <f t="shared" si="111"/>
        <v>0</v>
      </c>
      <c r="AC288" s="8">
        <f t="shared" si="109"/>
        <v>0</v>
      </c>
      <c r="AD288" s="8">
        <f t="shared" si="110"/>
        <v>0</v>
      </c>
      <c r="AE288" s="8" t="str">
        <f t="shared" si="112"/>
        <v>--</v>
      </c>
      <c r="AF288" s="10">
        <f t="shared" si="113"/>
        <v>0</v>
      </c>
      <c r="AG288" s="8">
        <v>23</v>
      </c>
      <c r="AH288" s="9">
        <f t="shared" si="114"/>
        <v>0</v>
      </c>
      <c r="AI288" s="11">
        <f t="shared" si="115"/>
        <v>0</v>
      </c>
      <c r="AJ288" s="6"/>
      <c r="AK288" s="6"/>
      <c r="AL288" s="6"/>
      <c r="AN288" t="str">
        <f t="shared" si="97"/>
        <v>"23":{</v>
      </c>
      <c r="AO288" t="str">
        <f t="shared" si="98"/>
        <v>"group":"A",</v>
      </c>
      <c r="AP288" t="str">
        <f t="shared" si="116"/>
        <v>"lot":0,</v>
      </c>
      <c r="AQ288" t="str">
        <f t="shared" si="99"/>
        <v>"name":"0",</v>
      </c>
      <c r="AR288" t="str">
        <f t="shared" si="100"/>
        <v>"team":"0",</v>
      </c>
      <c r="AS288" t="str">
        <f t="shared" si="101"/>
        <v>"year":"0",</v>
      </c>
      <c r="AT288" t="str">
        <f t="shared" si="102"/>
        <v>"division":"--",</v>
      </c>
      <c r="AU288" t="str">
        <f t="shared" si="103"/>
        <v>"bw":"0",</v>
      </c>
      <c r="AV288" t="str">
        <f t="shared" si="104"/>
        <v>"idx":"23",</v>
      </c>
      <c r="AW288" t="str">
        <f t="shared" si="105"/>
        <v>"sr":"0",</v>
      </c>
      <c r="AX288" t="str">
        <f t="shared" si="106"/>
        <v>"br":"0",</v>
      </c>
      <c r="AY288" t="str">
        <f t="shared" si="107"/>
        <v>"row":0,</v>
      </c>
      <c r="AZ288" t="s">
        <v>67</v>
      </c>
      <c r="BA288" t="str">
        <f t="shared" si="117"/>
        <v>"sq":{"a1":0,"a2":"","a3":"","s1":0,"s2":0,"s3":0},"bp":{"a1":0,"a2":"","a3":"","s1":0,"s2":0,"s3":0},"dl":{"a1":0,"a2":"","a3":"","s1":0,"s2":0,"s3":0},"sortOrder":0,"act":{}}</v>
      </c>
      <c r="BB288" t="str">
        <f t="shared" si="118"/>
        <v>"23":{"group":"A","lot":0,"name":"0","team":"0","year":"0","division":"--","bw":"0","idx":"23","sr":"0","br":"0","row":0,"sq":{"a1":0,"a2":"","a3":"","s1":0,"s2":0,"s3":0},"bp":{"a1":0,"a2":"","a3":"","s1":0,"s2":0,"s3":0},"dl":{"a1":0,"a2":"","a3":"","s1":0,"s2":0,"s3":0},"sortOrder":0,"act":{}}</v>
      </c>
    </row>
    <row r="289" spans="5:54" x14ac:dyDescent="0.25">
      <c r="E289" s="163"/>
      <c r="F289" s="126"/>
      <c r="G289" s="126"/>
      <c r="H289" s="126"/>
      <c r="I289" s="126"/>
      <c r="J289" s="126"/>
      <c r="K289" s="126"/>
      <c r="L289" s="126"/>
      <c r="M289" s="126"/>
      <c r="N289" s="126"/>
      <c r="O289" s="126"/>
      <c r="P289" s="126"/>
      <c r="Q289" s="126"/>
      <c r="R289" s="126"/>
      <c r="S289" s="126"/>
      <c r="T289" s="127"/>
      <c r="U289" s="128"/>
      <c r="V289" s="128"/>
      <c r="W289" s="129"/>
      <c r="Z289" s="15" t="str">
        <f t="shared" si="96"/>
        <v>A</v>
      </c>
      <c r="AA289" s="8">
        <f t="shared" si="108"/>
        <v>0</v>
      </c>
      <c r="AB289" s="9">
        <f t="shared" si="111"/>
        <v>0</v>
      </c>
      <c r="AC289" s="8">
        <f t="shared" si="109"/>
        <v>0</v>
      </c>
      <c r="AD289" s="8">
        <f t="shared" si="110"/>
        <v>0</v>
      </c>
      <c r="AE289" s="8" t="str">
        <f t="shared" si="112"/>
        <v>--</v>
      </c>
      <c r="AF289" s="10">
        <f t="shared" si="113"/>
        <v>0</v>
      </c>
      <c r="AG289" s="8">
        <v>23</v>
      </c>
      <c r="AH289" s="9">
        <f t="shared" si="114"/>
        <v>0</v>
      </c>
      <c r="AI289" s="11">
        <f t="shared" si="115"/>
        <v>0</v>
      </c>
      <c r="AJ289" s="6"/>
      <c r="AK289" s="6"/>
      <c r="AL289" s="6"/>
      <c r="AN289" t="str">
        <f t="shared" si="97"/>
        <v>"23":{</v>
      </c>
      <c r="AO289" t="str">
        <f t="shared" si="98"/>
        <v>"group":"A",</v>
      </c>
      <c r="AP289" t="str">
        <f t="shared" si="116"/>
        <v>"lot":0,</v>
      </c>
      <c r="AQ289" t="str">
        <f t="shared" si="99"/>
        <v>"name":"0",</v>
      </c>
      <c r="AR289" t="str">
        <f t="shared" si="100"/>
        <v>"team":"0",</v>
      </c>
      <c r="AS289" t="str">
        <f t="shared" si="101"/>
        <v>"year":"0",</v>
      </c>
      <c r="AT289" t="str">
        <f t="shared" si="102"/>
        <v>"division":"--",</v>
      </c>
      <c r="AU289" t="str">
        <f t="shared" si="103"/>
        <v>"bw":"0",</v>
      </c>
      <c r="AV289" t="str">
        <f t="shared" si="104"/>
        <v>"idx":"23",</v>
      </c>
      <c r="AW289" t="str">
        <f t="shared" si="105"/>
        <v>"sr":"0",</v>
      </c>
      <c r="AX289" t="str">
        <f t="shared" si="106"/>
        <v>"br":"0",</v>
      </c>
      <c r="AY289" t="str">
        <f t="shared" si="107"/>
        <v>"row":0,</v>
      </c>
      <c r="AZ289" t="s">
        <v>67</v>
      </c>
      <c r="BA289" t="str">
        <f t="shared" si="117"/>
        <v>"sq":{"a1":0,"a2":"","a3":"","s1":0,"s2":0,"s3":0},"bp":{"a1":0,"a2":"","a3":"","s1":0,"s2":0,"s3":0},"dl":{"a1":0,"a2":"","a3":"","s1":0,"s2":0,"s3":0},"sortOrder":0,"act":{}}</v>
      </c>
      <c r="BB289" t="str">
        <f t="shared" si="118"/>
        <v>"23":{"group":"A","lot":0,"name":"0","team":"0","year":"0","division":"--","bw":"0","idx":"23","sr":"0","br":"0","row":0,"sq":{"a1":0,"a2":"","a3":"","s1":0,"s2":0,"s3":0},"bp":{"a1":0,"a2":"","a3":"","s1":0,"s2":0,"s3":0},"dl":{"a1":0,"a2":"","a3":"","s1":0,"s2":0,"s3":0},"sortOrder":0,"act":{}}</v>
      </c>
    </row>
    <row r="290" spans="5:54" x14ac:dyDescent="0.25">
      <c r="E290" s="163"/>
      <c r="F290" s="126"/>
      <c r="G290" s="126"/>
      <c r="H290" s="126"/>
      <c r="I290" s="126"/>
      <c r="J290" s="126"/>
      <c r="K290" s="126"/>
      <c r="L290" s="126"/>
      <c r="M290" s="126"/>
      <c r="N290" s="126"/>
      <c r="O290" s="126"/>
      <c r="P290" s="126"/>
      <c r="Q290" s="126"/>
      <c r="R290" s="126"/>
      <c r="S290" s="126"/>
      <c r="T290" s="127"/>
      <c r="U290" s="128"/>
      <c r="V290" s="128"/>
      <c r="W290" s="129"/>
      <c r="Z290" s="15" t="str">
        <f t="shared" si="96"/>
        <v>A</v>
      </c>
      <c r="AA290" s="8">
        <f t="shared" si="108"/>
        <v>0</v>
      </c>
      <c r="AB290" s="9">
        <f t="shared" si="111"/>
        <v>0</v>
      </c>
      <c r="AC290" s="8">
        <f t="shared" si="109"/>
        <v>0</v>
      </c>
      <c r="AD290" s="8">
        <f t="shared" si="110"/>
        <v>0</v>
      </c>
      <c r="AE290" s="8" t="str">
        <f t="shared" si="112"/>
        <v>--</v>
      </c>
      <c r="AF290" s="10">
        <f t="shared" si="113"/>
        <v>0</v>
      </c>
      <c r="AG290" s="8">
        <v>23</v>
      </c>
      <c r="AH290" s="9">
        <f t="shared" si="114"/>
        <v>0</v>
      </c>
      <c r="AI290" s="11">
        <f t="shared" si="115"/>
        <v>0</v>
      </c>
      <c r="AJ290" s="6"/>
      <c r="AK290" s="6"/>
      <c r="AL290" s="6"/>
      <c r="AN290" t="str">
        <f t="shared" si="97"/>
        <v>"23":{</v>
      </c>
      <c r="AO290" t="str">
        <f t="shared" si="98"/>
        <v>"group":"A",</v>
      </c>
      <c r="AP290" t="str">
        <f t="shared" si="116"/>
        <v>"lot":0,</v>
      </c>
      <c r="AQ290" t="str">
        <f t="shared" si="99"/>
        <v>"name":"0",</v>
      </c>
      <c r="AR290" t="str">
        <f t="shared" si="100"/>
        <v>"team":"0",</v>
      </c>
      <c r="AS290" t="str">
        <f t="shared" si="101"/>
        <v>"year":"0",</v>
      </c>
      <c r="AT290" t="str">
        <f t="shared" si="102"/>
        <v>"division":"--",</v>
      </c>
      <c r="AU290" t="str">
        <f t="shared" si="103"/>
        <v>"bw":"0",</v>
      </c>
      <c r="AV290" t="str">
        <f t="shared" si="104"/>
        <v>"idx":"23",</v>
      </c>
      <c r="AW290" t="str">
        <f t="shared" si="105"/>
        <v>"sr":"0",</v>
      </c>
      <c r="AX290" t="str">
        <f t="shared" si="106"/>
        <v>"br":"0",</v>
      </c>
      <c r="AY290" t="str">
        <f t="shared" si="107"/>
        <v>"row":0,</v>
      </c>
      <c r="AZ290" t="s">
        <v>67</v>
      </c>
      <c r="BA290" t="str">
        <f t="shared" si="117"/>
        <v>"sq":{"a1":0,"a2":"","a3":"","s1":0,"s2":0,"s3":0},"bp":{"a1":0,"a2":"","a3":"","s1":0,"s2":0,"s3":0},"dl":{"a1":0,"a2":"","a3":"","s1":0,"s2":0,"s3":0},"sortOrder":0,"act":{}}</v>
      </c>
      <c r="BB290" t="str">
        <f t="shared" si="118"/>
        <v>"23":{"group":"A","lot":0,"name":"0","team":"0","year":"0","division":"--","bw":"0","idx":"23","sr":"0","br":"0","row":0,"sq":{"a1":0,"a2":"","a3":"","s1":0,"s2":0,"s3":0},"bp":{"a1":0,"a2":"","a3":"","s1":0,"s2":0,"s3":0},"dl":{"a1":0,"a2":"","a3":"","s1":0,"s2":0,"s3":0},"sortOrder":0,"act":{}}</v>
      </c>
    </row>
    <row r="291" spans="5:54" x14ac:dyDescent="0.25">
      <c r="E291" s="163"/>
      <c r="F291" s="126"/>
      <c r="G291" s="126"/>
      <c r="H291" s="126"/>
      <c r="I291" s="126"/>
      <c r="J291" s="126"/>
      <c r="K291" s="126"/>
      <c r="L291" s="126"/>
      <c r="M291" s="126"/>
      <c r="N291" s="126"/>
      <c r="O291" s="126"/>
      <c r="P291" s="126"/>
      <c r="Q291" s="126"/>
      <c r="R291" s="126"/>
      <c r="S291" s="126"/>
      <c r="T291" s="127"/>
      <c r="U291" s="128"/>
      <c r="V291" s="128"/>
      <c r="W291" s="129"/>
      <c r="Z291" s="15" t="str">
        <f t="shared" si="96"/>
        <v>A</v>
      </c>
      <c r="AA291" s="8">
        <f t="shared" si="108"/>
        <v>0</v>
      </c>
      <c r="AB291" s="9">
        <f t="shared" si="111"/>
        <v>0</v>
      </c>
      <c r="AC291" s="8">
        <f t="shared" si="109"/>
        <v>0</v>
      </c>
      <c r="AD291" s="8">
        <f t="shared" si="110"/>
        <v>0</v>
      </c>
      <c r="AE291" s="8" t="str">
        <f t="shared" si="112"/>
        <v>--</v>
      </c>
      <c r="AF291" s="10">
        <f t="shared" si="113"/>
        <v>0</v>
      </c>
      <c r="AG291" s="8">
        <v>23</v>
      </c>
      <c r="AH291" s="9">
        <f t="shared" si="114"/>
        <v>0</v>
      </c>
      <c r="AI291" s="11">
        <f t="shared" si="115"/>
        <v>0</v>
      </c>
      <c r="AJ291" s="6"/>
      <c r="AK291" s="6"/>
      <c r="AL291" s="6"/>
      <c r="AN291" t="str">
        <f t="shared" si="97"/>
        <v>"23":{</v>
      </c>
      <c r="AO291" t="str">
        <f t="shared" si="98"/>
        <v>"group":"A",</v>
      </c>
      <c r="AP291" t="str">
        <f t="shared" si="116"/>
        <v>"lot":0,</v>
      </c>
      <c r="AQ291" t="str">
        <f t="shared" si="99"/>
        <v>"name":"0",</v>
      </c>
      <c r="AR291" t="str">
        <f t="shared" si="100"/>
        <v>"team":"0",</v>
      </c>
      <c r="AS291" t="str">
        <f t="shared" si="101"/>
        <v>"year":"0",</v>
      </c>
      <c r="AT291" t="str">
        <f t="shared" si="102"/>
        <v>"division":"--",</v>
      </c>
      <c r="AU291" t="str">
        <f t="shared" si="103"/>
        <v>"bw":"0",</v>
      </c>
      <c r="AV291" t="str">
        <f t="shared" si="104"/>
        <v>"idx":"23",</v>
      </c>
      <c r="AW291" t="str">
        <f t="shared" si="105"/>
        <v>"sr":"0",</v>
      </c>
      <c r="AX291" t="str">
        <f t="shared" si="106"/>
        <v>"br":"0",</v>
      </c>
      <c r="AY291" t="str">
        <f t="shared" si="107"/>
        <v>"row":0,</v>
      </c>
      <c r="AZ291" t="s">
        <v>67</v>
      </c>
      <c r="BA291" t="str">
        <f t="shared" si="117"/>
        <v>"sq":{"a1":0,"a2":"","a3":"","s1":0,"s2":0,"s3":0},"bp":{"a1":0,"a2":"","a3":"","s1":0,"s2":0,"s3":0},"dl":{"a1":0,"a2":"","a3":"","s1":0,"s2":0,"s3":0},"sortOrder":0,"act":{}}</v>
      </c>
      <c r="BB291" t="str">
        <f t="shared" si="118"/>
        <v>"23":{"group":"A","lot":0,"name":"0","team":"0","year":"0","division":"--","bw":"0","idx":"23","sr":"0","br":"0","row":0,"sq":{"a1":0,"a2":"","a3":"","s1":0,"s2":0,"s3":0},"bp":{"a1":0,"a2":"","a3":"","s1":0,"s2":0,"s3":0},"dl":{"a1":0,"a2":"","a3":"","s1":0,"s2":0,"s3":0},"sortOrder":0,"act":{}}</v>
      </c>
    </row>
    <row r="292" spans="5:54" x14ac:dyDescent="0.25">
      <c r="E292" s="163"/>
      <c r="F292" s="126"/>
      <c r="G292" s="126"/>
      <c r="H292" s="126"/>
      <c r="I292" s="126"/>
      <c r="J292" s="126"/>
      <c r="K292" s="126"/>
      <c r="L292" s="126"/>
      <c r="M292" s="126"/>
      <c r="N292" s="126"/>
      <c r="O292" s="126"/>
      <c r="P292" s="126"/>
      <c r="Q292" s="126"/>
      <c r="R292" s="126"/>
      <c r="S292" s="126"/>
      <c r="T292" s="127"/>
      <c r="U292" s="128"/>
      <c r="V292" s="128"/>
      <c r="W292" s="129"/>
      <c r="Z292" s="15" t="str">
        <f t="shared" si="96"/>
        <v>A</v>
      </c>
      <c r="AA292" s="8">
        <f t="shared" si="108"/>
        <v>0</v>
      </c>
      <c r="AB292" s="9">
        <f t="shared" si="111"/>
        <v>0</v>
      </c>
      <c r="AC292" s="8">
        <f t="shared" si="109"/>
        <v>0</v>
      </c>
      <c r="AD292" s="8">
        <f t="shared" si="110"/>
        <v>0</v>
      </c>
      <c r="AE292" s="8" t="str">
        <f t="shared" si="112"/>
        <v>--</v>
      </c>
      <c r="AF292" s="10">
        <f t="shared" si="113"/>
        <v>0</v>
      </c>
      <c r="AG292" s="8">
        <v>23</v>
      </c>
      <c r="AH292" s="9">
        <f t="shared" si="114"/>
        <v>0</v>
      </c>
      <c r="AI292" s="11">
        <f t="shared" si="115"/>
        <v>0</v>
      </c>
      <c r="AJ292" s="6"/>
      <c r="AK292" s="6"/>
      <c r="AL292" s="6"/>
      <c r="AN292" t="str">
        <f t="shared" si="97"/>
        <v>"23":{</v>
      </c>
      <c r="AO292" t="str">
        <f t="shared" si="98"/>
        <v>"group":"A",</v>
      </c>
      <c r="AP292" t="str">
        <f t="shared" si="116"/>
        <v>"lot":0,</v>
      </c>
      <c r="AQ292" t="str">
        <f t="shared" si="99"/>
        <v>"name":"0",</v>
      </c>
      <c r="AR292" t="str">
        <f t="shared" si="100"/>
        <v>"team":"0",</v>
      </c>
      <c r="AS292" t="str">
        <f t="shared" si="101"/>
        <v>"year":"0",</v>
      </c>
      <c r="AT292" t="str">
        <f t="shared" si="102"/>
        <v>"division":"--",</v>
      </c>
      <c r="AU292" t="str">
        <f t="shared" si="103"/>
        <v>"bw":"0",</v>
      </c>
      <c r="AV292" t="str">
        <f t="shared" si="104"/>
        <v>"idx":"23",</v>
      </c>
      <c r="AW292" t="str">
        <f t="shared" si="105"/>
        <v>"sr":"0",</v>
      </c>
      <c r="AX292" t="str">
        <f t="shared" si="106"/>
        <v>"br":"0",</v>
      </c>
      <c r="AY292" t="str">
        <f t="shared" si="107"/>
        <v>"row":0,</v>
      </c>
      <c r="AZ292" t="s">
        <v>67</v>
      </c>
      <c r="BA292" t="str">
        <f t="shared" si="117"/>
        <v>"sq":{"a1":0,"a2":"","a3":"","s1":0,"s2":0,"s3":0},"bp":{"a1":0,"a2":"","a3":"","s1":0,"s2":0,"s3":0},"dl":{"a1":0,"a2":"","a3":"","s1":0,"s2":0,"s3":0},"sortOrder":0,"act":{}}</v>
      </c>
      <c r="BB292" t="str">
        <f t="shared" si="118"/>
        <v>"23":{"group":"A","lot":0,"name":"0","team":"0","year":"0","division":"--","bw":"0","idx":"23","sr":"0","br":"0","row":0,"sq":{"a1":0,"a2":"","a3":"","s1":0,"s2":0,"s3":0},"bp":{"a1":0,"a2":"","a3":"","s1":0,"s2":0,"s3":0},"dl":{"a1":0,"a2":"","a3":"","s1":0,"s2":0,"s3":0},"sortOrder":0,"act":{}}</v>
      </c>
    </row>
    <row r="293" spans="5:54" x14ac:dyDescent="0.25">
      <c r="E293" s="163"/>
      <c r="F293" s="126"/>
      <c r="G293" s="126"/>
      <c r="H293" s="126"/>
      <c r="I293" s="126"/>
      <c r="J293" s="126"/>
      <c r="K293" s="126"/>
      <c r="L293" s="126"/>
      <c r="M293" s="126"/>
      <c r="N293" s="126"/>
      <c r="O293" s="126"/>
      <c r="P293" s="126"/>
      <c r="Q293" s="126"/>
      <c r="R293" s="126"/>
      <c r="S293" s="126"/>
      <c r="T293" s="127"/>
      <c r="U293" s="128"/>
      <c r="V293" s="128"/>
      <c r="W293" s="129"/>
      <c r="Z293" s="15" t="str">
        <f t="shared" si="96"/>
        <v>A</v>
      </c>
      <c r="AA293" s="8">
        <f t="shared" si="108"/>
        <v>0</v>
      </c>
      <c r="AB293" s="9">
        <f t="shared" si="111"/>
        <v>0</v>
      </c>
      <c r="AC293" s="8">
        <f t="shared" si="109"/>
        <v>0</v>
      </c>
      <c r="AD293" s="8">
        <f t="shared" si="110"/>
        <v>0</v>
      </c>
      <c r="AE293" s="8" t="str">
        <f t="shared" si="112"/>
        <v>--</v>
      </c>
      <c r="AF293" s="10">
        <f t="shared" si="113"/>
        <v>0</v>
      </c>
      <c r="AG293" s="8">
        <v>23</v>
      </c>
      <c r="AH293" s="9">
        <f t="shared" si="114"/>
        <v>0</v>
      </c>
      <c r="AI293" s="11">
        <f t="shared" si="115"/>
        <v>0</v>
      </c>
      <c r="AJ293" s="6"/>
      <c r="AK293" s="6"/>
      <c r="AL293" s="6"/>
      <c r="AN293" t="str">
        <f t="shared" si="97"/>
        <v>"23":{</v>
      </c>
      <c r="AO293" t="str">
        <f t="shared" si="98"/>
        <v>"group":"A",</v>
      </c>
      <c r="AP293" t="str">
        <f t="shared" si="116"/>
        <v>"lot":0,</v>
      </c>
      <c r="AQ293" t="str">
        <f t="shared" si="99"/>
        <v>"name":"0",</v>
      </c>
      <c r="AR293" t="str">
        <f t="shared" si="100"/>
        <v>"team":"0",</v>
      </c>
      <c r="AS293" t="str">
        <f t="shared" si="101"/>
        <v>"year":"0",</v>
      </c>
      <c r="AT293" t="str">
        <f t="shared" si="102"/>
        <v>"division":"--",</v>
      </c>
      <c r="AU293" t="str">
        <f t="shared" si="103"/>
        <v>"bw":"0",</v>
      </c>
      <c r="AV293" t="str">
        <f t="shared" si="104"/>
        <v>"idx":"23",</v>
      </c>
      <c r="AW293" t="str">
        <f t="shared" si="105"/>
        <v>"sr":"0",</v>
      </c>
      <c r="AX293" t="str">
        <f t="shared" si="106"/>
        <v>"br":"0",</v>
      </c>
      <c r="AY293" t="str">
        <f t="shared" si="107"/>
        <v>"row":0,</v>
      </c>
      <c r="AZ293" t="s">
        <v>67</v>
      </c>
      <c r="BA293" t="str">
        <f t="shared" si="117"/>
        <v>"sq":{"a1":0,"a2":"","a3":"","s1":0,"s2":0,"s3":0},"bp":{"a1":0,"a2":"","a3":"","s1":0,"s2":0,"s3":0},"dl":{"a1":0,"a2":"","a3":"","s1":0,"s2":0,"s3":0},"sortOrder":0,"act":{}}</v>
      </c>
      <c r="BB293" t="str">
        <f t="shared" si="118"/>
        <v>"23":{"group":"A","lot":0,"name":"0","team":"0","year":"0","division":"--","bw":"0","idx":"23","sr":"0","br":"0","row":0,"sq":{"a1":0,"a2":"","a3":"","s1":0,"s2":0,"s3":0},"bp":{"a1":0,"a2":"","a3":"","s1":0,"s2":0,"s3":0},"dl":{"a1":0,"a2":"","a3":"","s1":0,"s2":0,"s3":0},"sortOrder":0,"act":{}}</v>
      </c>
    </row>
    <row r="294" spans="5:54" x14ac:dyDescent="0.25">
      <c r="E294" s="163"/>
      <c r="F294" s="126"/>
      <c r="G294" s="126"/>
      <c r="H294" s="126"/>
      <c r="I294" s="126"/>
      <c r="J294" s="126"/>
      <c r="K294" s="126"/>
      <c r="L294" s="126"/>
      <c r="M294" s="126"/>
      <c r="N294" s="126"/>
      <c r="O294" s="126"/>
      <c r="P294" s="126"/>
      <c r="Q294" s="126"/>
      <c r="R294" s="126"/>
      <c r="S294" s="126"/>
      <c r="T294" s="127"/>
      <c r="U294" s="128"/>
      <c r="V294" s="128"/>
      <c r="W294" s="129"/>
      <c r="Z294" s="15" t="str">
        <f t="shared" si="96"/>
        <v>A</v>
      </c>
      <c r="AA294" s="8">
        <f t="shared" si="108"/>
        <v>0</v>
      </c>
      <c r="AB294" s="9">
        <f t="shared" si="111"/>
        <v>0</v>
      </c>
      <c r="AC294" s="8">
        <f t="shared" si="109"/>
        <v>0</v>
      </c>
      <c r="AD294" s="8">
        <f t="shared" si="110"/>
        <v>0</v>
      </c>
      <c r="AE294" s="8" t="str">
        <f t="shared" si="112"/>
        <v>--</v>
      </c>
      <c r="AF294" s="10">
        <f t="shared" si="113"/>
        <v>0</v>
      </c>
      <c r="AG294" s="8">
        <v>23</v>
      </c>
      <c r="AH294" s="9">
        <f t="shared" si="114"/>
        <v>0</v>
      </c>
      <c r="AI294" s="11">
        <f t="shared" si="115"/>
        <v>0</v>
      </c>
      <c r="AJ294" s="6"/>
      <c r="AK294" s="6"/>
      <c r="AL294" s="6"/>
      <c r="AN294" t="str">
        <f t="shared" si="97"/>
        <v>"23":{</v>
      </c>
      <c r="AO294" t="str">
        <f t="shared" si="98"/>
        <v>"group":"A",</v>
      </c>
      <c r="AP294" t="str">
        <f t="shared" si="116"/>
        <v>"lot":0,</v>
      </c>
      <c r="AQ294" t="str">
        <f t="shared" si="99"/>
        <v>"name":"0",</v>
      </c>
      <c r="AR294" t="str">
        <f t="shared" si="100"/>
        <v>"team":"0",</v>
      </c>
      <c r="AS294" t="str">
        <f t="shared" si="101"/>
        <v>"year":"0",</v>
      </c>
      <c r="AT294" t="str">
        <f t="shared" si="102"/>
        <v>"division":"--",</v>
      </c>
      <c r="AU294" t="str">
        <f t="shared" si="103"/>
        <v>"bw":"0",</v>
      </c>
      <c r="AV294" t="str">
        <f t="shared" si="104"/>
        <v>"idx":"23",</v>
      </c>
      <c r="AW294" t="str">
        <f t="shared" si="105"/>
        <v>"sr":"0",</v>
      </c>
      <c r="AX294" t="str">
        <f t="shared" si="106"/>
        <v>"br":"0",</v>
      </c>
      <c r="AY294" t="str">
        <f t="shared" si="107"/>
        <v>"row":0,</v>
      </c>
      <c r="AZ294" t="s">
        <v>67</v>
      </c>
      <c r="BA294" t="str">
        <f t="shared" si="117"/>
        <v>"sq":{"a1":0,"a2":"","a3":"","s1":0,"s2":0,"s3":0},"bp":{"a1":0,"a2":"","a3":"","s1":0,"s2":0,"s3":0},"dl":{"a1":0,"a2":"","a3":"","s1":0,"s2":0,"s3":0},"sortOrder":0,"act":{}}</v>
      </c>
      <c r="BB294" t="str">
        <f t="shared" si="118"/>
        <v>"23":{"group":"A","lot":0,"name":"0","team":"0","year":"0","division":"--","bw":"0","idx":"23","sr":"0","br":"0","row":0,"sq":{"a1":0,"a2":"","a3":"","s1":0,"s2":0,"s3":0},"bp":{"a1":0,"a2":"","a3":"","s1":0,"s2":0,"s3":0},"dl":{"a1":0,"a2":"","a3":"","s1":0,"s2":0,"s3":0},"sortOrder":0,"act":{}}</v>
      </c>
    </row>
    <row r="295" spans="5:54" x14ac:dyDescent="0.25">
      <c r="E295" s="163"/>
      <c r="F295" s="126"/>
      <c r="G295" s="126"/>
      <c r="H295" s="126"/>
      <c r="I295" s="126"/>
      <c r="J295" s="126"/>
      <c r="K295" s="126"/>
      <c r="L295" s="126"/>
      <c r="M295" s="126"/>
      <c r="N295" s="126"/>
      <c r="O295" s="126"/>
      <c r="P295" s="126"/>
      <c r="Q295" s="126"/>
      <c r="R295" s="126"/>
      <c r="S295" s="126"/>
      <c r="T295" s="127"/>
      <c r="U295" s="128"/>
      <c r="V295" s="128"/>
      <c r="W295" s="129"/>
      <c r="Z295" s="15" t="str">
        <f t="shared" si="96"/>
        <v>A</v>
      </c>
      <c r="AA295" s="8">
        <f t="shared" si="108"/>
        <v>0</v>
      </c>
      <c r="AB295" s="9">
        <f t="shared" si="111"/>
        <v>0</v>
      </c>
      <c r="AC295" s="8">
        <f t="shared" si="109"/>
        <v>0</v>
      </c>
      <c r="AD295" s="8">
        <f t="shared" si="110"/>
        <v>0</v>
      </c>
      <c r="AE295" s="8" t="str">
        <f t="shared" si="112"/>
        <v>--</v>
      </c>
      <c r="AF295" s="10">
        <f t="shared" si="113"/>
        <v>0</v>
      </c>
      <c r="AG295" s="8">
        <v>23</v>
      </c>
      <c r="AH295" s="9">
        <f t="shared" si="114"/>
        <v>0</v>
      </c>
      <c r="AI295" s="11">
        <f t="shared" si="115"/>
        <v>0</v>
      </c>
      <c r="AJ295" s="6"/>
      <c r="AK295" s="6"/>
      <c r="AL295" s="6"/>
      <c r="AN295" t="str">
        <f t="shared" si="97"/>
        <v>"23":{</v>
      </c>
      <c r="AO295" t="str">
        <f t="shared" si="98"/>
        <v>"group":"A",</v>
      </c>
      <c r="AP295" t="str">
        <f t="shared" si="116"/>
        <v>"lot":0,</v>
      </c>
      <c r="AQ295" t="str">
        <f t="shared" si="99"/>
        <v>"name":"0",</v>
      </c>
      <c r="AR295" t="str">
        <f t="shared" si="100"/>
        <v>"team":"0",</v>
      </c>
      <c r="AS295" t="str">
        <f t="shared" si="101"/>
        <v>"year":"0",</v>
      </c>
      <c r="AT295" t="str">
        <f t="shared" si="102"/>
        <v>"division":"--",</v>
      </c>
      <c r="AU295" t="str">
        <f t="shared" si="103"/>
        <v>"bw":"0",</v>
      </c>
      <c r="AV295" t="str">
        <f t="shared" si="104"/>
        <v>"idx":"23",</v>
      </c>
      <c r="AW295" t="str">
        <f t="shared" si="105"/>
        <v>"sr":"0",</v>
      </c>
      <c r="AX295" t="str">
        <f t="shared" si="106"/>
        <v>"br":"0",</v>
      </c>
      <c r="AY295" t="str">
        <f t="shared" si="107"/>
        <v>"row":0,</v>
      </c>
      <c r="AZ295" t="s">
        <v>67</v>
      </c>
      <c r="BA295" t="str">
        <f t="shared" si="117"/>
        <v>"sq":{"a1":0,"a2":"","a3":"","s1":0,"s2":0,"s3":0},"bp":{"a1":0,"a2":"","a3":"","s1":0,"s2":0,"s3":0},"dl":{"a1":0,"a2":"","a3":"","s1":0,"s2":0,"s3":0},"sortOrder":0,"act":{}}</v>
      </c>
      <c r="BB295" t="str">
        <f t="shared" si="118"/>
        <v>"23":{"group":"A","lot":0,"name":"0","team":"0","year":"0","division":"--","bw":"0","idx":"23","sr":"0","br":"0","row":0,"sq":{"a1":0,"a2":"","a3":"","s1":0,"s2":0,"s3":0},"bp":{"a1":0,"a2":"","a3":"","s1":0,"s2":0,"s3":0},"dl":{"a1":0,"a2":"","a3":"","s1":0,"s2":0,"s3":0},"sortOrder":0,"act":{}}</v>
      </c>
    </row>
    <row r="296" spans="5:54" x14ac:dyDescent="0.25">
      <c r="E296" s="163"/>
      <c r="F296" s="126"/>
      <c r="G296" s="126"/>
      <c r="H296" s="126"/>
      <c r="I296" s="126"/>
      <c r="J296" s="126"/>
      <c r="K296" s="126"/>
      <c r="L296" s="126"/>
      <c r="M296" s="126"/>
      <c r="N296" s="126"/>
      <c r="O296" s="126"/>
      <c r="P296" s="126"/>
      <c r="Q296" s="126"/>
      <c r="R296" s="126"/>
      <c r="S296" s="126"/>
      <c r="T296" s="127"/>
      <c r="U296" s="128"/>
      <c r="V296" s="128"/>
      <c r="W296" s="129"/>
      <c r="Z296" s="15" t="str">
        <f t="shared" si="96"/>
        <v>A</v>
      </c>
      <c r="AA296" s="8">
        <f t="shared" si="108"/>
        <v>0</v>
      </c>
      <c r="AB296" s="9">
        <f t="shared" si="111"/>
        <v>0</v>
      </c>
      <c r="AC296" s="8">
        <f t="shared" si="109"/>
        <v>0</v>
      </c>
      <c r="AD296" s="8">
        <f t="shared" si="110"/>
        <v>0</v>
      </c>
      <c r="AE296" s="8" t="str">
        <f t="shared" si="112"/>
        <v>--</v>
      </c>
      <c r="AF296" s="10">
        <f t="shared" si="113"/>
        <v>0</v>
      </c>
      <c r="AG296" s="8">
        <v>23</v>
      </c>
      <c r="AH296" s="9">
        <f t="shared" si="114"/>
        <v>0</v>
      </c>
      <c r="AI296" s="11">
        <f t="shared" si="115"/>
        <v>0</v>
      </c>
      <c r="AJ296" s="6"/>
      <c r="AK296" s="6"/>
      <c r="AL296" s="6"/>
      <c r="AN296" t="str">
        <f t="shared" si="97"/>
        <v>"23":{</v>
      </c>
      <c r="AO296" t="str">
        <f t="shared" si="98"/>
        <v>"group":"A",</v>
      </c>
      <c r="AP296" t="str">
        <f t="shared" si="116"/>
        <v>"lot":0,</v>
      </c>
      <c r="AQ296" t="str">
        <f t="shared" si="99"/>
        <v>"name":"0",</v>
      </c>
      <c r="AR296" t="str">
        <f t="shared" si="100"/>
        <v>"team":"0",</v>
      </c>
      <c r="AS296" t="str">
        <f t="shared" si="101"/>
        <v>"year":"0",</v>
      </c>
      <c r="AT296" t="str">
        <f t="shared" si="102"/>
        <v>"division":"--",</v>
      </c>
      <c r="AU296" t="str">
        <f t="shared" si="103"/>
        <v>"bw":"0",</v>
      </c>
      <c r="AV296" t="str">
        <f t="shared" si="104"/>
        <v>"idx":"23",</v>
      </c>
      <c r="AW296" t="str">
        <f t="shared" si="105"/>
        <v>"sr":"0",</v>
      </c>
      <c r="AX296" t="str">
        <f t="shared" si="106"/>
        <v>"br":"0",</v>
      </c>
      <c r="AY296" t="str">
        <f t="shared" si="107"/>
        <v>"row":0,</v>
      </c>
      <c r="AZ296" t="s">
        <v>67</v>
      </c>
      <c r="BA296" t="str">
        <f t="shared" si="117"/>
        <v>"sq":{"a1":0,"a2":"","a3":"","s1":0,"s2":0,"s3":0},"bp":{"a1":0,"a2":"","a3":"","s1":0,"s2":0,"s3":0},"dl":{"a1":0,"a2":"","a3":"","s1":0,"s2":0,"s3":0},"sortOrder":0,"act":{}}</v>
      </c>
      <c r="BB296" t="str">
        <f t="shared" si="118"/>
        <v>"23":{"group":"A","lot":0,"name":"0","team":"0","year":"0","division":"--","bw":"0","idx":"23","sr":"0","br":"0","row":0,"sq":{"a1":0,"a2":"","a3":"","s1":0,"s2":0,"s3":0},"bp":{"a1":0,"a2":"","a3":"","s1":0,"s2":0,"s3":0},"dl":{"a1":0,"a2":"","a3":"","s1":0,"s2":0,"s3":0},"sortOrder":0,"act":{}}</v>
      </c>
    </row>
    <row r="297" spans="5:54" x14ac:dyDescent="0.25">
      <c r="E297" s="163"/>
      <c r="F297" s="126"/>
      <c r="G297" s="126"/>
      <c r="H297" s="126"/>
      <c r="I297" s="126"/>
      <c r="J297" s="126"/>
      <c r="K297" s="126"/>
      <c r="L297" s="126"/>
      <c r="M297" s="126"/>
      <c r="N297" s="126"/>
      <c r="O297" s="126"/>
      <c r="P297" s="126"/>
      <c r="Q297" s="126"/>
      <c r="R297" s="126"/>
      <c r="S297" s="126"/>
      <c r="T297" s="127"/>
      <c r="U297" s="128"/>
      <c r="V297" s="128"/>
      <c r="W297" s="129"/>
      <c r="Z297" s="15" t="str">
        <f t="shared" si="96"/>
        <v>A</v>
      </c>
      <c r="AA297" s="8">
        <f t="shared" si="108"/>
        <v>0</v>
      </c>
      <c r="AB297" s="9">
        <f t="shared" si="111"/>
        <v>0</v>
      </c>
      <c r="AC297" s="8">
        <f t="shared" si="109"/>
        <v>0</v>
      </c>
      <c r="AD297" s="8">
        <f t="shared" si="110"/>
        <v>0</v>
      </c>
      <c r="AE297" s="8" t="str">
        <f t="shared" si="112"/>
        <v>--</v>
      </c>
      <c r="AF297" s="10">
        <f t="shared" si="113"/>
        <v>0</v>
      </c>
      <c r="AG297" s="8">
        <v>23</v>
      </c>
      <c r="AH297" s="9">
        <f t="shared" si="114"/>
        <v>0</v>
      </c>
      <c r="AI297" s="11">
        <f t="shared" si="115"/>
        <v>0</v>
      </c>
      <c r="AJ297" s="6"/>
      <c r="AK297" s="6"/>
      <c r="AL297" s="6"/>
      <c r="AN297" t="str">
        <f t="shared" si="97"/>
        <v>"23":{</v>
      </c>
      <c r="AO297" t="str">
        <f t="shared" si="98"/>
        <v>"group":"A",</v>
      </c>
      <c r="AP297" t="str">
        <f t="shared" si="116"/>
        <v>"lot":0,</v>
      </c>
      <c r="AQ297" t="str">
        <f t="shared" si="99"/>
        <v>"name":"0",</v>
      </c>
      <c r="AR297" t="str">
        <f t="shared" si="100"/>
        <v>"team":"0",</v>
      </c>
      <c r="AS297" t="str">
        <f t="shared" si="101"/>
        <v>"year":"0",</v>
      </c>
      <c r="AT297" t="str">
        <f t="shared" si="102"/>
        <v>"division":"--",</v>
      </c>
      <c r="AU297" t="str">
        <f t="shared" si="103"/>
        <v>"bw":"0",</v>
      </c>
      <c r="AV297" t="str">
        <f t="shared" si="104"/>
        <v>"idx":"23",</v>
      </c>
      <c r="AW297" t="str">
        <f t="shared" si="105"/>
        <v>"sr":"0",</v>
      </c>
      <c r="AX297" t="str">
        <f t="shared" si="106"/>
        <v>"br":"0",</v>
      </c>
      <c r="AY297" t="str">
        <f t="shared" si="107"/>
        <v>"row":0,</v>
      </c>
      <c r="AZ297" t="s">
        <v>67</v>
      </c>
      <c r="BA297" t="str">
        <f t="shared" si="117"/>
        <v>"sq":{"a1":0,"a2":"","a3":"","s1":0,"s2":0,"s3":0},"bp":{"a1":0,"a2":"","a3":"","s1":0,"s2":0,"s3":0},"dl":{"a1":0,"a2":"","a3":"","s1":0,"s2":0,"s3":0},"sortOrder":0,"act":{}}</v>
      </c>
      <c r="BB297" t="str">
        <f t="shared" si="118"/>
        <v>"23":{"group":"A","lot":0,"name":"0","team":"0","year":"0","division":"--","bw":"0","idx":"23","sr":"0","br":"0","row":0,"sq":{"a1":0,"a2":"","a3":"","s1":0,"s2":0,"s3":0},"bp":{"a1":0,"a2":"","a3":"","s1":0,"s2":0,"s3":0},"dl":{"a1":0,"a2":"","a3":"","s1":0,"s2":0,"s3":0},"sortOrder":0,"act":{}}</v>
      </c>
    </row>
    <row r="298" spans="5:54" x14ac:dyDescent="0.25">
      <c r="E298" s="163"/>
      <c r="F298" s="126"/>
      <c r="G298" s="126"/>
      <c r="H298" s="126"/>
      <c r="I298" s="126"/>
      <c r="J298" s="126"/>
      <c r="K298" s="126"/>
      <c r="L298" s="126"/>
      <c r="M298" s="126"/>
      <c r="N298" s="126"/>
      <c r="O298" s="126"/>
      <c r="P298" s="126"/>
      <c r="Q298" s="126"/>
      <c r="R298" s="126"/>
      <c r="S298" s="126"/>
      <c r="T298" s="127"/>
      <c r="U298" s="128"/>
      <c r="V298" s="128"/>
      <c r="W298" s="129"/>
      <c r="Z298" s="15" t="str">
        <f t="shared" si="96"/>
        <v>A</v>
      </c>
      <c r="AA298" s="8">
        <f t="shared" si="108"/>
        <v>0</v>
      </c>
      <c r="AB298" s="9">
        <f t="shared" si="111"/>
        <v>0</v>
      </c>
      <c r="AC298" s="8">
        <f t="shared" si="109"/>
        <v>0</v>
      </c>
      <c r="AD298" s="8">
        <f t="shared" si="110"/>
        <v>0</v>
      </c>
      <c r="AE298" s="8" t="str">
        <f t="shared" si="112"/>
        <v>--</v>
      </c>
      <c r="AF298" s="10">
        <f t="shared" si="113"/>
        <v>0</v>
      </c>
      <c r="AG298" s="8">
        <v>23</v>
      </c>
      <c r="AH298" s="9">
        <f t="shared" si="114"/>
        <v>0</v>
      </c>
      <c r="AI298" s="11">
        <f t="shared" si="115"/>
        <v>0</v>
      </c>
      <c r="AJ298" s="6"/>
      <c r="AK298" s="6"/>
      <c r="AL298" s="6"/>
      <c r="AN298" t="str">
        <f t="shared" si="97"/>
        <v>"23":{</v>
      </c>
      <c r="AO298" t="str">
        <f t="shared" si="98"/>
        <v>"group":"A",</v>
      </c>
      <c r="AP298" t="str">
        <f t="shared" si="116"/>
        <v>"lot":0,</v>
      </c>
      <c r="AQ298" t="str">
        <f t="shared" si="99"/>
        <v>"name":"0",</v>
      </c>
      <c r="AR298" t="str">
        <f t="shared" si="100"/>
        <v>"team":"0",</v>
      </c>
      <c r="AS298" t="str">
        <f t="shared" si="101"/>
        <v>"year":"0",</v>
      </c>
      <c r="AT298" t="str">
        <f t="shared" si="102"/>
        <v>"division":"--",</v>
      </c>
      <c r="AU298" t="str">
        <f t="shared" si="103"/>
        <v>"bw":"0",</v>
      </c>
      <c r="AV298" t="str">
        <f t="shared" si="104"/>
        <v>"idx":"23",</v>
      </c>
      <c r="AW298" t="str">
        <f t="shared" si="105"/>
        <v>"sr":"0",</v>
      </c>
      <c r="AX298" t="str">
        <f t="shared" si="106"/>
        <v>"br":"0",</v>
      </c>
      <c r="AY298" t="str">
        <f t="shared" si="107"/>
        <v>"row":0,</v>
      </c>
      <c r="AZ298" t="s">
        <v>67</v>
      </c>
      <c r="BA298" t="str">
        <f t="shared" si="117"/>
        <v>"sq":{"a1":0,"a2":"","a3":"","s1":0,"s2":0,"s3":0},"bp":{"a1":0,"a2":"","a3":"","s1":0,"s2":0,"s3":0},"dl":{"a1":0,"a2":"","a3":"","s1":0,"s2":0,"s3":0},"sortOrder":0,"act":{}}</v>
      </c>
      <c r="BB298" t="str">
        <f t="shared" si="118"/>
        <v>"23":{"group":"A","lot":0,"name":"0","team":"0","year":"0","division":"--","bw":"0","idx":"23","sr":"0","br":"0","row":0,"sq":{"a1":0,"a2":"","a3":"","s1":0,"s2":0,"s3":0},"bp":{"a1":0,"a2":"","a3":"","s1":0,"s2":0,"s3":0},"dl":{"a1":0,"a2":"","a3":"","s1":0,"s2":0,"s3":0},"sortOrder":0,"act":{}}</v>
      </c>
    </row>
    <row r="299" spans="5:54" ht="15.75" thickBot="1" x14ac:dyDescent="0.3">
      <c r="E299" s="164"/>
      <c r="F299" s="130"/>
      <c r="G299" s="130"/>
      <c r="H299" s="130"/>
      <c r="I299" s="130"/>
      <c r="J299" s="130"/>
      <c r="K299" s="130"/>
      <c r="L299" s="130"/>
      <c r="M299" s="130"/>
      <c r="N299" s="130"/>
      <c r="O299" s="130"/>
      <c r="P299" s="130"/>
      <c r="Q299" s="130"/>
      <c r="R299" s="130"/>
      <c r="S299" s="130"/>
      <c r="T299" s="131"/>
      <c r="U299" s="132"/>
      <c r="V299" s="132"/>
      <c r="W299" s="133"/>
      <c r="Z299" s="15" t="str">
        <f t="shared" si="96"/>
        <v>A</v>
      </c>
      <c r="AA299" s="8">
        <f t="shared" si="108"/>
        <v>0</v>
      </c>
      <c r="AB299" s="9">
        <f t="shared" si="111"/>
        <v>0</v>
      </c>
      <c r="AC299" s="8">
        <f t="shared" si="109"/>
        <v>0</v>
      </c>
      <c r="AD299" s="8">
        <f t="shared" si="110"/>
        <v>0</v>
      </c>
      <c r="AE299" s="8" t="str">
        <f t="shared" si="112"/>
        <v>--</v>
      </c>
      <c r="AF299" s="10">
        <f t="shared" si="113"/>
        <v>0</v>
      </c>
      <c r="AG299" s="8">
        <v>23</v>
      </c>
      <c r="AH299" s="9">
        <f t="shared" si="114"/>
        <v>0</v>
      </c>
      <c r="AI299" s="11">
        <f t="shared" si="115"/>
        <v>0</v>
      </c>
      <c r="AJ299" s="6"/>
      <c r="AK299" s="6"/>
      <c r="AL299" s="6"/>
      <c r="AN299" t="str">
        <f t="shared" si="97"/>
        <v>"23":{</v>
      </c>
      <c r="AO299" t="str">
        <f t="shared" si="98"/>
        <v>"group":"A",</v>
      </c>
      <c r="AP299" t="str">
        <f t="shared" si="116"/>
        <v>"lot":0,</v>
      </c>
      <c r="AQ299" t="str">
        <f t="shared" si="99"/>
        <v>"name":"0",</v>
      </c>
      <c r="AR299" t="str">
        <f t="shared" si="100"/>
        <v>"team":"0",</v>
      </c>
      <c r="AS299" t="str">
        <f t="shared" si="101"/>
        <v>"year":"0",</v>
      </c>
      <c r="AT299" t="str">
        <f t="shared" si="102"/>
        <v>"division":"--",</v>
      </c>
      <c r="AU299" t="str">
        <f t="shared" si="103"/>
        <v>"bw":"0",</v>
      </c>
      <c r="AV299" t="str">
        <f t="shared" si="104"/>
        <v>"idx":"23",</v>
      </c>
      <c r="AW299" t="str">
        <f t="shared" si="105"/>
        <v>"sr":"0",</v>
      </c>
      <c r="AX299" t="str">
        <f t="shared" si="106"/>
        <v>"br":"0",</v>
      </c>
      <c r="AY299" t="str">
        <f t="shared" si="107"/>
        <v>"row":0,</v>
      </c>
      <c r="AZ299" t="s">
        <v>67</v>
      </c>
      <c r="BA299" t="str">
        <f t="shared" si="117"/>
        <v>"sq":{"a1":0,"a2":"","a3":"","s1":0,"s2":0,"s3":0},"bp":{"a1":0,"a2":"","a3":"","s1":0,"s2":0,"s3":0},"dl":{"a1":0,"a2":"","a3":"","s1":0,"s2":0,"s3":0},"sortOrder":0,"act":{}}</v>
      </c>
      <c r="BB299" t="str">
        <f t="shared" si="118"/>
        <v>"23":{"group":"A","lot":0,"name":"0","team":"0","year":"0","division":"--","bw":"0","idx":"23","sr":"0","br":"0","row":0,"sq":{"a1":0,"a2":"","a3":"","s1":0,"s2":0,"s3":0},"bp":{"a1":0,"a2":"","a3":"","s1":0,"s2":0,"s3":0},"dl":{"a1":0,"a2":"","a3":"","s1":0,"s2":0,"s3":0},"sortOrder":0,"act":{}}</v>
      </c>
    </row>
  </sheetData>
  <protectedRanges>
    <protectedRange sqref="E5:W299" name="Edit Cols"/>
  </protectedRanges>
  <mergeCells count="2">
    <mergeCell ref="E2:Q2"/>
    <mergeCell ref="R2:W2"/>
  </mergeCells>
  <phoneticPr fontId="1" type="noConversion"/>
  <dataValidations count="2">
    <dataValidation type="decimal" operator="greaterThanOrEqual" showInputMessage="1" showErrorMessage="1" sqref="U4:W299" xr:uid="{62852CF2-9F0C-4CFA-8F12-4AEA6CD0446A}">
      <formula1>0</formula1>
    </dataValidation>
    <dataValidation type="list" allowBlank="1" showInputMessage="1" showErrorMessage="1" sqref="E5:E300" xr:uid="{D7548823-2076-4D99-A8E4-C41549180F07}">
      <formula1>"testttt,look mum i made a comp,Evan,WPC platform 2,WPC #2,WPC #1,WPC #2 2,WPC #2 2 2,WPC #2 22222,DPL Nationals,"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152400</xdr:colOff>
                    <xdr:row>8</xdr:row>
                    <xdr:rowOff>190500</xdr:rowOff>
                  </from>
                  <to>
                    <xdr:col>3</xdr:col>
                    <xdr:colOff>381000</xdr:colOff>
                    <xdr:row>12</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0</xdr:col>
                    <xdr:colOff>171450</xdr:colOff>
                    <xdr:row>13</xdr:row>
                    <xdr:rowOff>0</xdr:rowOff>
                  </from>
                  <to>
                    <xdr:col>3</xdr:col>
                    <xdr:colOff>381000</xdr:colOff>
                    <xdr:row>17</xdr:row>
                    <xdr:rowOff>0</xdr:rowOff>
                  </to>
                </anchor>
              </controlPr>
            </control>
          </mc:Choice>
        </mc:AlternateContent>
        <mc:AlternateContent xmlns:mc="http://schemas.openxmlformats.org/markup-compatibility/2006">
          <mc:Choice Requires="x14">
            <control shapeId="1031" r:id="rId6" name="Button 7">
              <controlPr defaultSize="0" print="0" autoFill="0" autoPict="0" macro="[0]!Button7_Click">
                <anchor moveWithCells="1" sizeWithCells="1">
                  <from>
                    <xdr:col>0</xdr:col>
                    <xdr:colOff>152400</xdr:colOff>
                    <xdr:row>4</xdr:row>
                    <xdr:rowOff>9525</xdr:rowOff>
                  </from>
                  <to>
                    <xdr:col>3</xdr:col>
                    <xdr:colOff>371475</xdr:colOff>
                    <xdr:row>8</xdr:row>
                    <xdr:rowOff>133350</xdr:rowOff>
                  </to>
                </anchor>
              </controlPr>
            </control>
          </mc:Choice>
        </mc:AlternateContent>
        <mc:AlternateContent xmlns:mc="http://schemas.openxmlformats.org/markup-compatibility/2006">
          <mc:Choice Requires="x14">
            <control shapeId="1046" r:id="rId7" name="Button 22">
              <controlPr defaultSize="0" print="0" autoFill="0" autoPict="0" macro="[0]!setPBS">
                <anchor moveWithCells="1" sizeWithCells="1">
                  <from>
                    <xdr:col>0</xdr:col>
                    <xdr:colOff>180975</xdr:colOff>
                    <xdr:row>17</xdr:row>
                    <xdr:rowOff>57150</xdr:rowOff>
                  </from>
                  <to>
                    <xdr:col>3</xdr:col>
                    <xdr:colOff>400050</xdr:colOff>
                    <xdr:row>21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DFBA-B4D0-44AA-80F2-FA35F7B37F2B}">
  <sheetPr codeName="Sheet4"/>
  <dimension ref="C1:U49"/>
  <sheetViews>
    <sheetView showGridLines="0" workbookViewId="0">
      <selection activeCell="E51" sqref="E51"/>
    </sheetView>
  </sheetViews>
  <sheetFormatPr defaultRowHeight="15" x14ac:dyDescent="0.25"/>
  <cols>
    <col min="3" max="3" width="12.28515625" bestFit="1" customWidth="1"/>
    <col min="4" max="4" width="29.42578125" bestFit="1" customWidth="1"/>
  </cols>
  <sheetData>
    <row r="1" spans="3:19" ht="15.75" thickBot="1" x14ac:dyDescent="0.3"/>
    <row r="2" spans="3:19" x14ac:dyDescent="0.25">
      <c r="C2" s="54" t="s">
        <v>115</v>
      </c>
      <c r="D2" s="55"/>
      <c r="E2" s="55"/>
      <c r="F2" s="55"/>
      <c r="G2" s="55"/>
      <c r="H2" s="55"/>
      <c r="I2" s="55"/>
      <c r="J2" s="55"/>
      <c r="K2" s="55"/>
      <c r="L2" s="55"/>
      <c r="M2" s="55"/>
      <c r="N2" s="55"/>
      <c r="O2" s="55"/>
      <c r="P2" s="55"/>
      <c r="Q2" s="55"/>
      <c r="R2" s="55"/>
      <c r="S2" s="56"/>
    </row>
    <row r="3" spans="3:19" ht="15.75" thickBot="1" x14ac:dyDescent="0.3">
      <c r="C3" s="57"/>
      <c r="D3" s="58"/>
      <c r="E3" s="58"/>
      <c r="F3" s="58"/>
      <c r="G3" s="58"/>
      <c r="H3" s="58"/>
      <c r="I3" s="58"/>
      <c r="J3" s="58"/>
      <c r="K3" s="58"/>
      <c r="L3" s="58"/>
      <c r="M3" s="58"/>
      <c r="N3" s="58"/>
      <c r="O3" s="58"/>
      <c r="P3" s="58"/>
      <c r="Q3" s="58"/>
      <c r="R3" s="58"/>
      <c r="S3" s="59"/>
    </row>
    <row r="4" spans="3:19" hidden="1" x14ac:dyDescent="0.25">
      <c r="C4" s="5" t="s">
        <v>98</v>
      </c>
      <c r="D4">
        <f>_xlfn.XMATCH("JSON:",C24:C44,0)+24</f>
        <v>27</v>
      </c>
    </row>
    <row r="5" spans="3:19" ht="15.75" thickBot="1" x14ac:dyDescent="0.3">
      <c r="C5" s="34"/>
      <c r="D5" s="4"/>
    </row>
    <row r="6" spans="3:19" x14ac:dyDescent="0.25">
      <c r="C6" s="40" t="s">
        <v>35</v>
      </c>
      <c r="D6" s="35">
        <v>25</v>
      </c>
      <c r="F6" s="43" t="s">
        <v>37</v>
      </c>
      <c r="G6" s="44"/>
      <c r="H6" s="44"/>
      <c r="I6" s="44"/>
      <c r="J6" s="44"/>
      <c r="K6" s="44"/>
      <c r="L6" s="44"/>
      <c r="M6" s="44"/>
      <c r="N6" s="44"/>
      <c r="O6" s="44"/>
      <c r="P6" s="44"/>
      <c r="Q6" s="44"/>
      <c r="R6" s="44"/>
      <c r="S6" s="45"/>
    </row>
    <row r="7" spans="3:19" x14ac:dyDescent="0.25">
      <c r="C7" s="41" t="s">
        <v>21</v>
      </c>
      <c r="D7" s="36" t="s">
        <v>0</v>
      </c>
      <c r="F7" s="46" t="s">
        <v>38</v>
      </c>
      <c r="G7" s="47"/>
      <c r="H7" s="47"/>
      <c r="I7" s="47"/>
      <c r="J7" s="47"/>
      <c r="K7" s="47"/>
      <c r="L7" s="47"/>
      <c r="M7" s="47"/>
      <c r="N7" s="47"/>
      <c r="O7" s="47"/>
      <c r="P7" s="47"/>
      <c r="Q7" s="47"/>
      <c r="R7" s="47"/>
      <c r="S7" s="48"/>
    </row>
    <row r="8" spans="3:19" x14ac:dyDescent="0.25">
      <c r="C8" s="41" t="s">
        <v>22</v>
      </c>
      <c r="D8" s="37" t="s">
        <v>36</v>
      </c>
      <c r="F8" s="46" t="s">
        <v>42</v>
      </c>
      <c r="G8" s="47"/>
      <c r="H8" s="47"/>
      <c r="I8" s="47"/>
      <c r="J8" s="47"/>
      <c r="K8" s="47"/>
      <c r="L8" s="47"/>
      <c r="M8" s="47"/>
      <c r="N8" s="47"/>
      <c r="O8" s="47"/>
      <c r="P8" s="47"/>
      <c r="Q8" s="47"/>
      <c r="R8" s="47"/>
      <c r="S8" s="48"/>
    </row>
    <row r="9" spans="3:19" x14ac:dyDescent="0.25">
      <c r="C9" s="41" t="s">
        <v>23</v>
      </c>
      <c r="D9" s="37">
        <v>0</v>
      </c>
      <c r="F9" s="46" t="s">
        <v>39</v>
      </c>
      <c r="G9" s="47"/>
      <c r="H9" s="47"/>
      <c r="I9" s="47"/>
      <c r="J9" s="47"/>
      <c r="K9" s="47"/>
      <c r="L9" s="47"/>
      <c r="M9" s="47"/>
      <c r="N9" s="47"/>
      <c r="O9" s="47"/>
      <c r="P9" s="47"/>
      <c r="Q9" s="47"/>
      <c r="R9" s="47"/>
      <c r="S9" s="48"/>
    </row>
    <row r="10" spans="3:19" x14ac:dyDescent="0.25">
      <c r="C10" s="41" t="s">
        <v>24</v>
      </c>
      <c r="D10" s="36" t="b">
        <v>1</v>
      </c>
      <c r="F10" s="46" t="s">
        <v>43</v>
      </c>
      <c r="G10" s="47"/>
      <c r="H10" s="47"/>
      <c r="I10" s="47"/>
      <c r="J10" s="47"/>
      <c r="K10" s="47"/>
      <c r="L10" s="47"/>
      <c r="M10" s="47"/>
      <c r="N10" s="47"/>
      <c r="O10" s="47"/>
      <c r="P10" s="47"/>
      <c r="Q10" s="47"/>
      <c r="R10" s="47"/>
      <c r="S10" s="48"/>
    </row>
    <row r="11" spans="3:19" x14ac:dyDescent="0.25">
      <c r="C11" s="41" t="s">
        <v>25</v>
      </c>
      <c r="D11" s="36" t="b">
        <v>1</v>
      </c>
      <c r="F11" s="46" t="s">
        <v>44</v>
      </c>
      <c r="G11" s="47"/>
      <c r="H11" s="47"/>
      <c r="I11" s="47"/>
      <c r="J11" s="47"/>
      <c r="K11" s="47"/>
      <c r="L11" s="47"/>
      <c r="M11" s="47"/>
      <c r="N11" s="47"/>
      <c r="O11" s="47"/>
      <c r="P11" s="47"/>
      <c r="Q11" s="47"/>
      <c r="R11" s="47"/>
      <c r="S11" s="48"/>
    </row>
    <row r="12" spans="3:19" x14ac:dyDescent="0.25">
      <c r="C12" s="41" t="s">
        <v>26</v>
      </c>
      <c r="D12" s="36" t="b">
        <v>1</v>
      </c>
      <c r="F12" s="46" t="s">
        <v>45</v>
      </c>
      <c r="G12" s="47"/>
      <c r="H12" s="47"/>
      <c r="I12" s="47"/>
      <c r="J12" s="47"/>
      <c r="K12" s="47"/>
      <c r="L12" s="47"/>
      <c r="M12" s="47"/>
      <c r="N12" s="47"/>
      <c r="O12" s="47"/>
      <c r="P12" s="47"/>
      <c r="Q12" s="47"/>
      <c r="R12" s="47"/>
      <c r="S12" s="48"/>
    </row>
    <row r="13" spans="3:19" x14ac:dyDescent="0.25">
      <c r="C13" s="41" t="s">
        <v>27</v>
      </c>
      <c r="D13" s="36" t="b">
        <v>0</v>
      </c>
      <c r="F13" s="46" t="s">
        <v>46</v>
      </c>
      <c r="G13" s="47"/>
      <c r="H13" s="47"/>
      <c r="I13" s="47"/>
      <c r="J13" s="47"/>
      <c r="K13" s="47"/>
      <c r="L13" s="47"/>
      <c r="M13" s="47"/>
      <c r="N13" s="47"/>
      <c r="O13" s="47"/>
      <c r="P13" s="47"/>
      <c r="Q13" s="47"/>
      <c r="R13" s="47"/>
      <c r="S13" s="48"/>
    </row>
    <row r="14" spans="3:19" x14ac:dyDescent="0.25">
      <c r="C14" s="41" t="s">
        <v>28</v>
      </c>
      <c r="D14" s="36" t="s">
        <v>104</v>
      </c>
      <c r="F14" s="46" t="s">
        <v>40</v>
      </c>
      <c r="G14" s="47"/>
      <c r="H14" s="47"/>
      <c r="I14" s="47"/>
      <c r="J14" s="47"/>
      <c r="K14" s="47"/>
      <c r="L14" s="47"/>
      <c r="M14" s="47"/>
      <c r="N14" s="47"/>
      <c r="O14" s="47"/>
      <c r="P14" s="47"/>
      <c r="Q14" s="47"/>
      <c r="R14" s="47"/>
      <c r="S14" s="48"/>
    </row>
    <row r="15" spans="3:19" x14ac:dyDescent="0.25">
      <c r="C15" s="41" t="s">
        <v>29</v>
      </c>
      <c r="D15" s="37" t="str">
        <f>D7</f>
        <v>A</v>
      </c>
      <c r="F15" s="46" t="s">
        <v>102</v>
      </c>
      <c r="G15" s="47"/>
      <c r="H15" s="47"/>
      <c r="I15" s="47"/>
      <c r="J15" s="47"/>
      <c r="K15" s="47"/>
      <c r="L15" s="47"/>
      <c r="M15" s="47"/>
      <c r="N15" s="47"/>
      <c r="O15" s="47"/>
      <c r="P15" s="47"/>
      <c r="Q15" s="47"/>
      <c r="R15" s="47"/>
      <c r="S15" s="48"/>
    </row>
    <row r="16" spans="3:19" x14ac:dyDescent="0.25">
      <c r="C16" s="41" t="s">
        <v>30</v>
      </c>
      <c r="D16" s="36" t="b">
        <v>0</v>
      </c>
      <c r="F16" s="46" t="s">
        <v>101</v>
      </c>
      <c r="G16" s="47"/>
      <c r="H16" s="47"/>
      <c r="I16" s="47"/>
      <c r="J16" s="47"/>
      <c r="K16" s="47"/>
      <c r="L16" s="47"/>
      <c r="M16" s="47"/>
      <c r="N16" s="47"/>
      <c r="O16" s="47"/>
      <c r="P16" s="47"/>
      <c r="Q16" s="47"/>
      <c r="R16" s="47"/>
      <c r="S16" s="48"/>
    </row>
    <row r="17" spans="3:21" x14ac:dyDescent="0.25">
      <c r="C17" s="41" t="s">
        <v>31</v>
      </c>
      <c r="D17" s="36" t="b">
        <v>1</v>
      </c>
      <c r="F17" s="46" t="s">
        <v>47</v>
      </c>
      <c r="G17" s="47"/>
      <c r="H17" s="47"/>
      <c r="I17" s="47"/>
      <c r="J17" s="47"/>
      <c r="K17" s="47"/>
      <c r="L17" s="47"/>
      <c r="M17" s="47"/>
      <c r="N17" s="47"/>
      <c r="O17" s="47"/>
      <c r="P17" s="47"/>
      <c r="Q17" s="47"/>
      <c r="R17" s="47"/>
      <c r="S17" s="48"/>
    </row>
    <row r="18" spans="3:21" x14ac:dyDescent="0.25">
      <c r="C18" s="41" t="s">
        <v>34</v>
      </c>
      <c r="D18" s="36">
        <v>0</v>
      </c>
      <c r="F18" s="46" t="s">
        <v>41</v>
      </c>
      <c r="G18" s="47"/>
      <c r="H18" s="47"/>
      <c r="I18" s="47"/>
      <c r="J18" s="47"/>
      <c r="K18" s="47"/>
      <c r="L18" s="47"/>
      <c r="M18" s="47"/>
      <c r="N18" s="47"/>
      <c r="O18" s="47"/>
      <c r="P18" s="47"/>
      <c r="Q18" s="47"/>
      <c r="R18" s="47"/>
      <c r="S18" s="48"/>
    </row>
    <row r="19" spans="3:21" x14ac:dyDescent="0.25">
      <c r="C19" s="41" t="s">
        <v>32</v>
      </c>
      <c r="D19" s="36" t="b">
        <v>0</v>
      </c>
      <c r="F19" s="46" t="s">
        <v>48</v>
      </c>
      <c r="G19" s="47"/>
      <c r="H19" s="47"/>
      <c r="I19" s="47"/>
      <c r="J19" s="47"/>
      <c r="K19" s="47"/>
      <c r="L19" s="47"/>
      <c r="M19" s="47"/>
      <c r="N19" s="47"/>
      <c r="O19" s="47"/>
      <c r="P19" s="47"/>
      <c r="Q19" s="47"/>
      <c r="R19" s="47"/>
      <c r="S19" s="48"/>
    </row>
    <row r="20" spans="3:21" x14ac:dyDescent="0.25">
      <c r="C20" s="41" t="s">
        <v>33</v>
      </c>
      <c r="D20" s="36" t="b">
        <v>0</v>
      </c>
      <c r="F20" s="46" t="s">
        <v>96</v>
      </c>
      <c r="G20" s="47"/>
      <c r="H20" s="47"/>
      <c r="I20" s="47"/>
      <c r="J20" s="47"/>
      <c r="K20" s="47"/>
      <c r="L20" s="47"/>
      <c r="M20" s="47"/>
      <c r="N20" s="47"/>
      <c r="O20" s="47"/>
      <c r="P20" s="47"/>
      <c r="Q20" s="47"/>
      <c r="R20" s="47"/>
      <c r="S20" s="48"/>
    </row>
    <row r="21" spans="3:21" x14ac:dyDescent="0.25">
      <c r="C21" s="41" t="s">
        <v>89</v>
      </c>
      <c r="D21" s="36" t="s">
        <v>92</v>
      </c>
      <c r="F21" s="46" t="s">
        <v>94</v>
      </c>
      <c r="G21" s="47"/>
      <c r="H21" s="47"/>
      <c r="I21" s="47"/>
      <c r="J21" s="47"/>
      <c r="K21" s="47"/>
      <c r="L21" s="47"/>
      <c r="M21" s="47"/>
      <c r="N21" s="47"/>
      <c r="O21" s="47"/>
      <c r="P21" s="47"/>
      <c r="Q21" s="47"/>
      <c r="R21" s="47"/>
      <c r="S21" s="48"/>
      <c r="T21" s="38" t="s">
        <v>113</v>
      </c>
      <c r="U21" s="39" t="s">
        <v>92</v>
      </c>
    </row>
    <row r="22" spans="3:21" x14ac:dyDescent="0.25">
      <c r="C22" s="41" t="s">
        <v>90</v>
      </c>
      <c r="D22" s="36" t="s">
        <v>93</v>
      </c>
      <c r="F22" s="46" t="s">
        <v>95</v>
      </c>
      <c r="G22" s="47"/>
      <c r="H22" s="47"/>
      <c r="I22" s="47"/>
      <c r="J22" s="47"/>
      <c r="K22" s="47"/>
      <c r="L22" s="47"/>
      <c r="M22" s="47"/>
      <c r="N22" s="47"/>
      <c r="O22" s="47"/>
      <c r="P22" s="47"/>
      <c r="Q22" s="47"/>
      <c r="R22" s="47"/>
      <c r="S22" s="48"/>
      <c r="T22" s="38" t="s">
        <v>113</v>
      </c>
      <c r="U22" s="39" t="s">
        <v>93</v>
      </c>
    </row>
    <row r="23" spans="3:21" ht="15.75" thickBot="1" x14ac:dyDescent="0.3">
      <c r="C23" s="42" t="s">
        <v>91</v>
      </c>
      <c r="D23" s="36" t="s">
        <v>92</v>
      </c>
      <c r="F23" s="49" t="s">
        <v>97</v>
      </c>
      <c r="G23" s="50"/>
      <c r="H23" s="50"/>
      <c r="I23" s="50"/>
      <c r="J23" s="50"/>
      <c r="K23" s="50"/>
      <c r="L23" s="50"/>
      <c r="M23" s="50"/>
      <c r="N23" s="50"/>
      <c r="O23" s="50"/>
      <c r="P23" s="50"/>
      <c r="Q23" s="50"/>
      <c r="R23" s="50"/>
      <c r="S23" s="51"/>
    </row>
    <row r="26" spans="3:21" hidden="1" x14ac:dyDescent="0.25">
      <c r="C26" t="s">
        <v>99</v>
      </c>
    </row>
    <row r="27" spans="3:21" hidden="1" x14ac:dyDescent="0.25">
      <c r="C27" t="str">
        <f>CHAR(34) &amp;C6 &amp; CHAR(34)&amp;":"</f>
        <v>"bar":</v>
      </c>
      <c r="D27" t="str">
        <f>D6&amp;","</f>
        <v>25,</v>
      </c>
    </row>
    <row r="28" spans="3:21" hidden="1" x14ac:dyDescent="0.25">
      <c r="C28" t="str">
        <f t="shared" ref="C28:C44" si="0">CHAR(34) &amp;C7 &amp; CHAR(34)&amp;":"</f>
        <v>"startGroup":</v>
      </c>
      <c r="D28" t="str">
        <f t="shared" ref="D28:D36" si="1">CHAR(34)&amp;D7&amp;CHAR(34)&amp;","</f>
        <v>"A",</v>
      </c>
    </row>
    <row r="29" spans="3:21" hidden="1" x14ac:dyDescent="0.25">
      <c r="C29" t="str">
        <f t="shared" si="0"/>
        <v>"plates":</v>
      </c>
      <c r="D29" t="str">
        <f>"["&amp;D8&amp;"]"&amp;","</f>
        <v>[25,20,15,10,5,2.5,1.25,0.5,0.25],</v>
      </c>
    </row>
    <row r="30" spans="3:21" hidden="1" x14ac:dyDescent="0.25">
      <c r="C30" t="str">
        <f t="shared" si="0"/>
        <v>"lifterCount":</v>
      </c>
      <c r="D30" t="str">
        <f>D9&amp;","</f>
        <v>0,</v>
      </c>
    </row>
    <row r="31" spans="3:21" hidden="1" x14ac:dyDescent="0.25">
      <c r="C31" t="str">
        <f t="shared" si="0"/>
        <v>"auto":</v>
      </c>
      <c r="D31" t="str">
        <f>LOWER(D10)&amp;","</f>
        <v>true,</v>
      </c>
    </row>
    <row r="32" spans="3:21" hidden="1" x14ac:dyDescent="0.25">
      <c r="C32" t="str">
        <f t="shared" si="0"/>
        <v>"countUp":</v>
      </c>
      <c r="D32" t="str">
        <f>LOWER(D11)&amp;","</f>
        <v>true,</v>
      </c>
    </row>
    <row r="33" spans="3:4" hidden="1" x14ac:dyDescent="0.25">
      <c r="C33" t="str">
        <f t="shared" si="0"/>
        <v>"showLights":</v>
      </c>
      <c r="D33" t="str">
        <f>LOWER(D12)&amp;","</f>
        <v>true,</v>
      </c>
    </row>
    <row r="34" spans="3:4" hidden="1" x14ac:dyDescent="0.25">
      <c r="C34" t="str">
        <f t="shared" si="0"/>
        <v>"BP":</v>
      </c>
      <c r="D34" t="str">
        <f>LOWER(D13)&amp;","</f>
        <v>false,</v>
      </c>
    </row>
    <row r="35" spans="3:4" hidden="1" x14ac:dyDescent="0.25">
      <c r="C35" t="str">
        <f t="shared" si="0"/>
        <v>"activeLi":</v>
      </c>
      <c r="D35" t="str">
        <f t="shared" si="1"/>
        <v>"Weigh In",</v>
      </c>
    </row>
    <row r="36" spans="3:4" hidden="1" x14ac:dyDescent="0.25">
      <c r="C36" t="str">
        <f t="shared" si="0"/>
        <v>"activeGp":</v>
      </c>
      <c r="D36" t="str">
        <f t="shared" si="1"/>
        <v>"A",</v>
      </c>
    </row>
    <row r="37" spans="3:4" hidden="1" x14ac:dyDescent="0.25">
      <c r="C37" t="str">
        <f t="shared" si="0"/>
        <v>"autoRefs":</v>
      </c>
      <c r="D37" t="str">
        <f>LOWER(D16)&amp;","</f>
        <v>false,</v>
      </c>
    </row>
    <row r="38" spans="3:4" hidden="1" x14ac:dyDescent="0.25">
      <c r="C38" t="str">
        <f t="shared" si="0"/>
        <v>"stream":</v>
      </c>
      <c r="D38" t="str">
        <f>LOWER(D17)&amp;","</f>
        <v>true,</v>
      </c>
    </row>
    <row r="39" spans="3:4" hidden="1" x14ac:dyDescent="0.25">
      <c r="C39" t="str">
        <f t="shared" si="0"/>
        <v>"activeRow":</v>
      </c>
      <c r="D39" t="str">
        <f>D18&amp;","</f>
        <v>0,</v>
      </c>
    </row>
    <row r="40" spans="3:4" hidden="1" x14ac:dyDescent="0.25">
      <c r="C40" t="str">
        <f t="shared" si="0"/>
        <v>"openOnly":</v>
      </c>
      <c r="D40" t="str">
        <f>LOWER(D19)&amp;","</f>
        <v>false,</v>
      </c>
    </row>
    <row r="41" spans="3:4" hidden="1" x14ac:dyDescent="0.25">
      <c r="C41" t="str">
        <f t="shared" si="0"/>
        <v>"CAPO":</v>
      </c>
      <c r="D41" t="str">
        <f>LOWER(D20)&amp;","</f>
        <v>false,</v>
      </c>
    </row>
    <row r="42" spans="3:4" hidden="1" x14ac:dyDescent="0.25">
      <c r="C42" t="str">
        <f t="shared" si="0"/>
        <v>"mW":</v>
      </c>
      <c r="D42" t="str">
        <f>"["&amp;D21&amp;",1000]"&amp;","</f>
        <v>[56,59,66,74,83,93,105,120,1000],</v>
      </c>
    </row>
    <row r="43" spans="3:4" hidden="1" x14ac:dyDescent="0.25">
      <c r="C43" t="str">
        <f t="shared" si="0"/>
        <v>"fW":</v>
      </c>
      <c r="D43" t="str">
        <f>"["&amp;D22&amp;",1000]"&amp;","</f>
        <v>[47,52,57,63,69,76,84,1000],</v>
      </c>
    </row>
    <row r="44" spans="3:4" hidden="1" x14ac:dyDescent="0.25">
      <c r="C44" t="str">
        <f t="shared" si="0"/>
        <v>"xW":</v>
      </c>
      <c r="D44" t="str">
        <f>"["&amp;D23&amp;",1000]"&amp;","</f>
        <v>[56,59,66,74,83,93,105,120,1000],</v>
      </c>
    </row>
    <row r="45" spans="3:4" hidden="1" x14ac:dyDescent="0.25">
      <c r="C45" t="s">
        <v>105</v>
      </c>
    </row>
    <row r="46" spans="3:4" hidden="1" x14ac:dyDescent="0.25"/>
    <row r="47" spans="3:4" hidden="1" x14ac:dyDescent="0.25"/>
    <row r="48" spans="3:4" hidden="1" x14ac:dyDescent="0.25"/>
    <row r="49" hidden="1" x14ac:dyDescent="0.25"/>
  </sheetData>
  <mergeCells count="1">
    <mergeCell ref="C2:S3"/>
  </mergeCells>
  <dataValidations count="2">
    <dataValidation type="list" allowBlank="1" showInputMessage="1" showErrorMessage="1" sqref="D19:D20 D16:D17 D10:D13" xr:uid="{23D9097C-A3E4-4CC2-90D1-8A97E6813EF2}">
      <formula1>"TRUE,FALSE"</formula1>
    </dataValidation>
    <dataValidation type="list" allowBlank="1" showInputMessage="1" showErrorMessage="1" sqref="D14" xr:uid="{FDC4EDC0-BA76-4416-B54E-4834CBF55371}">
      <formula1>"SQ-1,BP-1,DL-1,Weigh In"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0E223-C834-4A70-AFC2-DAE7B7D15F4C}">
  <sheetPr codeName="Sheet3"/>
  <dimension ref="A1:M300"/>
  <sheetViews>
    <sheetView showGridLines="0" workbookViewId="0">
      <selection activeCell="D19" sqref="D19"/>
    </sheetView>
  </sheetViews>
  <sheetFormatPr defaultRowHeight="15" x14ac:dyDescent="0.25"/>
  <cols>
    <col min="3" max="3" width="16.140625" bestFit="1" customWidth="1"/>
  </cols>
  <sheetData>
    <row r="1" spans="1:13" ht="15.75" thickBot="1" x14ac:dyDescent="0.3"/>
    <row r="2" spans="1:13" ht="56.25" customHeight="1" x14ac:dyDescent="0.25">
      <c r="A2" s="20"/>
      <c r="B2" s="61" t="s">
        <v>52</v>
      </c>
      <c r="C2" s="61"/>
      <c r="D2" s="61"/>
      <c r="E2" s="61"/>
      <c r="F2" s="61"/>
      <c r="G2" s="61"/>
      <c r="H2" s="61"/>
      <c r="I2" s="21"/>
      <c r="J2" s="21"/>
      <c r="K2" s="21"/>
      <c r="L2" s="22"/>
      <c r="M2" s="19"/>
    </row>
    <row r="3" spans="1:13" ht="239.25" customHeight="1" thickBot="1" x14ac:dyDescent="0.3">
      <c r="A3" s="29"/>
      <c r="B3" s="60" t="s">
        <v>88</v>
      </c>
      <c r="C3" s="60"/>
      <c r="D3" s="60"/>
      <c r="E3" s="60"/>
      <c r="F3" s="60"/>
      <c r="G3" s="60"/>
      <c r="H3" s="60"/>
      <c r="I3" s="60"/>
      <c r="J3" s="60"/>
      <c r="K3" s="60"/>
      <c r="L3" s="30"/>
      <c r="M3" s="19"/>
    </row>
    <row r="4" spans="1:13" ht="15" customHeight="1" thickBot="1" x14ac:dyDescent="0.3">
      <c r="A4" s="23"/>
      <c r="B4" s="31" t="s">
        <v>53</v>
      </c>
      <c r="C4" s="32" t="s">
        <v>54</v>
      </c>
      <c r="D4" s="32" t="s">
        <v>55</v>
      </c>
      <c r="E4" s="32" t="s">
        <v>27</v>
      </c>
      <c r="F4" s="32" t="s">
        <v>56</v>
      </c>
      <c r="G4" s="33" t="s">
        <v>57</v>
      </c>
      <c r="H4" s="24"/>
      <c r="I4" s="24"/>
      <c r="J4" s="24"/>
      <c r="K4" s="24"/>
      <c r="L4" s="25"/>
      <c r="M4" s="19"/>
    </row>
    <row r="5" spans="1:13" ht="15" customHeight="1" x14ac:dyDescent="0.25">
      <c r="A5" s="19"/>
      <c r="B5" s="19"/>
      <c r="C5" s="28"/>
      <c r="D5" s="19"/>
      <c r="E5" s="19"/>
      <c r="F5" s="19"/>
      <c r="G5" s="19"/>
      <c r="H5" s="19"/>
      <c r="I5" s="19"/>
      <c r="J5" s="19"/>
      <c r="K5" s="19"/>
      <c r="L5" s="19"/>
      <c r="M5" s="19"/>
    </row>
    <row r="6" spans="1:13" ht="15" customHeight="1" x14ac:dyDescent="0.25">
      <c r="A6" s="19"/>
      <c r="B6" s="19"/>
      <c r="C6" s="28"/>
      <c r="D6" s="19"/>
      <c r="E6" s="19"/>
      <c r="F6" s="19"/>
      <c r="G6" s="19"/>
      <c r="H6" s="19"/>
      <c r="I6" s="19"/>
      <c r="J6" s="19"/>
      <c r="K6" s="19"/>
      <c r="L6" s="19"/>
      <c r="M6" s="19"/>
    </row>
    <row r="7" spans="1:13" x14ac:dyDescent="0.25">
      <c r="C7" s="28"/>
    </row>
    <row r="8" spans="1:13" x14ac:dyDescent="0.25">
      <c r="C8" s="28"/>
    </row>
    <row r="9" spans="1:13" x14ac:dyDescent="0.25">
      <c r="C9" s="28"/>
    </row>
    <row r="10" spans="1:13" x14ac:dyDescent="0.25">
      <c r="C10" s="28"/>
    </row>
    <row r="11" spans="1:13" x14ac:dyDescent="0.25">
      <c r="C11" s="28"/>
    </row>
    <row r="12" spans="1:13" x14ac:dyDescent="0.25">
      <c r="C12" s="28"/>
    </row>
    <row r="13" spans="1:13" x14ac:dyDescent="0.25">
      <c r="C13" s="28"/>
    </row>
    <row r="14" spans="1:13" x14ac:dyDescent="0.25">
      <c r="C14" s="28"/>
    </row>
    <row r="15" spans="1:13" x14ac:dyDescent="0.25">
      <c r="C15" s="28"/>
    </row>
    <row r="16" spans="1:13" x14ac:dyDescent="0.25">
      <c r="C16" s="28"/>
    </row>
    <row r="17" spans="3:3" x14ac:dyDescent="0.25">
      <c r="C17" s="28"/>
    </row>
    <row r="18" spans="3:3" x14ac:dyDescent="0.25">
      <c r="C18" s="28"/>
    </row>
    <row r="19" spans="3:3" x14ac:dyDescent="0.25">
      <c r="C19" s="28"/>
    </row>
    <row r="20" spans="3:3" x14ac:dyDescent="0.25">
      <c r="C20" s="28"/>
    </row>
    <row r="21" spans="3:3" x14ac:dyDescent="0.25">
      <c r="C21" s="28"/>
    </row>
    <row r="22" spans="3:3" x14ac:dyDescent="0.25">
      <c r="C22" s="28"/>
    </row>
    <row r="23" spans="3:3" x14ac:dyDescent="0.25">
      <c r="C23" s="28"/>
    </row>
    <row r="24" spans="3:3" x14ac:dyDescent="0.25">
      <c r="C24" s="28"/>
    </row>
    <row r="25" spans="3:3" x14ac:dyDescent="0.25">
      <c r="C25" s="28"/>
    </row>
    <row r="26" spans="3:3" x14ac:dyDescent="0.25">
      <c r="C26" s="28"/>
    </row>
    <row r="27" spans="3:3" x14ac:dyDescent="0.25">
      <c r="C27" s="28"/>
    </row>
    <row r="28" spans="3:3" x14ac:dyDescent="0.25">
      <c r="C28" s="28"/>
    </row>
    <row r="29" spans="3:3" x14ac:dyDescent="0.25">
      <c r="C29" s="28"/>
    </row>
    <row r="30" spans="3:3" x14ac:dyDescent="0.25">
      <c r="C30" s="28"/>
    </row>
    <row r="31" spans="3:3" x14ac:dyDescent="0.25">
      <c r="C31" s="28"/>
    </row>
    <row r="32" spans="3:3" x14ac:dyDescent="0.25">
      <c r="C32" s="28"/>
    </row>
    <row r="33" spans="3:3" x14ac:dyDescent="0.25">
      <c r="C33" s="28"/>
    </row>
    <row r="34" spans="3:3" x14ac:dyDescent="0.25">
      <c r="C34" s="28"/>
    </row>
    <row r="35" spans="3:3" x14ac:dyDescent="0.25">
      <c r="C35" s="28"/>
    </row>
    <row r="36" spans="3:3" x14ac:dyDescent="0.25">
      <c r="C36" s="28"/>
    </row>
    <row r="37" spans="3:3" x14ac:dyDescent="0.25">
      <c r="C37" s="28"/>
    </row>
    <row r="38" spans="3:3" x14ac:dyDescent="0.25">
      <c r="C38" s="28"/>
    </row>
    <row r="39" spans="3:3" x14ac:dyDescent="0.25">
      <c r="C39" s="28"/>
    </row>
    <row r="40" spans="3:3" x14ac:dyDescent="0.25">
      <c r="C40" s="28"/>
    </row>
    <row r="41" spans="3:3" x14ac:dyDescent="0.25">
      <c r="C41" s="28"/>
    </row>
    <row r="42" spans="3:3" x14ac:dyDescent="0.25">
      <c r="C42" s="28"/>
    </row>
    <row r="43" spans="3:3" x14ac:dyDescent="0.25">
      <c r="C43" s="28"/>
    </row>
    <row r="44" spans="3:3" x14ac:dyDescent="0.25">
      <c r="C44" s="28"/>
    </row>
    <row r="45" spans="3:3" x14ac:dyDescent="0.25">
      <c r="C45" s="28"/>
    </row>
    <row r="46" spans="3:3" x14ac:dyDescent="0.25">
      <c r="C46" s="28"/>
    </row>
    <row r="47" spans="3:3" x14ac:dyDescent="0.25">
      <c r="C47" s="28"/>
    </row>
    <row r="48" spans="3:3" x14ac:dyDescent="0.25">
      <c r="C48" s="28"/>
    </row>
    <row r="49" spans="3:3" x14ac:dyDescent="0.25">
      <c r="C49" s="28"/>
    </row>
    <row r="50" spans="3:3" x14ac:dyDescent="0.25">
      <c r="C50" s="28"/>
    </row>
    <row r="51" spans="3:3" x14ac:dyDescent="0.25">
      <c r="C51" s="28"/>
    </row>
    <row r="52" spans="3:3" x14ac:dyDescent="0.25">
      <c r="C52" s="28"/>
    </row>
    <row r="53" spans="3:3" x14ac:dyDescent="0.25">
      <c r="C53" s="28"/>
    </row>
    <row r="54" spans="3:3" x14ac:dyDescent="0.25">
      <c r="C54" s="28"/>
    </row>
    <row r="55" spans="3:3" x14ac:dyDescent="0.25">
      <c r="C55" s="28"/>
    </row>
    <row r="56" spans="3:3" x14ac:dyDescent="0.25">
      <c r="C56" s="28"/>
    </row>
    <row r="57" spans="3:3" x14ac:dyDescent="0.25">
      <c r="C57" s="28"/>
    </row>
    <row r="58" spans="3:3" x14ac:dyDescent="0.25">
      <c r="C58" s="28"/>
    </row>
    <row r="59" spans="3:3" x14ac:dyDescent="0.25">
      <c r="C59" s="28"/>
    </row>
    <row r="60" spans="3:3" x14ac:dyDescent="0.25">
      <c r="C60" s="28"/>
    </row>
    <row r="61" spans="3:3" x14ac:dyDescent="0.25">
      <c r="C61" s="28"/>
    </row>
    <row r="62" spans="3:3" x14ac:dyDescent="0.25">
      <c r="C62" s="28"/>
    </row>
    <row r="63" spans="3:3" x14ac:dyDescent="0.25">
      <c r="C63" s="28"/>
    </row>
    <row r="64" spans="3:3" x14ac:dyDescent="0.25">
      <c r="C64" s="28"/>
    </row>
    <row r="65" spans="3:3" x14ac:dyDescent="0.25">
      <c r="C65" s="28"/>
    </row>
    <row r="66" spans="3:3" x14ac:dyDescent="0.25">
      <c r="C66" s="28"/>
    </row>
    <row r="67" spans="3:3" x14ac:dyDescent="0.25">
      <c r="C67" s="28"/>
    </row>
    <row r="68" spans="3:3" x14ac:dyDescent="0.25">
      <c r="C68" s="28"/>
    </row>
    <row r="69" spans="3:3" x14ac:dyDescent="0.25">
      <c r="C69" s="28"/>
    </row>
    <row r="70" spans="3:3" x14ac:dyDescent="0.25">
      <c r="C70" s="28"/>
    </row>
    <row r="71" spans="3:3" x14ac:dyDescent="0.25">
      <c r="C71" s="28"/>
    </row>
    <row r="72" spans="3:3" x14ac:dyDescent="0.25">
      <c r="C72" s="28"/>
    </row>
    <row r="73" spans="3:3" x14ac:dyDescent="0.25">
      <c r="C73" s="28"/>
    </row>
    <row r="74" spans="3:3" x14ac:dyDescent="0.25">
      <c r="C74" s="28"/>
    </row>
    <row r="75" spans="3:3" x14ac:dyDescent="0.25">
      <c r="C75" s="28"/>
    </row>
    <row r="76" spans="3:3" x14ac:dyDescent="0.25">
      <c r="C76" s="28"/>
    </row>
    <row r="77" spans="3:3" x14ac:dyDescent="0.25">
      <c r="C77" s="28"/>
    </row>
    <row r="78" spans="3:3" x14ac:dyDescent="0.25">
      <c r="C78" s="28"/>
    </row>
    <row r="79" spans="3:3" x14ac:dyDescent="0.25">
      <c r="C79" s="28"/>
    </row>
    <row r="80" spans="3:3" x14ac:dyDescent="0.25">
      <c r="C80" s="28"/>
    </row>
    <row r="81" spans="3:3" x14ac:dyDescent="0.25">
      <c r="C81" s="28"/>
    </row>
    <row r="82" spans="3:3" x14ac:dyDescent="0.25">
      <c r="C82" s="28"/>
    </row>
    <row r="83" spans="3:3" x14ac:dyDescent="0.25">
      <c r="C83" s="28"/>
    </row>
    <row r="84" spans="3:3" x14ac:dyDescent="0.25">
      <c r="C84" s="28"/>
    </row>
    <row r="85" spans="3:3" x14ac:dyDescent="0.25">
      <c r="C85" s="28"/>
    </row>
    <row r="86" spans="3:3" x14ac:dyDescent="0.25">
      <c r="C86" s="28"/>
    </row>
    <row r="87" spans="3:3" x14ac:dyDescent="0.25">
      <c r="C87" s="28"/>
    </row>
    <row r="88" spans="3:3" x14ac:dyDescent="0.25">
      <c r="C88" s="28"/>
    </row>
    <row r="89" spans="3:3" x14ac:dyDescent="0.25">
      <c r="C89" s="28"/>
    </row>
    <row r="90" spans="3:3" x14ac:dyDescent="0.25">
      <c r="C90" s="28"/>
    </row>
    <row r="91" spans="3:3" x14ac:dyDescent="0.25">
      <c r="C91" s="28"/>
    </row>
    <row r="92" spans="3:3" x14ac:dyDescent="0.25">
      <c r="C92" s="28"/>
    </row>
    <row r="93" spans="3:3" x14ac:dyDescent="0.25">
      <c r="C93" s="28"/>
    </row>
    <row r="94" spans="3:3" x14ac:dyDescent="0.25">
      <c r="C94" s="28"/>
    </row>
    <row r="95" spans="3:3" x14ac:dyDescent="0.25">
      <c r="C95" s="28"/>
    </row>
    <row r="96" spans="3:3" x14ac:dyDescent="0.25">
      <c r="C96" s="28"/>
    </row>
    <row r="97" spans="3:3" x14ac:dyDescent="0.25">
      <c r="C97" s="28"/>
    </row>
    <row r="98" spans="3:3" x14ac:dyDescent="0.25">
      <c r="C98" s="28"/>
    </row>
    <row r="99" spans="3:3" x14ac:dyDescent="0.25">
      <c r="C99" s="28"/>
    </row>
    <row r="100" spans="3:3" x14ac:dyDescent="0.25">
      <c r="C100" s="28"/>
    </row>
    <row r="101" spans="3:3" x14ac:dyDescent="0.25">
      <c r="C101" s="28"/>
    </row>
    <row r="102" spans="3:3" x14ac:dyDescent="0.25">
      <c r="C102" s="28"/>
    </row>
    <row r="103" spans="3:3" x14ac:dyDescent="0.25">
      <c r="C103" s="28"/>
    </row>
    <row r="104" spans="3:3" x14ac:dyDescent="0.25">
      <c r="C104" s="28"/>
    </row>
    <row r="105" spans="3:3" x14ac:dyDescent="0.25">
      <c r="C105" s="28"/>
    </row>
    <row r="106" spans="3:3" x14ac:dyDescent="0.25">
      <c r="C106" s="28"/>
    </row>
    <row r="107" spans="3:3" x14ac:dyDescent="0.25">
      <c r="C107" s="28"/>
    </row>
    <row r="108" spans="3:3" x14ac:dyDescent="0.25">
      <c r="C108" s="28"/>
    </row>
    <row r="109" spans="3:3" x14ac:dyDescent="0.25">
      <c r="C109" s="28"/>
    </row>
    <row r="110" spans="3:3" x14ac:dyDescent="0.25">
      <c r="C110" s="28"/>
    </row>
    <row r="111" spans="3:3" x14ac:dyDescent="0.25">
      <c r="C111" s="28"/>
    </row>
    <row r="112" spans="3:3" x14ac:dyDescent="0.25">
      <c r="C112" s="28"/>
    </row>
    <row r="113" spans="3:3" x14ac:dyDescent="0.25">
      <c r="C113" s="28"/>
    </row>
    <row r="114" spans="3:3" x14ac:dyDescent="0.25">
      <c r="C114" s="28"/>
    </row>
    <row r="115" spans="3:3" x14ac:dyDescent="0.25">
      <c r="C115" s="28"/>
    </row>
    <row r="116" spans="3:3" x14ac:dyDescent="0.25">
      <c r="C116" s="28"/>
    </row>
    <row r="117" spans="3:3" x14ac:dyDescent="0.25">
      <c r="C117" s="28"/>
    </row>
    <row r="118" spans="3:3" x14ac:dyDescent="0.25">
      <c r="C118" s="28"/>
    </row>
    <row r="119" spans="3:3" x14ac:dyDescent="0.25">
      <c r="C119" s="28"/>
    </row>
    <row r="120" spans="3:3" x14ac:dyDescent="0.25">
      <c r="C120" s="28"/>
    </row>
    <row r="121" spans="3:3" x14ac:dyDescent="0.25">
      <c r="C121" s="28"/>
    </row>
    <row r="122" spans="3:3" x14ac:dyDescent="0.25">
      <c r="C122" s="28"/>
    </row>
    <row r="123" spans="3:3" x14ac:dyDescent="0.25">
      <c r="C123" s="28"/>
    </row>
    <row r="124" spans="3:3" x14ac:dyDescent="0.25">
      <c r="C124" s="28"/>
    </row>
    <row r="125" spans="3:3" x14ac:dyDescent="0.25">
      <c r="C125" s="28"/>
    </row>
    <row r="126" spans="3:3" x14ac:dyDescent="0.25">
      <c r="C126" s="28"/>
    </row>
    <row r="127" spans="3:3" x14ac:dyDescent="0.25">
      <c r="C127" s="28"/>
    </row>
    <row r="128" spans="3:3" x14ac:dyDescent="0.25">
      <c r="C128" s="28"/>
    </row>
    <row r="129" spans="3:3" x14ac:dyDescent="0.25">
      <c r="C129" s="28"/>
    </row>
    <row r="130" spans="3:3" x14ac:dyDescent="0.25">
      <c r="C130" s="28"/>
    </row>
    <row r="131" spans="3:3" x14ac:dyDescent="0.25">
      <c r="C131" s="28"/>
    </row>
    <row r="132" spans="3:3" x14ac:dyDescent="0.25">
      <c r="C132" s="28"/>
    </row>
    <row r="133" spans="3:3" x14ac:dyDescent="0.25">
      <c r="C133" s="28"/>
    </row>
    <row r="134" spans="3:3" x14ac:dyDescent="0.25">
      <c r="C134" s="28"/>
    </row>
    <row r="135" spans="3:3" x14ac:dyDescent="0.25">
      <c r="C135" s="28"/>
    </row>
    <row r="136" spans="3:3" x14ac:dyDescent="0.25">
      <c r="C136" s="28"/>
    </row>
    <row r="137" spans="3:3" x14ac:dyDescent="0.25">
      <c r="C137" s="28"/>
    </row>
    <row r="138" spans="3:3" x14ac:dyDescent="0.25">
      <c r="C138" s="28"/>
    </row>
    <row r="139" spans="3:3" x14ac:dyDescent="0.25">
      <c r="C139" s="28"/>
    </row>
    <row r="140" spans="3:3" x14ac:dyDescent="0.25">
      <c r="C140" s="28"/>
    </row>
    <row r="141" spans="3:3" x14ac:dyDescent="0.25">
      <c r="C141" s="28"/>
    </row>
    <row r="142" spans="3:3" x14ac:dyDescent="0.25">
      <c r="C142" s="28"/>
    </row>
    <row r="143" spans="3:3" x14ac:dyDescent="0.25">
      <c r="C143" s="28"/>
    </row>
    <row r="144" spans="3:3" x14ac:dyDescent="0.25">
      <c r="C144" s="28"/>
    </row>
    <row r="145" spans="3:3" x14ac:dyDescent="0.25">
      <c r="C145" s="28"/>
    </row>
    <row r="146" spans="3:3" x14ac:dyDescent="0.25">
      <c r="C146" s="28"/>
    </row>
    <row r="147" spans="3:3" x14ac:dyDescent="0.25">
      <c r="C147" s="28"/>
    </row>
    <row r="148" spans="3:3" x14ac:dyDescent="0.25">
      <c r="C148" s="28"/>
    </row>
    <row r="149" spans="3:3" x14ac:dyDescent="0.25">
      <c r="C149" s="28"/>
    </row>
    <row r="150" spans="3:3" x14ac:dyDescent="0.25">
      <c r="C150" s="28"/>
    </row>
    <row r="151" spans="3:3" x14ac:dyDescent="0.25">
      <c r="C151" s="28"/>
    </row>
    <row r="152" spans="3:3" x14ac:dyDescent="0.25">
      <c r="C152" s="28"/>
    </row>
    <row r="153" spans="3:3" x14ac:dyDescent="0.25">
      <c r="C153" s="28"/>
    </row>
    <row r="154" spans="3:3" x14ac:dyDescent="0.25">
      <c r="C154" s="28"/>
    </row>
    <row r="155" spans="3:3" x14ac:dyDescent="0.25">
      <c r="C155" s="28"/>
    </row>
    <row r="156" spans="3:3" x14ac:dyDescent="0.25">
      <c r="C156" s="28"/>
    </row>
    <row r="157" spans="3:3" x14ac:dyDescent="0.25">
      <c r="C157" s="28"/>
    </row>
    <row r="158" spans="3:3" x14ac:dyDescent="0.25">
      <c r="C158" s="28"/>
    </row>
    <row r="159" spans="3:3" x14ac:dyDescent="0.25">
      <c r="C159" s="28"/>
    </row>
    <row r="160" spans="3:3" x14ac:dyDescent="0.25">
      <c r="C160" s="28"/>
    </row>
    <row r="161" spans="3:3" x14ac:dyDescent="0.25">
      <c r="C161" s="28"/>
    </row>
    <row r="162" spans="3:3" x14ac:dyDescent="0.25">
      <c r="C162" s="28"/>
    </row>
    <row r="163" spans="3:3" x14ac:dyDescent="0.25">
      <c r="C163" s="28"/>
    </row>
    <row r="164" spans="3:3" x14ac:dyDescent="0.25">
      <c r="C164" s="28"/>
    </row>
    <row r="165" spans="3:3" x14ac:dyDescent="0.25">
      <c r="C165" s="28"/>
    </row>
    <row r="166" spans="3:3" x14ac:dyDescent="0.25">
      <c r="C166" s="28"/>
    </row>
    <row r="167" spans="3:3" x14ac:dyDescent="0.25">
      <c r="C167" s="28"/>
    </row>
    <row r="168" spans="3:3" x14ac:dyDescent="0.25">
      <c r="C168" s="28"/>
    </row>
    <row r="169" spans="3:3" x14ac:dyDescent="0.25">
      <c r="C169" s="28"/>
    </row>
    <row r="170" spans="3:3" x14ac:dyDescent="0.25">
      <c r="C170" s="28"/>
    </row>
    <row r="171" spans="3:3" x14ac:dyDescent="0.25">
      <c r="C171" s="28"/>
    </row>
    <row r="172" spans="3:3" x14ac:dyDescent="0.25">
      <c r="C172" s="28"/>
    </row>
    <row r="173" spans="3:3" x14ac:dyDescent="0.25">
      <c r="C173" s="28"/>
    </row>
    <row r="174" spans="3:3" x14ac:dyDescent="0.25">
      <c r="C174" s="28"/>
    </row>
    <row r="175" spans="3:3" x14ac:dyDescent="0.25">
      <c r="C175" s="28"/>
    </row>
    <row r="176" spans="3:3" x14ac:dyDescent="0.25">
      <c r="C176" s="28"/>
    </row>
    <row r="177" spans="3:3" x14ac:dyDescent="0.25">
      <c r="C177" s="28"/>
    </row>
    <row r="178" spans="3:3" x14ac:dyDescent="0.25">
      <c r="C178" s="28"/>
    </row>
    <row r="179" spans="3:3" x14ac:dyDescent="0.25">
      <c r="C179" s="28"/>
    </row>
    <row r="180" spans="3:3" x14ac:dyDescent="0.25">
      <c r="C180" s="28"/>
    </row>
    <row r="181" spans="3:3" x14ac:dyDescent="0.25">
      <c r="C181" s="28"/>
    </row>
    <row r="182" spans="3:3" x14ac:dyDescent="0.25">
      <c r="C182" s="28"/>
    </row>
    <row r="183" spans="3:3" x14ac:dyDescent="0.25">
      <c r="C183" s="28"/>
    </row>
    <row r="184" spans="3:3" x14ac:dyDescent="0.25">
      <c r="C184" s="28"/>
    </row>
    <row r="185" spans="3:3" x14ac:dyDescent="0.25">
      <c r="C185" s="28"/>
    </row>
    <row r="186" spans="3:3" x14ac:dyDescent="0.25">
      <c r="C186" s="28"/>
    </row>
    <row r="187" spans="3:3" x14ac:dyDescent="0.25">
      <c r="C187" s="28"/>
    </row>
    <row r="188" spans="3:3" x14ac:dyDescent="0.25">
      <c r="C188" s="28"/>
    </row>
    <row r="189" spans="3:3" x14ac:dyDescent="0.25">
      <c r="C189" s="28"/>
    </row>
    <row r="190" spans="3:3" x14ac:dyDescent="0.25">
      <c r="C190" s="28"/>
    </row>
    <row r="191" spans="3:3" x14ac:dyDescent="0.25">
      <c r="C191" s="28"/>
    </row>
    <row r="192" spans="3:3" x14ac:dyDescent="0.25">
      <c r="C192" s="28"/>
    </row>
    <row r="193" spans="3:3" x14ac:dyDescent="0.25">
      <c r="C193" s="28"/>
    </row>
    <row r="194" spans="3:3" x14ac:dyDescent="0.25">
      <c r="C194" s="28"/>
    </row>
    <row r="195" spans="3:3" x14ac:dyDescent="0.25">
      <c r="C195" s="28"/>
    </row>
    <row r="196" spans="3:3" x14ac:dyDescent="0.25">
      <c r="C196" s="28"/>
    </row>
    <row r="197" spans="3:3" x14ac:dyDescent="0.25">
      <c r="C197" s="28"/>
    </row>
    <row r="198" spans="3:3" x14ac:dyDescent="0.25">
      <c r="C198" s="28"/>
    </row>
    <row r="199" spans="3:3" x14ac:dyDescent="0.25">
      <c r="C199" s="28"/>
    </row>
    <row r="200" spans="3:3" x14ac:dyDescent="0.25">
      <c r="C200" s="28"/>
    </row>
    <row r="201" spans="3:3" x14ac:dyDescent="0.25">
      <c r="C201" s="28"/>
    </row>
    <row r="202" spans="3:3" x14ac:dyDescent="0.25">
      <c r="C202" s="28"/>
    </row>
    <row r="203" spans="3:3" x14ac:dyDescent="0.25">
      <c r="C203" s="28"/>
    </row>
    <row r="204" spans="3:3" x14ac:dyDescent="0.25">
      <c r="C204" s="28"/>
    </row>
    <row r="205" spans="3:3" x14ac:dyDescent="0.25">
      <c r="C205" s="28"/>
    </row>
    <row r="206" spans="3:3" x14ac:dyDescent="0.25">
      <c r="C206" s="28"/>
    </row>
    <row r="207" spans="3:3" x14ac:dyDescent="0.25">
      <c r="C207" s="28"/>
    </row>
    <row r="208" spans="3:3" x14ac:dyDescent="0.25">
      <c r="C208" s="28"/>
    </row>
    <row r="209" spans="3:3" x14ac:dyDescent="0.25">
      <c r="C209" s="28"/>
    </row>
    <row r="210" spans="3:3" x14ac:dyDescent="0.25">
      <c r="C210" s="28"/>
    </row>
    <row r="211" spans="3:3" x14ac:dyDescent="0.25">
      <c r="C211" s="28"/>
    </row>
    <row r="212" spans="3:3" x14ac:dyDescent="0.25">
      <c r="C212" s="28"/>
    </row>
    <row r="213" spans="3:3" x14ac:dyDescent="0.25">
      <c r="C213" s="28"/>
    </row>
    <row r="214" spans="3:3" x14ac:dyDescent="0.25">
      <c r="C214" s="28"/>
    </row>
    <row r="215" spans="3:3" x14ac:dyDescent="0.25">
      <c r="C215" s="28"/>
    </row>
    <row r="216" spans="3:3" x14ac:dyDescent="0.25">
      <c r="C216" s="28"/>
    </row>
    <row r="217" spans="3:3" x14ac:dyDescent="0.25">
      <c r="C217" s="28"/>
    </row>
    <row r="218" spans="3:3" x14ac:dyDescent="0.25">
      <c r="C218" s="28"/>
    </row>
    <row r="219" spans="3:3" x14ac:dyDescent="0.25">
      <c r="C219" s="28"/>
    </row>
    <row r="220" spans="3:3" x14ac:dyDescent="0.25">
      <c r="C220" s="28"/>
    </row>
    <row r="221" spans="3:3" x14ac:dyDescent="0.25">
      <c r="C221" s="28"/>
    </row>
    <row r="222" spans="3:3" x14ac:dyDescent="0.25">
      <c r="C222" s="28"/>
    </row>
    <row r="223" spans="3:3" x14ac:dyDescent="0.25">
      <c r="C223" s="28"/>
    </row>
    <row r="224" spans="3:3" x14ac:dyDescent="0.25">
      <c r="C224" s="28"/>
    </row>
    <row r="225" spans="3:3" x14ac:dyDescent="0.25">
      <c r="C225" s="28"/>
    </row>
    <row r="226" spans="3:3" x14ac:dyDescent="0.25">
      <c r="C226" s="28"/>
    </row>
    <row r="227" spans="3:3" x14ac:dyDescent="0.25">
      <c r="C227" s="28"/>
    </row>
    <row r="228" spans="3:3" x14ac:dyDescent="0.25">
      <c r="C228" s="28"/>
    </row>
    <row r="229" spans="3:3" x14ac:dyDescent="0.25">
      <c r="C229" s="28"/>
    </row>
    <row r="230" spans="3:3" x14ac:dyDescent="0.25">
      <c r="C230" s="28"/>
    </row>
    <row r="231" spans="3:3" x14ac:dyDescent="0.25">
      <c r="C231" s="28"/>
    </row>
    <row r="232" spans="3:3" x14ac:dyDescent="0.25">
      <c r="C232" s="28"/>
    </row>
    <row r="233" spans="3:3" x14ac:dyDescent="0.25">
      <c r="C233" s="28"/>
    </row>
    <row r="234" spans="3:3" x14ac:dyDescent="0.25">
      <c r="C234" s="28"/>
    </row>
    <row r="235" spans="3:3" x14ac:dyDescent="0.25">
      <c r="C235" s="28"/>
    </row>
    <row r="236" spans="3:3" x14ac:dyDescent="0.25">
      <c r="C236" s="28"/>
    </row>
    <row r="237" spans="3:3" x14ac:dyDescent="0.25">
      <c r="C237" s="28"/>
    </row>
    <row r="238" spans="3:3" x14ac:dyDescent="0.25">
      <c r="C238" s="28"/>
    </row>
    <row r="239" spans="3:3" x14ac:dyDescent="0.25">
      <c r="C239" s="28"/>
    </row>
    <row r="240" spans="3:3" x14ac:dyDescent="0.25">
      <c r="C240" s="28"/>
    </row>
    <row r="241" spans="3:3" x14ac:dyDescent="0.25">
      <c r="C241" s="28"/>
    </row>
    <row r="242" spans="3:3" x14ac:dyDescent="0.25">
      <c r="C242" s="28"/>
    </row>
    <row r="243" spans="3:3" x14ac:dyDescent="0.25">
      <c r="C243" s="28"/>
    </row>
    <row r="244" spans="3:3" x14ac:dyDescent="0.25">
      <c r="C244" s="28"/>
    </row>
    <row r="245" spans="3:3" x14ac:dyDescent="0.25">
      <c r="C245" s="28"/>
    </row>
    <row r="246" spans="3:3" x14ac:dyDescent="0.25">
      <c r="C246" s="28"/>
    </row>
    <row r="247" spans="3:3" x14ac:dyDescent="0.25">
      <c r="C247" s="28"/>
    </row>
    <row r="248" spans="3:3" x14ac:dyDescent="0.25">
      <c r="C248" s="28"/>
    </row>
    <row r="249" spans="3:3" x14ac:dyDescent="0.25">
      <c r="C249" s="28"/>
    </row>
    <row r="250" spans="3:3" x14ac:dyDescent="0.25">
      <c r="C250" s="28"/>
    </row>
    <row r="251" spans="3:3" x14ac:dyDescent="0.25">
      <c r="C251" s="28"/>
    </row>
    <row r="252" spans="3:3" x14ac:dyDescent="0.25">
      <c r="C252" s="28"/>
    </row>
    <row r="253" spans="3:3" x14ac:dyDescent="0.25">
      <c r="C253" s="28"/>
    </row>
    <row r="254" spans="3:3" x14ac:dyDescent="0.25">
      <c r="C254" s="28"/>
    </row>
    <row r="255" spans="3:3" x14ac:dyDescent="0.25">
      <c r="C255" s="28"/>
    </row>
    <row r="256" spans="3:3" x14ac:dyDescent="0.25">
      <c r="C256" s="28"/>
    </row>
    <row r="257" spans="3:3" x14ac:dyDescent="0.25">
      <c r="C257" s="28"/>
    </row>
    <row r="258" spans="3:3" x14ac:dyDescent="0.25">
      <c r="C258" s="28"/>
    </row>
    <row r="259" spans="3:3" x14ac:dyDescent="0.25">
      <c r="C259" s="28"/>
    </row>
    <row r="260" spans="3:3" x14ac:dyDescent="0.25">
      <c r="C260" s="28"/>
    </row>
    <row r="261" spans="3:3" x14ac:dyDescent="0.25">
      <c r="C261" s="28"/>
    </row>
    <row r="262" spans="3:3" x14ac:dyDescent="0.25">
      <c r="C262" s="28"/>
    </row>
    <row r="263" spans="3:3" x14ac:dyDescent="0.25">
      <c r="C263" s="28"/>
    </row>
    <row r="264" spans="3:3" x14ac:dyDescent="0.25">
      <c r="C264" s="28"/>
    </row>
    <row r="265" spans="3:3" x14ac:dyDescent="0.25">
      <c r="C265" s="28"/>
    </row>
    <row r="266" spans="3:3" x14ac:dyDescent="0.25">
      <c r="C266" s="28"/>
    </row>
    <row r="267" spans="3:3" x14ac:dyDescent="0.25">
      <c r="C267" s="28"/>
    </row>
    <row r="268" spans="3:3" x14ac:dyDescent="0.25">
      <c r="C268" s="28"/>
    </row>
    <row r="269" spans="3:3" x14ac:dyDescent="0.25">
      <c r="C269" s="28"/>
    </row>
    <row r="270" spans="3:3" x14ac:dyDescent="0.25">
      <c r="C270" s="28"/>
    </row>
    <row r="271" spans="3:3" x14ac:dyDescent="0.25">
      <c r="C271" s="28"/>
    </row>
    <row r="272" spans="3:3" x14ac:dyDescent="0.25">
      <c r="C272" s="28"/>
    </row>
    <row r="273" spans="3:3" x14ac:dyDescent="0.25">
      <c r="C273" s="28"/>
    </row>
    <row r="274" spans="3:3" x14ac:dyDescent="0.25">
      <c r="C274" s="28"/>
    </row>
    <row r="275" spans="3:3" x14ac:dyDescent="0.25">
      <c r="C275" s="28"/>
    </row>
    <row r="276" spans="3:3" x14ac:dyDescent="0.25">
      <c r="C276" s="28"/>
    </row>
    <row r="277" spans="3:3" x14ac:dyDescent="0.25">
      <c r="C277" s="28"/>
    </row>
    <row r="278" spans="3:3" x14ac:dyDescent="0.25">
      <c r="C278" s="28"/>
    </row>
    <row r="279" spans="3:3" x14ac:dyDescent="0.25">
      <c r="C279" s="28"/>
    </row>
    <row r="280" spans="3:3" x14ac:dyDescent="0.25">
      <c r="C280" s="28"/>
    </row>
    <row r="281" spans="3:3" x14ac:dyDescent="0.25">
      <c r="C281" s="28"/>
    </row>
    <row r="282" spans="3:3" x14ac:dyDescent="0.25">
      <c r="C282" s="28"/>
    </row>
    <row r="283" spans="3:3" x14ac:dyDescent="0.25">
      <c r="C283" s="28"/>
    </row>
    <row r="284" spans="3:3" x14ac:dyDescent="0.25">
      <c r="C284" s="28"/>
    </row>
    <row r="285" spans="3:3" x14ac:dyDescent="0.25">
      <c r="C285" s="28"/>
    </row>
    <row r="286" spans="3:3" x14ac:dyDescent="0.25">
      <c r="C286" s="28"/>
    </row>
    <row r="287" spans="3:3" x14ac:dyDescent="0.25">
      <c r="C287" s="28"/>
    </row>
    <row r="288" spans="3:3" x14ac:dyDescent="0.25">
      <c r="C288" s="28"/>
    </row>
    <row r="289" spans="3:3" x14ac:dyDescent="0.25">
      <c r="C289" s="28"/>
    </row>
    <row r="290" spans="3:3" x14ac:dyDescent="0.25">
      <c r="C290" s="28"/>
    </row>
    <row r="291" spans="3:3" x14ac:dyDescent="0.25">
      <c r="C291" s="28"/>
    </row>
    <row r="292" spans="3:3" x14ac:dyDescent="0.25">
      <c r="C292" s="28"/>
    </row>
    <row r="293" spans="3:3" x14ac:dyDescent="0.25">
      <c r="C293" s="28"/>
    </row>
    <row r="294" spans="3:3" x14ac:dyDescent="0.25">
      <c r="C294" s="28"/>
    </row>
    <row r="295" spans="3:3" x14ac:dyDescent="0.25">
      <c r="C295" s="28"/>
    </row>
    <row r="296" spans="3:3" x14ac:dyDescent="0.25">
      <c r="C296" s="28"/>
    </row>
    <row r="297" spans="3:3" x14ac:dyDescent="0.25">
      <c r="C297" s="28"/>
    </row>
    <row r="298" spans="3:3" x14ac:dyDescent="0.25">
      <c r="C298" s="28"/>
    </row>
    <row r="299" spans="3:3" x14ac:dyDescent="0.25">
      <c r="C299" s="28"/>
    </row>
    <row r="300" spans="3:3" x14ac:dyDescent="0.25">
      <c r="C300" s="28"/>
    </row>
  </sheetData>
  <protectedRanges>
    <protectedRange sqref="B2:B3" name="Editable_1"/>
    <protectedRange sqref="C2:C3" name="Editable_1_1"/>
    <protectedRange sqref="D2:D3" name="Editable_1_2"/>
  </protectedRanges>
  <mergeCells count="2">
    <mergeCell ref="B3:K3"/>
    <mergeCell ref="B2:H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loadPBs">
                <anchor moveWithCells="1" sizeWithCells="1">
                  <from>
                    <xdr:col>8</xdr:col>
                    <xdr:colOff>381000</xdr:colOff>
                    <xdr:row>1</xdr:row>
                    <xdr:rowOff>76200</xdr:rowOff>
                  </from>
                  <to>
                    <xdr:col>11</xdr:col>
                    <xdr:colOff>542925</xdr:colOff>
                    <xdr:row>1</xdr:row>
                    <xdr:rowOff>723900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94F3-3AB8-4369-81C5-39BBAC8D82B9}">
  <sheetPr codeName="Sheet2"/>
  <dimension ref="E3:AB19"/>
  <sheetViews>
    <sheetView showGridLines="0" zoomScale="130" zoomScaleNormal="130" workbookViewId="0">
      <selection activeCell="E10" sqref="E10:E19"/>
    </sheetView>
  </sheetViews>
  <sheetFormatPr defaultColWidth="8.85546875" defaultRowHeight="15" x14ac:dyDescent="0.25"/>
  <cols>
    <col min="5" max="5" width="31.85546875" bestFit="1" customWidth="1"/>
    <col min="6" max="6" width="7.140625" bestFit="1" customWidth="1"/>
    <col min="7" max="7" width="17.7109375" bestFit="1" customWidth="1"/>
    <col min="26" max="27" width="81.140625" hidden="1" customWidth="1"/>
    <col min="28" max="28" width="1.42578125" hidden="1" customWidth="1"/>
  </cols>
  <sheetData>
    <row r="3" spans="5:26" x14ac:dyDescent="0.25">
      <c r="Z3" t="s">
        <v>116</v>
      </c>
    </row>
    <row r="8" spans="5:26" ht="15.75" thickBot="1" x14ac:dyDescent="0.3"/>
    <row r="9" spans="5:26" ht="15.75" thickBot="1" x14ac:dyDescent="0.3">
      <c r="E9" s="16" t="s">
        <v>49</v>
      </c>
      <c r="F9" s="17" t="s">
        <v>51</v>
      </c>
      <c r="G9" s="18" t="s">
        <v>50</v>
      </c>
    </row>
    <row r="10" spans="5:26" x14ac:dyDescent="0.25">
      <c r="E10" t="s">
        <v>20</v>
      </c>
      <c r="F10" t="s">
        <v>117</v>
      </c>
      <c r="I10" s="2"/>
      <c r="J10" s="2"/>
      <c r="K10" s="3"/>
      <c r="L10" s="3"/>
      <c r="N10" s="3"/>
    </row>
    <row r="11" spans="5:26" x14ac:dyDescent="0.25">
      <c r="E11" t="s">
        <v>118</v>
      </c>
      <c r="F11" t="s">
        <v>119</v>
      </c>
      <c r="I11" s="2"/>
      <c r="J11" s="2"/>
      <c r="K11" s="3"/>
      <c r="L11" s="3"/>
      <c r="N11" s="3"/>
    </row>
    <row r="12" spans="5:26" x14ac:dyDescent="0.25">
      <c r="E12" t="s">
        <v>120</v>
      </c>
      <c r="F12" t="s">
        <v>121</v>
      </c>
      <c r="I12" s="2"/>
      <c r="J12" s="2"/>
      <c r="K12" s="3"/>
      <c r="L12" s="3"/>
      <c r="N12" s="3"/>
    </row>
    <row r="13" spans="5:26" x14ac:dyDescent="0.25">
      <c r="E13" t="s">
        <v>122</v>
      </c>
      <c r="F13" t="s">
        <v>123</v>
      </c>
      <c r="I13" s="2"/>
      <c r="J13" s="2"/>
      <c r="K13" s="3"/>
      <c r="L13" s="3"/>
      <c r="N13" s="3"/>
    </row>
    <row r="14" spans="5:26" x14ac:dyDescent="0.25">
      <c r="E14" t="s">
        <v>124</v>
      </c>
      <c r="F14" t="s">
        <v>125</v>
      </c>
      <c r="I14" s="2"/>
      <c r="J14" s="2"/>
      <c r="K14" s="3"/>
      <c r="L14" s="3"/>
      <c r="N14" s="3"/>
    </row>
    <row r="15" spans="5:26" x14ac:dyDescent="0.25">
      <c r="E15" t="s">
        <v>126</v>
      </c>
      <c r="F15" t="s">
        <v>127</v>
      </c>
      <c r="I15" s="2"/>
      <c r="J15" s="2"/>
      <c r="K15" s="3"/>
      <c r="L15" s="3"/>
      <c r="N15" s="3"/>
    </row>
    <row r="16" spans="5:26" x14ac:dyDescent="0.25">
      <c r="E16" t="s">
        <v>128</v>
      </c>
      <c r="F16" t="s">
        <v>129</v>
      </c>
      <c r="I16" s="2"/>
      <c r="J16" s="2"/>
      <c r="K16" s="3"/>
      <c r="L16" s="3"/>
      <c r="N16" s="3"/>
    </row>
    <row r="17" spans="5:14" x14ac:dyDescent="0.25">
      <c r="E17" t="s">
        <v>130</v>
      </c>
      <c r="F17" t="s">
        <v>131</v>
      </c>
      <c r="I17" s="2"/>
      <c r="J17" s="2"/>
      <c r="K17" s="3"/>
      <c r="L17" s="3"/>
      <c r="N17" s="3"/>
    </row>
    <row r="18" spans="5:14" x14ac:dyDescent="0.25">
      <c r="E18" t="s">
        <v>132</v>
      </c>
      <c r="F18" t="s">
        <v>133</v>
      </c>
      <c r="I18" s="2"/>
      <c r="J18" s="2"/>
      <c r="K18" s="3"/>
      <c r="L18" s="3"/>
      <c r="N18" s="3"/>
    </row>
    <row r="19" spans="5:14" x14ac:dyDescent="0.25">
      <c r="E19" t="s">
        <v>134</v>
      </c>
      <c r="F19" t="s">
        <v>135</v>
      </c>
      <c r="I19" s="2"/>
      <c r="J19" s="2"/>
      <c r="K19" s="3"/>
      <c r="L19" s="3"/>
      <c r="N19"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194</vt:i4>
      </vt:variant>
    </vt:vector>
  </HeadingPairs>
  <TitlesOfParts>
    <vt:vector size="198" baseType="lpstr">
      <vt:lpstr>Entry</vt:lpstr>
      <vt:lpstr>Setup</vt:lpstr>
      <vt:lpstr>PBs from OpenIPF</vt:lpstr>
      <vt:lpstr>Comps</vt:lpstr>
      <vt:lpstr>Comps</vt:lpstr>
      <vt:lpstr>Comps!ExternalData_1</vt:lpstr>
      <vt:lpstr>Comps!ExternalData_10</vt:lpstr>
      <vt:lpstr>Comps!ExternalData_100</vt:lpstr>
      <vt:lpstr>Comps!ExternalData_101</vt:lpstr>
      <vt:lpstr>Comps!ExternalData_102</vt:lpstr>
      <vt:lpstr>Comps!ExternalData_103</vt:lpstr>
      <vt:lpstr>Comps!ExternalData_104</vt:lpstr>
      <vt:lpstr>Comps!ExternalData_105</vt:lpstr>
      <vt:lpstr>Comps!ExternalData_106</vt:lpstr>
      <vt:lpstr>Comps!ExternalData_107</vt:lpstr>
      <vt:lpstr>Comps!ExternalData_108</vt:lpstr>
      <vt:lpstr>Comps!ExternalData_109</vt:lpstr>
      <vt:lpstr>Comps!ExternalData_11</vt:lpstr>
      <vt:lpstr>Comps!ExternalData_110</vt:lpstr>
      <vt:lpstr>Comps!ExternalData_111</vt:lpstr>
      <vt:lpstr>Comps!ExternalData_112</vt:lpstr>
      <vt:lpstr>Comps!ExternalData_113</vt:lpstr>
      <vt:lpstr>Comps!ExternalData_114</vt:lpstr>
      <vt:lpstr>Comps!ExternalData_115</vt:lpstr>
      <vt:lpstr>Comps!ExternalData_116</vt:lpstr>
      <vt:lpstr>Comps!ExternalData_117</vt:lpstr>
      <vt:lpstr>Comps!ExternalData_118</vt:lpstr>
      <vt:lpstr>Comps!ExternalData_119</vt:lpstr>
      <vt:lpstr>Comps!ExternalData_12</vt:lpstr>
      <vt:lpstr>Comps!ExternalData_120</vt:lpstr>
      <vt:lpstr>Comps!ExternalData_121</vt:lpstr>
      <vt:lpstr>Comps!ExternalData_122</vt:lpstr>
      <vt:lpstr>Comps!ExternalData_123</vt:lpstr>
      <vt:lpstr>Comps!ExternalData_124</vt:lpstr>
      <vt:lpstr>Comps!ExternalData_125</vt:lpstr>
      <vt:lpstr>Comps!ExternalData_126</vt:lpstr>
      <vt:lpstr>Comps!ExternalData_127</vt:lpstr>
      <vt:lpstr>Comps!ExternalData_128</vt:lpstr>
      <vt:lpstr>Comps!ExternalData_129</vt:lpstr>
      <vt:lpstr>Comps!ExternalData_13</vt:lpstr>
      <vt:lpstr>Comps!ExternalData_130</vt:lpstr>
      <vt:lpstr>Comps!ExternalData_131</vt:lpstr>
      <vt:lpstr>Comps!ExternalData_132</vt:lpstr>
      <vt:lpstr>Comps!ExternalData_133</vt:lpstr>
      <vt:lpstr>Comps!ExternalData_134</vt:lpstr>
      <vt:lpstr>Comps!ExternalData_135</vt:lpstr>
      <vt:lpstr>Comps!ExternalData_136</vt:lpstr>
      <vt:lpstr>Comps!ExternalData_137</vt:lpstr>
      <vt:lpstr>Comps!ExternalData_138</vt:lpstr>
      <vt:lpstr>Comps!ExternalData_139</vt:lpstr>
      <vt:lpstr>Comps!ExternalData_14</vt:lpstr>
      <vt:lpstr>Comps!ExternalData_140</vt:lpstr>
      <vt:lpstr>Comps!ExternalData_141</vt:lpstr>
      <vt:lpstr>Comps!ExternalData_142</vt:lpstr>
      <vt:lpstr>Comps!ExternalData_143</vt:lpstr>
      <vt:lpstr>Comps!ExternalData_144</vt:lpstr>
      <vt:lpstr>Comps!ExternalData_145</vt:lpstr>
      <vt:lpstr>Comps!ExternalData_146</vt:lpstr>
      <vt:lpstr>Comps!ExternalData_147</vt:lpstr>
      <vt:lpstr>Comps!ExternalData_148</vt:lpstr>
      <vt:lpstr>Comps!ExternalData_149</vt:lpstr>
      <vt:lpstr>Comps!ExternalData_15</vt:lpstr>
      <vt:lpstr>Comps!ExternalData_150</vt:lpstr>
      <vt:lpstr>Comps!ExternalData_151</vt:lpstr>
      <vt:lpstr>Comps!ExternalData_152</vt:lpstr>
      <vt:lpstr>Comps!ExternalData_153</vt:lpstr>
      <vt:lpstr>Comps!ExternalData_154</vt:lpstr>
      <vt:lpstr>Comps!ExternalData_155</vt:lpstr>
      <vt:lpstr>Comps!ExternalData_156</vt:lpstr>
      <vt:lpstr>Comps!ExternalData_157</vt:lpstr>
      <vt:lpstr>Comps!ExternalData_158</vt:lpstr>
      <vt:lpstr>Comps!ExternalData_159</vt:lpstr>
      <vt:lpstr>Comps!ExternalData_16</vt:lpstr>
      <vt:lpstr>Comps!ExternalData_160</vt:lpstr>
      <vt:lpstr>Comps!ExternalData_161</vt:lpstr>
      <vt:lpstr>Comps!ExternalData_162</vt:lpstr>
      <vt:lpstr>Comps!ExternalData_163</vt:lpstr>
      <vt:lpstr>Comps!ExternalData_164</vt:lpstr>
      <vt:lpstr>Comps!ExternalData_165</vt:lpstr>
      <vt:lpstr>Comps!ExternalData_166</vt:lpstr>
      <vt:lpstr>Comps!ExternalData_167</vt:lpstr>
      <vt:lpstr>Comps!ExternalData_168</vt:lpstr>
      <vt:lpstr>Comps!ExternalData_169</vt:lpstr>
      <vt:lpstr>Comps!ExternalData_17</vt:lpstr>
      <vt:lpstr>Comps!ExternalData_170</vt:lpstr>
      <vt:lpstr>Comps!ExternalData_171</vt:lpstr>
      <vt:lpstr>Comps!ExternalData_172</vt:lpstr>
      <vt:lpstr>Comps!ExternalData_173</vt:lpstr>
      <vt:lpstr>Comps!ExternalData_174</vt:lpstr>
      <vt:lpstr>Comps!ExternalData_175</vt:lpstr>
      <vt:lpstr>Comps!ExternalData_176</vt:lpstr>
      <vt:lpstr>Comps!ExternalData_177</vt:lpstr>
      <vt:lpstr>Comps!ExternalData_178</vt:lpstr>
      <vt:lpstr>Comps!ExternalData_179</vt:lpstr>
      <vt:lpstr>Comps!ExternalData_18</vt:lpstr>
      <vt:lpstr>Comps!ExternalData_180</vt:lpstr>
      <vt:lpstr>Comps!ExternalData_181</vt:lpstr>
      <vt:lpstr>Comps!ExternalData_182</vt:lpstr>
      <vt:lpstr>Comps!ExternalData_183</vt:lpstr>
      <vt:lpstr>Comps!ExternalData_184</vt:lpstr>
      <vt:lpstr>Comps!ExternalData_185</vt:lpstr>
      <vt:lpstr>Comps!ExternalData_186</vt:lpstr>
      <vt:lpstr>Comps!ExternalData_187</vt:lpstr>
      <vt:lpstr>Comps!ExternalData_188</vt:lpstr>
      <vt:lpstr>Comps!ExternalData_189</vt:lpstr>
      <vt:lpstr>Comps!ExternalData_19</vt:lpstr>
      <vt:lpstr>Comps!ExternalData_192</vt:lpstr>
      <vt:lpstr>Comps!ExternalData_193</vt:lpstr>
      <vt:lpstr>Comps!ExternalData_194</vt:lpstr>
      <vt:lpstr>Comps!ExternalData_195</vt:lpstr>
      <vt:lpstr>Comps!ExternalData_196</vt:lpstr>
      <vt:lpstr>Comps!ExternalData_197</vt:lpstr>
      <vt:lpstr>Comps!ExternalData_198</vt:lpstr>
      <vt:lpstr>Comps!ExternalData_199</vt:lpstr>
      <vt:lpstr>Comps!ExternalData_2</vt:lpstr>
      <vt:lpstr>Comps!ExternalData_20</vt:lpstr>
      <vt:lpstr>Comps!ExternalData_201</vt:lpstr>
      <vt:lpstr>Comps!ExternalData_203</vt:lpstr>
      <vt:lpstr>Comps!ExternalData_204</vt:lpstr>
      <vt:lpstr>Comps!ExternalData_205</vt:lpstr>
      <vt:lpstr>Comps!ExternalData_207</vt:lpstr>
      <vt:lpstr>Comps!ExternalData_208</vt:lpstr>
      <vt:lpstr>Comps!ExternalData_209</vt:lpstr>
      <vt:lpstr>Comps!ExternalData_21</vt:lpstr>
      <vt:lpstr>Comps!ExternalData_210</vt:lpstr>
      <vt:lpstr>Comps!ExternalData_211</vt:lpstr>
      <vt:lpstr>Comps!ExternalData_213</vt:lpstr>
      <vt:lpstr>Comps!ExternalData_215</vt:lpstr>
      <vt:lpstr>Comps!ExternalData_216</vt:lpstr>
      <vt:lpstr>Comps!ExternalData_218</vt:lpstr>
      <vt:lpstr>Comps!ExternalData_22</vt:lpstr>
      <vt:lpstr>Comps!ExternalData_220</vt:lpstr>
      <vt:lpstr>Comps!ExternalData_222</vt:lpstr>
      <vt:lpstr>Comps!ExternalData_223</vt:lpstr>
      <vt:lpstr>Comps!ExternalData_224</vt:lpstr>
      <vt:lpstr>Comps!ExternalData_225</vt:lpstr>
      <vt:lpstr>Comps!ExternalData_226</vt:lpstr>
      <vt:lpstr>Comps!ExternalData_23</vt:lpstr>
      <vt:lpstr>Comps!ExternalData_24</vt:lpstr>
      <vt:lpstr>Comps!ExternalData_25</vt:lpstr>
      <vt:lpstr>Comps!ExternalData_26</vt:lpstr>
      <vt:lpstr>Comps!ExternalData_28</vt:lpstr>
      <vt:lpstr>Comps!ExternalData_3</vt:lpstr>
      <vt:lpstr>Comps!ExternalData_30</vt:lpstr>
      <vt:lpstr>Comps!ExternalData_32</vt:lpstr>
      <vt:lpstr>Comps!ExternalData_33</vt:lpstr>
      <vt:lpstr>Comps!ExternalData_34</vt:lpstr>
      <vt:lpstr>Comps!ExternalData_35</vt:lpstr>
      <vt:lpstr>Comps!ExternalData_37</vt:lpstr>
      <vt:lpstr>Comps!ExternalData_39</vt:lpstr>
      <vt:lpstr>Comps!ExternalData_4</vt:lpstr>
      <vt:lpstr>Comps!ExternalData_42</vt:lpstr>
      <vt:lpstr>Comps!ExternalData_44</vt:lpstr>
      <vt:lpstr>Comps!ExternalData_46</vt:lpstr>
      <vt:lpstr>Comps!ExternalData_48</vt:lpstr>
      <vt:lpstr>Comps!ExternalData_49</vt:lpstr>
      <vt:lpstr>Comps!ExternalData_5</vt:lpstr>
      <vt:lpstr>Comps!ExternalData_51</vt:lpstr>
      <vt:lpstr>Comps!ExternalData_53</vt:lpstr>
      <vt:lpstr>Comps!ExternalData_54</vt:lpstr>
      <vt:lpstr>Comps!ExternalData_56</vt:lpstr>
      <vt:lpstr>Comps!ExternalData_58</vt:lpstr>
      <vt:lpstr>Comps!ExternalData_6</vt:lpstr>
      <vt:lpstr>Comps!ExternalData_60</vt:lpstr>
      <vt:lpstr>Comps!ExternalData_62</vt:lpstr>
      <vt:lpstr>Comps!ExternalData_64</vt:lpstr>
      <vt:lpstr>Comps!ExternalData_66</vt:lpstr>
      <vt:lpstr>Comps!ExternalData_67</vt:lpstr>
      <vt:lpstr>Comps!ExternalData_68</vt:lpstr>
      <vt:lpstr>Comps!ExternalData_7</vt:lpstr>
      <vt:lpstr>Comps!ExternalData_71</vt:lpstr>
      <vt:lpstr>Comps!ExternalData_72</vt:lpstr>
      <vt:lpstr>Comps!ExternalData_73</vt:lpstr>
      <vt:lpstr>Comps!ExternalData_74</vt:lpstr>
      <vt:lpstr>Comps!ExternalData_75</vt:lpstr>
      <vt:lpstr>Comps!ExternalData_76</vt:lpstr>
      <vt:lpstr>Comps!ExternalData_77</vt:lpstr>
      <vt:lpstr>Comps!ExternalData_78</vt:lpstr>
      <vt:lpstr>Comps!ExternalData_79</vt:lpstr>
      <vt:lpstr>Comps!ExternalData_8</vt:lpstr>
      <vt:lpstr>Comps!ExternalData_80</vt:lpstr>
      <vt:lpstr>Comps!ExternalData_82</vt:lpstr>
      <vt:lpstr>Comps!ExternalData_83</vt:lpstr>
      <vt:lpstr>Comps!ExternalData_84</vt:lpstr>
      <vt:lpstr>Comps!ExternalData_85</vt:lpstr>
      <vt:lpstr>Comps!ExternalData_86</vt:lpstr>
      <vt:lpstr>Comps!ExternalData_87</vt:lpstr>
      <vt:lpstr>Comps!ExternalData_88</vt:lpstr>
      <vt:lpstr>Comps!ExternalData_89</vt:lpstr>
      <vt:lpstr>Comps!ExternalData_90</vt:lpstr>
      <vt:lpstr>Comps!ExternalData_92</vt:lpstr>
      <vt:lpstr>Comps!ExternalData_93</vt:lpstr>
      <vt:lpstr>Comps!ExternalData_94</vt:lpstr>
      <vt:lpstr>Comps!ExternalData_95</vt:lpstr>
      <vt:lpstr>Comps!ExternalData_96</vt:lpstr>
      <vt:lpstr>Comps!ExternalData_97</vt:lpstr>
      <vt:lpstr>Comps!ExternalData_98</vt:lpstr>
      <vt:lpstr>Comps!ExternalData_99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 McCloy</dc:creator>
  <cp:lastModifiedBy>Evan McCloy</cp:lastModifiedBy>
  <dcterms:created xsi:type="dcterms:W3CDTF">2022-10-01T10:33:57Z</dcterms:created>
  <dcterms:modified xsi:type="dcterms:W3CDTF">2023-03-20T05:16:01Z</dcterms:modified>
</cp:coreProperties>
</file>