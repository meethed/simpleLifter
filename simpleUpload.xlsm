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evan\Downloads\simpleLifter\"/>
    </mc:Choice>
  </mc:AlternateContent>
  <xr:revisionPtr revIDLastSave="0" documentId="13_ncr:1_{5FEC29F2-29AF-465D-B08A-DC5D70277E34}" xr6:coauthVersionLast="47" xr6:coauthVersionMax="47" xr10:uidLastSave="{00000000-0000-0000-0000-000000000000}"/>
  <bookViews>
    <workbookView xWindow="-120" yWindow="-120" windowWidth="29040" windowHeight="16440" xr2:uid="{79790E88-E47B-481A-9C44-9D80B475BC58}"/>
  </bookViews>
  <sheets>
    <sheet name="Entry" sheetId="1" r:id="rId1"/>
    <sheet name="Setup" sheetId="4" r:id="rId2"/>
    <sheet name="CSV Transfer" sheetId="5" r:id="rId3"/>
    <sheet name="Comps" sheetId="2" r:id="rId4"/>
  </sheets>
  <functionGroups builtInGroupCount="19"/>
  <definedNames>
    <definedName name="_xlnm._FilterDatabase" localSheetId="0" hidden="1">Entry!$E$3:$AB$299</definedName>
    <definedName name="Comps">Comps!$E$10:$E$100</definedName>
    <definedName name="ExternalData_1" localSheetId="3">Comps!$Z$1:$Z$2</definedName>
    <definedName name="ExternalData_10" localSheetId="3">Comps!$Z$1:$Z$2</definedName>
    <definedName name="ExternalData_100" localSheetId="3">Comps!$AA$1:$AA$2</definedName>
    <definedName name="ExternalData_101" localSheetId="3">Comps!$AB$1:$AB$2</definedName>
    <definedName name="ExternalData_102" localSheetId="3">Comps!$AA$1:$AA$2</definedName>
    <definedName name="ExternalData_103" localSheetId="3">Comps!$AB$1:$AB$2</definedName>
    <definedName name="ExternalData_104" localSheetId="3">Comps!$AA$1:$AA$2</definedName>
    <definedName name="ExternalData_105" localSheetId="3">Comps!$AB$1:$AB$2</definedName>
    <definedName name="ExternalData_106" localSheetId="3">Comps!$AA$1:$AA$2</definedName>
    <definedName name="ExternalData_107" localSheetId="3">Comps!$AB$1:$AB$2</definedName>
    <definedName name="ExternalData_108" localSheetId="3">Comps!$Z$1:$Z$3</definedName>
    <definedName name="ExternalData_109" localSheetId="3">Comps!$AA$1:$AA$2</definedName>
    <definedName name="ExternalData_11" localSheetId="3">Comps!$Z$1:$Z$2</definedName>
    <definedName name="ExternalData_110" localSheetId="3">Comps!$AB$1:$AB$2</definedName>
    <definedName name="ExternalData_111" localSheetId="3">Comps!$AA$1:$AA$2</definedName>
    <definedName name="ExternalData_112" localSheetId="3">Comps!$AB$1:$AB$2</definedName>
    <definedName name="ExternalData_113" localSheetId="3">Comps!$AA$1:$AA$2</definedName>
    <definedName name="ExternalData_114" localSheetId="3">Comps!$AB$1:$AB$2</definedName>
    <definedName name="ExternalData_115" localSheetId="3">Comps!$AA$1:$AA$2</definedName>
    <definedName name="ExternalData_116" localSheetId="3">Comps!$AB$1:$AB$2</definedName>
    <definedName name="ExternalData_117" localSheetId="3">Comps!$AA$1:$AA$2</definedName>
    <definedName name="ExternalData_118" localSheetId="3">Comps!$AB$1:$AB$2</definedName>
    <definedName name="ExternalData_119" localSheetId="3">Comps!$Z$1:$Z$3</definedName>
    <definedName name="ExternalData_12" localSheetId="3">Comps!$Z$1:$Z$2</definedName>
    <definedName name="ExternalData_120" localSheetId="3">Comps!$Z$1:$Z$3</definedName>
    <definedName name="ExternalData_121" localSheetId="3">Comps!$Z$1:$Z$3</definedName>
    <definedName name="ExternalData_122" localSheetId="3">Comps!$Z$1:$Z$3</definedName>
    <definedName name="ExternalData_123" localSheetId="3">Comps!$AA$1:$AA$2</definedName>
    <definedName name="ExternalData_124" localSheetId="3">Comps!$AB$1:$AB$2</definedName>
    <definedName name="ExternalData_125" localSheetId="3">Comps!$AA$1:$AA$2</definedName>
    <definedName name="ExternalData_126" localSheetId="3">Comps!$AB$1:$AB$2</definedName>
    <definedName name="ExternalData_127" localSheetId="3">Comps!$AA$1:$AA$2</definedName>
    <definedName name="ExternalData_128" localSheetId="3">Comps!$AB$1:$AB$2</definedName>
    <definedName name="ExternalData_129" localSheetId="3">Comps!$AA$1:$AA$2</definedName>
    <definedName name="ExternalData_13" localSheetId="3">Comps!$Z$1:$Z$2</definedName>
    <definedName name="ExternalData_130" localSheetId="3">Comps!$AB$1:$AB$2</definedName>
    <definedName name="ExternalData_131" localSheetId="3">Comps!$AA$1:$AA$2</definedName>
    <definedName name="ExternalData_132" localSheetId="3">Comps!$AB$1:$AB$2</definedName>
    <definedName name="ExternalData_133" localSheetId="3">Comps!$Z$1:$Z$3</definedName>
    <definedName name="ExternalData_134" localSheetId="3">Comps!$Z$1:$Z$3</definedName>
    <definedName name="ExternalData_135" localSheetId="3">Comps!$Z$1:$Z$3</definedName>
    <definedName name="ExternalData_136" localSheetId="3">Comps!$AA$1:$AA$2</definedName>
    <definedName name="ExternalData_137" localSheetId="3">Comps!$AB$1:$AB$2</definedName>
    <definedName name="ExternalData_138" localSheetId="3">Comps!$AA$1:$AA$2</definedName>
    <definedName name="ExternalData_139" localSheetId="3">Comps!$AB$1:$AB$2</definedName>
    <definedName name="ExternalData_14" localSheetId="3">Comps!$Z$1:$Z$2</definedName>
    <definedName name="ExternalData_140" localSheetId="3">Comps!$AA$1:$AA$2</definedName>
    <definedName name="ExternalData_141" localSheetId="3">Comps!$AB$1:$AB$2</definedName>
    <definedName name="ExternalData_142" localSheetId="3">Comps!$AA$1:$AA$2</definedName>
    <definedName name="ExternalData_143" localSheetId="3">Comps!$AB$1:$AB$2</definedName>
    <definedName name="ExternalData_144" localSheetId="3">Comps!$AA$1:$AA$2</definedName>
    <definedName name="ExternalData_145" localSheetId="3">Comps!$AB$1:$AB$2</definedName>
    <definedName name="ExternalData_146" localSheetId="3">Comps!$AA$1:$AA$2</definedName>
    <definedName name="ExternalData_147" localSheetId="3">Comps!$AB$1:$AB$2</definedName>
    <definedName name="ExternalData_148" localSheetId="3">Comps!$AA$1:$AA$2</definedName>
    <definedName name="ExternalData_149" localSheetId="3">Comps!$AB$1:$AB$2</definedName>
    <definedName name="ExternalData_15" localSheetId="3">Comps!$Z$1:$Z$3</definedName>
    <definedName name="ExternalData_150" localSheetId="3">Comps!$AA$1:$AA$2</definedName>
    <definedName name="ExternalData_151" localSheetId="3">Comps!$AB$1:$AB$2</definedName>
    <definedName name="ExternalData_152" localSheetId="3">Comps!$AA$1:$AA$2</definedName>
    <definedName name="ExternalData_153" localSheetId="3">Comps!$AB$1:$AB$2</definedName>
    <definedName name="ExternalData_154" localSheetId="3">Comps!$AA$1:$AA$2</definedName>
    <definedName name="ExternalData_155" localSheetId="3">Comps!$AB$1:$AB$2</definedName>
    <definedName name="ExternalData_156" localSheetId="3">Comps!$AA$1:$AA$2</definedName>
    <definedName name="ExternalData_157" localSheetId="3">Comps!$AB$1:$AB$2</definedName>
    <definedName name="ExternalData_158" localSheetId="3">Comps!$AA$1:$AA$2</definedName>
    <definedName name="ExternalData_159" localSheetId="3">Comps!$AB$1:$AB$2</definedName>
    <definedName name="ExternalData_16" localSheetId="3">Comps!$Z$1:$Z$3</definedName>
    <definedName name="ExternalData_160" localSheetId="3">Comps!$AA$1:$AA$2</definedName>
    <definedName name="ExternalData_161" localSheetId="3">Comps!$AB$1:$AB$2</definedName>
    <definedName name="ExternalData_162" localSheetId="3">Comps!$AA$1:$AA$2</definedName>
    <definedName name="ExternalData_163" localSheetId="3">Comps!$AB$1:$AB$2</definedName>
    <definedName name="ExternalData_164" localSheetId="3">Comps!$AA$1:$AA$2</definedName>
    <definedName name="ExternalData_165" localSheetId="3">Comps!$AB$1:$AB$2</definedName>
    <definedName name="ExternalData_166" localSheetId="3">Comps!$AA$1:$AA$2</definedName>
    <definedName name="ExternalData_167" localSheetId="3">Comps!$AB$1:$AB$2</definedName>
    <definedName name="ExternalData_168" localSheetId="3">Comps!$AA$1:$AA$2</definedName>
    <definedName name="ExternalData_169" localSheetId="3">Comps!$AB$1:$AB$2</definedName>
    <definedName name="ExternalData_17" localSheetId="3">Comps!$Z$1:$Z$3</definedName>
    <definedName name="ExternalData_170" localSheetId="3">Comps!$AA$1:$AA$2</definedName>
    <definedName name="ExternalData_171" localSheetId="3">Comps!$AB$1:$AB$2</definedName>
    <definedName name="ExternalData_172" localSheetId="3">Comps!$AA$1:$AA$2</definedName>
    <definedName name="ExternalData_173" localSheetId="3">Comps!$AB$1:$AB$2</definedName>
    <definedName name="ExternalData_174" localSheetId="3">Comps!$Z$1:$Z$3</definedName>
    <definedName name="ExternalData_175" localSheetId="3">Comps!$Z$1:$Z$3</definedName>
    <definedName name="ExternalData_176" localSheetId="3">Comps!$Z$1:$Z$3</definedName>
    <definedName name="ExternalData_177" localSheetId="3">Comps!$Z$1:$Z$3</definedName>
    <definedName name="ExternalData_178" localSheetId="3">Comps!$AA$1:$AA$2</definedName>
    <definedName name="ExternalData_179" localSheetId="3">Comps!$AB$1:$AB$2</definedName>
    <definedName name="ExternalData_18" localSheetId="3">Comps!$Z$1:$Z$3</definedName>
    <definedName name="ExternalData_180" localSheetId="3">Comps!$AA$1:$AA$2</definedName>
    <definedName name="ExternalData_181" localSheetId="3">Comps!$AB$1:$AB$2</definedName>
    <definedName name="ExternalData_182" localSheetId="3">Comps!$AA$1:$AA$2</definedName>
    <definedName name="ExternalData_183" localSheetId="3">Comps!$AB$1:$AB$2</definedName>
    <definedName name="ExternalData_184" localSheetId="3">Comps!$AA$1:$AA$2</definedName>
    <definedName name="ExternalData_185" localSheetId="3">Comps!$AB$1:$AB$2</definedName>
    <definedName name="ExternalData_186" localSheetId="3">Comps!$Z$1:$Z$3</definedName>
    <definedName name="ExternalData_187" localSheetId="3">Comps!$AA$1:$AA$2</definedName>
    <definedName name="ExternalData_188" localSheetId="3">Comps!$AB$1:$AB$2</definedName>
    <definedName name="ExternalData_189" localSheetId="3">Comps!$Z$1:$Z$3</definedName>
    <definedName name="ExternalData_19" localSheetId="3">Comps!$Z$1:$Z$3</definedName>
    <definedName name="ExternalData_192" localSheetId="3">Comps!$AA$1</definedName>
    <definedName name="ExternalData_193" localSheetId="3">Comps!$AA$1</definedName>
    <definedName name="ExternalData_194" localSheetId="3">Comps!$Z$1:$Z$3</definedName>
    <definedName name="ExternalData_195" localSheetId="3">Comps!$Z$1:$Z$3</definedName>
    <definedName name="ExternalData_196" localSheetId="3">Comps!$AA$1</definedName>
    <definedName name="ExternalData_197" localSheetId="3">Comps!$Z$1:$Z$3</definedName>
    <definedName name="ExternalData_198" localSheetId="3">Comps!$Z$1:$Z$3</definedName>
    <definedName name="ExternalData_199" localSheetId="3">Comps!$AA$1</definedName>
    <definedName name="ExternalData_2" localSheetId="3">Comps!$Z$1:$Z$2</definedName>
    <definedName name="ExternalData_20" localSheetId="3">Comps!$Z$1:$Z$3</definedName>
    <definedName name="ExternalData_201" localSheetId="3">Comps!$AA$1</definedName>
    <definedName name="ExternalData_203" localSheetId="3">Comps!$AA$1</definedName>
    <definedName name="ExternalData_204" localSheetId="3">Comps!$Z$1:$Z$3</definedName>
    <definedName name="ExternalData_205" localSheetId="3">Comps!$AA$1</definedName>
    <definedName name="ExternalData_207" localSheetId="3">Comps!$Z$1:$Z$3</definedName>
    <definedName name="ExternalData_208" localSheetId="3">Comps!$AA$1</definedName>
    <definedName name="ExternalData_209" localSheetId="3">Comps!$Z$1:$Z$3</definedName>
    <definedName name="ExternalData_21" localSheetId="3">Comps!$Z$1:$Z$3</definedName>
    <definedName name="ExternalData_210" localSheetId="3">Comps!$Z$1:$Z$3</definedName>
    <definedName name="ExternalData_211" localSheetId="3">Comps!$AA$1</definedName>
    <definedName name="ExternalData_213" localSheetId="3">Comps!$AA$1</definedName>
    <definedName name="ExternalData_215" localSheetId="3">Comps!$Z$1:$Z$3</definedName>
    <definedName name="ExternalData_216" localSheetId="3">Comps!$AA$1</definedName>
    <definedName name="ExternalData_218" localSheetId="3">Comps!$AA$1</definedName>
    <definedName name="ExternalData_22" localSheetId="3">Comps!$Z$1:$Z$3</definedName>
    <definedName name="ExternalData_220" localSheetId="3">Comps!$AA$1</definedName>
    <definedName name="ExternalData_222" localSheetId="3">Comps!$AA$1</definedName>
    <definedName name="ExternalData_223" localSheetId="3">Comps!$Z$1:$Z$3</definedName>
    <definedName name="ExternalData_224" localSheetId="3">Comps!$Z$1:$Z$3</definedName>
    <definedName name="ExternalData_225" localSheetId="3">Comps!$Z$1:$Z$3</definedName>
    <definedName name="ExternalData_226" localSheetId="3">Comps!$Z$1:$Z$3</definedName>
    <definedName name="ExternalData_227" localSheetId="3">Comps!$Z$1:$Z$3</definedName>
    <definedName name="ExternalData_228" localSheetId="3">Comps!$AA$1</definedName>
    <definedName name="ExternalData_23" localSheetId="3">Comps!$Z$1:$Z$3</definedName>
    <definedName name="ExternalData_230" localSheetId="3">Comps!$AA$1</definedName>
    <definedName name="ExternalData_235" localSheetId="3">Comps!$AA$1</definedName>
    <definedName name="ExternalData_237" localSheetId="3">Comps!$AA$1</definedName>
    <definedName name="ExternalData_238" localSheetId="3">Comps!$Z$1:$Z$3</definedName>
    <definedName name="ExternalData_239" localSheetId="3">Comps!$Z$1:$Z$3</definedName>
    <definedName name="ExternalData_24" localSheetId="3">Comps!$Z$1:$Z$3</definedName>
    <definedName name="ExternalData_240" localSheetId="3">Comps!$Z$1:$Z$3</definedName>
    <definedName name="ExternalData_241" localSheetId="3">Comps!$Z$1:$Z$3</definedName>
    <definedName name="ExternalData_242" localSheetId="3">Comps!$Z$1:$Z$3</definedName>
    <definedName name="ExternalData_243" localSheetId="3">Comps!$Z$1:$Z$3</definedName>
    <definedName name="ExternalData_244" localSheetId="3">Comps!$Z$1:$Z$3</definedName>
    <definedName name="ExternalData_245" localSheetId="3">Comps!$Z$1:$Z$3</definedName>
    <definedName name="ExternalData_246" localSheetId="3">Comps!$Z$1:$Z$3</definedName>
    <definedName name="ExternalData_247" localSheetId="3">Comps!$Z$1:$Z$3</definedName>
    <definedName name="ExternalData_248" localSheetId="3">Comps!$Z$1:$Z$3</definedName>
    <definedName name="ExternalData_25" localSheetId="3">Comps!$Z$1:$Z$3</definedName>
    <definedName name="ExternalData_253" localSheetId="3">Comps!$Z$1:$Z$3</definedName>
    <definedName name="ExternalData_254" localSheetId="3">Comps!$Z$1:$Z$3</definedName>
    <definedName name="ExternalData_255" localSheetId="3">Comps!$Z$1:$Z$3</definedName>
    <definedName name="ExternalData_256" localSheetId="3">Comps!$Z$1:$Z$3</definedName>
    <definedName name="ExternalData_257" localSheetId="3">Comps!$Z$1:$Z$3</definedName>
    <definedName name="ExternalData_258" localSheetId="3">Comps!$Z$1:$Z$3</definedName>
    <definedName name="ExternalData_259" localSheetId="3">Comps!$Z$1:$Z$3</definedName>
    <definedName name="ExternalData_26" localSheetId="3">Comps!$AA$1:$AA$2</definedName>
    <definedName name="ExternalData_260" localSheetId="3">Comps!$Z$1:$Z$3</definedName>
    <definedName name="ExternalData_261" localSheetId="3">Comps!$Z$1:$Z$3</definedName>
    <definedName name="ExternalData_262" localSheetId="3">Comps!$Z$1:$Z$3</definedName>
    <definedName name="ExternalData_28" localSheetId="3">Comps!$AA$1:$AA$2</definedName>
    <definedName name="ExternalData_3" localSheetId="3">Comps!$Z$1:$Z$2</definedName>
    <definedName name="ExternalData_30" localSheetId="3">Comps!$AA$1:$AA$2</definedName>
    <definedName name="ExternalData_32" localSheetId="3">Comps!$AB$1:$AB$2</definedName>
    <definedName name="ExternalData_33" localSheetId="3">Comps!$AA$1:$AA$2</definedName>
    <definedName name="ExternalData_34" localSheetId="3">Comps!$AB$1:$AB$2</definedName>
    <definedName name="ExternalData_35" localSheetId="3">Comps!$AA$1:$AA$2</definedName>
    <definedName name="ExternalData_37" localSheetId="3">Comps!$AA$1:$AA$2</definedName>
    <definedName name="ExternalData_39" localSheetId="3">Comps!$AA$1:$AA$2</definedName>
    <definedName name="ExternalData_4" localSheetId="3">Comps!$Z$1:$Z$2</definedName>
    <definedName name="ExternalData_42" localSheetId="3">Comps!$AA$1:$AA$2</definedName>
    <definedName name="ExternalData_44" localSheetId="3">Comps!$AA$1:$AA$2</definedName>
    <definedName name="ExternalData_46" localSheetId="3">Comps!$AA$1:$AA$2</definedName>
    <definedName name="ExternalData_48" localSheetId="3">Comps!$AA$1:$AA$2</definedName>
    <definedName name="ExternalData_49" localSheetId="3">Comps!$AA$1:$AA$2</definedName>
    <definedName name="ExternalData_5" localSheetId="3">Comps!$Z$1:$Z$2</definedName>
    <definedName name="ExternalData_51" localSheetId="3">Comps!$AA$1:$AA$2</definedName>
    <definedName name="ExternalData_53" localSheetId="3">Comps!$AA$1:$AA$2</definedName>
    <definedName name="ExternalData_54" localSheetId="3">Comps!$AA$1:$AA$2</definedName>
    <definedName name="ExternalData_56" localSheetId="3">Comps!$AA$1:$AA$2</definedName>
    <definedName name="ExternalData_58" localSheetId="3">Comps!$AA$1:$AA$2</definedName>
    <definedName name="ExternalData_6" localSheetId="3">Comps!$Z$1:$Z$2</definedName>
    <definedName name="ExternalData_60" localSheetId="3">Comps!$AA$1:$AA$2</definedName>
    <definedName name="ExternalData_62" localSheetId="3">Comps!$AA$1:$AA$2</definedName>
    <definedName name="ExternalData_64" localSheetId="3">Comps!$AA$1:$AA$2</definedName>
    <definedName name="ExternalData_66" localSheetId="3">Comps!$AA$1:$AA$2</definedName>
    <definedName name="ExternalData_67" localSheetId="3">Comps!$AA$1:$AA$2</definedName>
    <definedName name="ExternalData_68" localSheetId="3">Comps!$AA$1:$AA$2</definedName>
    <definedName name="ExternalData_7" localSheetId="3">Comps!$Z$1:$Z$2</definedName>
    <definedName name="ExternalData_71" localSheetId="3">Comps!$AB$1:$AB$2</definedName>
    <definedName name="ExternalData_72" localSheetId="3">Comps!$AB$1:$AB$2</definedName>
    <definedName name="ExternalData_73" localSheetId="3">Comps!$AB$1:$AB$2</definedName>
    <definedName name="ExternalData_74" localSheetId="3">Comps!$AB$1:$AB$2</definedName>
    <definedName name="ExternalData_75" localSheetId="3">Comps!$AB$1:$AB$2</definedName>
    <definedName name="ExternalData_76" localSheetId="3">Comps!$AB$1:$AB$2</definedName>
    <definedName name="ExternalData_77" localSheetId="3">Comps!$AB$1:$AB$2</definedName>
    <definedName name="ExternalData_78" localSheetId="3">Comps!$AB$1:$AB$2</definedName>
    <definedName name="ExternalData_79" localSheetId="3">Comps!$AB$1:$AB$2</definedName>
    <definedName name="ExternalData_8" localSheetId="3">Comps!$Z$1:$Z$2</definedName>
    <definedName name="ExternalData_80" localSheetId="3">Comps!$AB$1:$AB$2</definedName>
    <definedName name="ExternalData_82" localSheetId="3">Comps!$AA$1:$AA$2</definedName>
    <definedName name="ExternalData_83" localSheetId="3">Comps!$AB$1:$AB$2</definedName>
    <definedName name="ExternalData_84" localSheetId="3">Comps!$AA$1:$AA$2</definedName>
    <definedName name="ExternalData_85" localSheetId="3">Comps!$AB$1:$AB$2</definedName>
    <definedName name="ExternalData_86" localSheetId="3">Comps!$AA$1:$AA$2</definedName>
    <definedName name="ExternalData_87" localSheetId="3">Comps!$AB$1:$AB$2</definedName>
    <definedName name="ExternalData_88" localSheetId="3">Comps!$AA$1:$AA$2</definedName>
    <definedName name="ExternalData_89" localSheetId="3">Comps!$AB$1:$AB$2</definedName>
    <definedName name="ExternalData_90" localSheetId="3">Comps!$AA$1:$AA$2</definedName>
    <definedName name="ExternalData_92" localSheetId="3">Comps!$AA$1:$AA$2</definedName>
    <definedName name="ExternalData_93" localSheetId="3">Comps!$AB$1:$AB$2</definedName>
    <definedName name="ExternalData_94" localSheetId="3">Comps!$AA$1:$AA$2</definedName>
    <definedName name="ExternalData_95" localSheetId="3">Comps!$AB$1:$AB$2</definedName>
    <definedName name="ExternalData_96" localSheetId="3">Comps!$AA$1:$AA$2</definedName>
    <definedName name="ExternalData_97" localSheetId="3">Comps!$AB$1:$AB$2</definedName>
    <definedName name="ExternalData_98" localSheetId="3">Comps!$AA$1:$AA$2</definedName>
    <definedName name="ExternalData_99" localSheetId="3">Comps!$AB$1:$AB$2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5" i="1" l="1"/>
  <c r="BB5" i="1" s="1"/>
  <c r="AG6" i="1"/>
  <c r="AG7" i="1"/>
  <c r="AG8" i="1"/>
  <c r="BB8" i="1" s="1"/>
  <c r="AG9" i="1"/>
  <c r="AG10" i="1"/>
  <c r="AG11" i="1"/>
  <c r="AG12" i="1"/>
  <c r="AG13" i="1"/>
  <c r="BB13" i="1" s="1"/>
  <c r="AG14" i="1"/>
  <c r="AG15" i="1"/>
  <c r="AG16" i="1"/>
  <c r="BB16" i="1" s="1"/>
  <c r="AG17" i="1"/>
  <c r="AG18" i="1"/>
  <c r="AG19" i="1"/>
  <c r="AG20" i="1"/>
  <c r="AG21" i="1"/>
  <c r="BB21" i="1" s="1"/>
  <c r="AG22" i="1"/>
  <c r="AG23" i="1"/>
  <c r="AG24" i="1"/>
  <c r="BB24" i="1" s="1"/>
  <c r="AG25" i="1"/>
  <c r="AG26" i="1"/>
  <c r="AG27" i="1"/>
  <c r="AG28" i="1"/>
  <c r="AG29" i="1"/>
  <c r="BB29" i="1" s="1"/>
  <c r="AG30" i="1"/>
  <c r="AG31" i="1"/>
  <c r="AG32" i="1"/>
  <c r="BB32" i="1" s="1"/>
  <c r="AG33" i="1"/>
  <c r="AG34" i="1"/>
  <c r="AG35" i="1"/>
  <c r="AG36" i="1"/>
  <c r="AG37" i="1"/>
  <c r="BB37" i="1" s="1"/>
  <c r="AG38" i="1"/>
  <c r="AG39" i="1"/>
  <c r="AG40" i="1"/>
  <c r="BB40" i="1" s="1"/>
  <c r="AG41" i="1"/>
  <c r="AG42" i="1"/>
  <c r="AG43" i="1"/>
  <c r="AG44" i="1"/>
  <c r="AG45" i="1"/>
  <c r="BB45" i="1" s="1"/>
  <c r="AG46" i="1"/>
  <c r="AG47" i="1"/>
  <c r="AG48" i="1"/>
  <c r="BB48" i="1" s="1"/>
  <c r="AG49" i="1"/>
  <c r="AG50" i="1"/>
  <c r="AG51" i="1"/>
  <c r="AG52" i="1"/>
  <c r="AG53" i="1"/>
  <c r="BB53" i="1" s="1"/>
  <c r="AG54" i="1"/>
  <c r="AG55" i="1"/>
  <c r="AG56" i="1"/>
  <c r="BB56" i="1" s="1"/>
  <c r="AG57" i="1"/>
  <c r="AG58" i="1"/>
  <c r="AG59" i="1"/>
  <c r="AG60" i="1"/>
  <c r="AG61" i="1"/>
  <c r="BB61" i="1" s="1"/>
  <c r="AG62" i="1"/>
  <c r="AG63" i="1"/>
  <c r="AG64" i="1"/>
  <c r="BB64" i="1" s="1"/>
  <c r="AG65" i="1"/>
  <c r="AG66" i="1"/>
  <c r="AG67" i="1"/>
  <c r="AG68" i="1"/>
  <c r="AG69" i="1"/>
  <c r="BB69" i="1" s="1"/>
  <c r="AG70" i="1"/>
  <c r="AG71" i="1"/>
  <c r="AG72" i="1"/>
  <c r="BB72" i="1" s="1"/>
  <c r="AG73" i="1"/>
  <c r="AG74" i="1"/>
  <c r="AG75" i="1"/>
  <c r="AG76" i="1"/>
  <c r="AG77" i="1"/>
  <c r="BB77" i="1" s="1"/>
  <c r="AG78" i="1"/>
  <c r="AG79" i="1"/>
  <c r="AG80" i="1"/>
  <c r="BB80" i="1" s="1"/>
  <c r="AG81" i="1"/>
  <c r="AG82" i="1"/>
  <c r="AG83" i="1"/>
  <c r="AG84" i="1"/>
  <c r="AG85" i="1"/>
  <c r="BB85" i="1" s="1"/>
  <c r="AG86" i="1"/>
  <c r="AG87" i="1"/>
  <c r="AG88" i="1"/>
  <c r="BB88" i="1" s="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39" i="1"/>
  <c r="AG240" i="1"/>
  <c r="AG241" i="1"/>
  <c r="AG242" i="1"/>
  <c r="AG243" i="1"/>
  <c r="AG244" i="1"/>
  <c r="AG245" i="1"/>
  <c r="AG246" i="1"/>
  <c r="AG247" i="1"/>
  <c r="AG248" i="1"/>
  <c r="AG249" i="1"/>
  <c r="AG250" i="1"/>
  <c r="AG251" i="1"/>
  <c r="AG252" i="1"/>
  <c r="AG253" i="1"/>
  <c r="AG254" i="1"/>
  <c r="AG255" i="1"/>
  <c r="AG256" i="1"/>
  <c r="AG257" i="1"/>
  <c r="AG258" i="1"/>
  <c r="AG259" i="1"/>
  <c r="AG260" i="1"/>
  <c r="AG261" i="1"/>
  <c r="AG262" i="1"/>
  <c r="AG263" i="1"/>
  <c r="AG264" i="1"/>
  <c r="AG265" i="1"/>
  <c r="AG266" i="1"/>
  <c r="AG267" i="1"/>
  <c r="AG268" i="1"/>
  <c r="AG269" i="1"/>
  <c r="AG270" i="1"/>
  <c r="AG271" i="1"/>
  <c r="AG272" i="1"/>
  <c r="AG273" i="1"/>
  <c r="AG274" i="1"/>
  <c r="AG275" i="1"/>
  <c r="AG276" i="1"/>
  <c r="AG277" i="1"/>
  <c r="AG278" i="1"/>
  <c r="AG279" i="1"/>
  <c r="AG280" i="1"/>
  <c r="AG281" i="1"/>
  <c r="AG282" i="1"/>
  <c r="AG283" i="1"/>
  <c r="AG284" i="1"/>
  <c r="AG285" i="1"/>
  <c r="AG286" i="1"/>
  <c r="AG287" i="1"/>
  <c r="AG288" i="1"/>
  <c r="AG289" i="1"/>
  <c r="AG290" i="1"/>
  <c r="AG291" i="1"/>
  <c r="AG292" i="1"/>
  <c r="AG293" i="1"/>
  <c r="AG294" i="1"/>
  <c r="AG295" i="1"/>
  <c r="AG296" i="1"/>
  <c r="AG297" i="1"/>
  <c r="AG298" i="1"/>
  <c r="AG299" i="1"/>
  <c r="BK88" i="1"/>
  <c r="BK94" i="1"/>
  <c r="BK96"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4" i="1"/>
  <c r="AO5" i="1"/>
  <c r="AP5" i="1"/>
  <c r="AQ5" i="1"/>
  <c r="AR5" i="1"/>
  <c r="AO6" i="1"/>
  <c r="AP6" i="1"/>
  <c r="AQ6" i="1"/>
  <c r="AR6" i="1"/>
  <c r="AO7" i="1"/>
  <c r="AP7" i="1"/>
  <c r="AQ7" i="1"/>
  <c r="AR7" i="1"/>
  <c r="AO8" i="1"/>
  <c r="AP8" i="1"/>
  <c r="AQ8" i="1"/>
  <c r="AR8" i="1"/>
  <c r="AO9" i="1"/>
  <c r="AP9" i="1"/>
  <c r="AQ9" i="1"/>
  <c r="AR9" i="1"/>
  <c r="AO10" i="1"/>
  <c r="AP10" i="1"/>
  <c r="AQ10" i="1"/>
  <c r="AR10" i="1"/>
  <c r="AO11" i="1"/>
  <c r="AP11" i="1"/>
  <c r="AQ11" i="1"/>
  <c r="AR11" i="1"/>
  <c r="AO12" i="1"/>
  <c r="AP12" i="1"/>
  <c r="AQ12" i="1"/>
  <c r="AR12" i="1"/>
  <c r="AO13" i="1"/>
  <c r="AP13" i="1"/>
  <c r="AQ13" i="1"/>
  <c r="AR13" i="1"/>
  <c r="AO14" i="1"/>
  <c r="AP14" i="1"/>
  <c r="AQ14" i="1"/>
  <c r="AR14" i="1"/>
  <c r="AO15" i="1"/>
  <c r="AP15" i="1"/>
  <c r="AQ15" i="1"/>
  <c r="AR15" i="1"/>
  <c r="AO16" i="1"/>
  <c r="AP16" i="1"/>
  <c r="AQ16" i="1"/>
  <c r="AR16" i="1"/>
  <c r="AO17" i="1"/>
  <c r="AP17" i="1"/>
  <c r="AQ17" i="1"/>
  <c r="AR17" i="1"/>
  <c r="AO18" i="1"/>
  <c r="AP18" i="1"/>
  <c r="AQ18" i="1"/>
  <c r="AR18" i="1"/>
  <c r="AO19" i="1"/>
  <c r="AP19" i="1"/>
  <c r="AQ19" i="1"/>
  <c r="AR19" i="1"/>
  <c r="AO20" i="1"/>
  <c r="AP20" i="1"/>
  <c r="AQ20" i="1"/>
  <c r="AR20" i="1"/>
  <c r="AO21" i="1"/>
  <c r="AP21" i="1"/>
  <c r="AQ21" i="1"/>
  <c r="AR21" i="1"/>
  <c r="AO22" i="1"/>
  <c r="AP22" i="1"/>
  <c r="AQ22" i="1"/>
  <c r="AR22" i="1"/>
  <c r="AO23" i="1"/>
  <c r="AP23" i="1"/>
  <c r="AQ23" i="1"/>
  <c r="AR23" i="1"/>
  <c r="AO24" i="1"/>
  <c r="AP24" i="1"/>
  <c r="AQ24" i="1"/>
  <c r="AR24" i="1"/>
  <c r="AO25" i="1"/>
  <c r="AP25" i="1"/>
  <c r="AQ25" i="1"/>
  <c r="AR25" i="1"/>
  <c r="AO26" i="1"/>
  <c r="AP26" i="1"/>
  <c r="AQ26" i="1"/>
  <c r="AR26" i="1"/>
  <c r="AO27" i="1"/>
  <c r="AP27" i="1"/>
  <c r="AQ27" i="1"/>
  <c r="AR27" i="1"/>
  <c r="AO28" i="1"/>
  <c r="AP28" i="1"/>
  <c r="AQ28" i="1"/>
  <c r="AR28" i="1"/>
  <c r="AO29" i="1"/>
  <c r="AP29" i="1"/>
  <c r="AQ29" i="1"/>
  <c r="AR29" i="1"/>
  <c r="AO30" i="1"/>
  <c r="AP30" i="1"/>
  <c r="AQ30" i="1"/>
  <c r="AR30" i="1"/>
  <c r="AO31" i="1"/>
  <c r="AP31" i="1"/>
  <c r="AQ31" i="1"/>
  <c r="AR31" i="1"/>
  <c r="AO32" i="1"/>
  <c r="AP32" i="1"/>
  <c r="AQ32" i="1"/>
  <c r="AR32" i="1"/>
  <c r="AO33" i="1"/>
  <c r="AP33" i="1"/>
  <c r="AQ33" i="1"/>
  <c r="AR33" i="1"/>
  <c r="AO34" i="1"/>
  <c r="AP34" i="1"/>
  <c r="AQ34" i="1"/>
  <c r="AR34" i="1"/>
  <c r="AO35" i="1"/>
  <c r="AP35" i="1"/>
  <c r="AQ35" i="1"/>
  <c r="AR35" i="1"/>
  <c r="AO36" i="1"/>
  <c r="AP36" i="1"/>
  <c r="AQ36" i="1"/>
  <c r="AR36" i="1"/>
  <c r="AO37" i="1"/>
  <c r="AP37" i="1"/>
  <c r="AQ37" i="1"/>
  <c r="AR37" i="1"/>
  <c r="AO38" i="1"/>
  <c r="AP38" i="1"/>
  <c r="AQ38" i="1"/>
  <c r="AR38" i="1"/>
  <c r="AO39" i="1"/>
  <c r="AP39" i="1"/>
  <c r="AQ39" i="1"/>
  <c r="AR39" i="1"/>
  <c r="AO40" i="1"/>
  <c r="AP40" i="1"/>
  <c r="AQ40" i="1"/>
  <c r="AR40" i="1"/>
  <c r="AO41" i="1"/>
  <c r="AP41" i="1"/>
  <c r="AQ41" i="1"/>
  <c r="AR41" i="1"/>
  <c r="AO42" i="1"/>
  <c r="AP42" i="1"/>
  <c r="AQ42" i="1"/>
  <c r="AR42" i="1"/>
  <c r="AO43" i="1"/>
  <c r="AP43" i="1"/>
  <c r="AQ43" i="1"/>
  <c r="AR43" i="1"/>
  <c r="AO44" i="1"/>
  <c r="AP44" i="1"/>
  <c r="AQ44" i="1"/>
  <c r="AR44" i="1"/>
  <c r="AO45" i="1"/>
  <c r="AP45" i="1"/>
  <c r="AQ45" i="1"/>
  <c r="AR45" i="1"/>
  <c r="AO46" i="1"/>
  <c r="AP46" i="1"/>
  <c r="AQ46" i="1"/>
  <c r="AR46" i="1"/>
  <c r="AO47" i="1"/>
  <c r="AP47" i="1"/>
  <c r="AQ47" i="1"/>
  <c r="AR47" i="1"/>
  <c r="AO48" i="1"/>
  <c r="AP48" i="1"/>
  <c r="AQ48" i="1"/>
  <c r="AR48" i="1"/>
  <c r="AO49" i="1"/>
  <c r="AP49" i="1"/>
  <c r="AQ49" i="1"/>
  <c r="AR49" i="1"/>
  <c r="AO50" i="1"/>
  <c r="AP50" i="1"/>
  <c r="AQ50" i="1"/>
  <c r="AR50" i="1"/>
  <c r="AO51" i="1"/>
  <c r="AP51" i="1"/>
  <c r="AQ51" i="1"/>
  <c r="AR51" i="1"/>
  <c r="AO52" i="1"/>
  <c r="AP52" i="1"/>
  <c r="AQ52" i="1"/>
  <c r="AR52" i="1"/>
  <c r="AO53" i="1"/>
  <c r="AP53" i="1"/>
  <c r="AQ53" i="1"/>
  <c r="AR53" i="1"/>
  <c r="AO54" i="1"/>
  <c r="AP54" i="1"/>
  <c r="AQ54" i="1"/>
  <c r="AR54" i="1"/>
  <c r="AO55" i="1"/>
  <c r="AP55" i="1"/>
  <c r="AQ55" i="1"/>
  <c r="AR55" i="1"/>
  <c r="AO56" i="1"/>
  <c r="AP56" i="1"/>
  <c r="AQ56" i="1"/>
  <c r="AR56" i="1"/>
  <c r="AO57" i="1"/>
  <c r="AP57" i="1"/>
  <c r="AQ57" i="1"/>
  <c r="AR57" i="1"/>
  <c r="AO58" i="1"/>
  <c r="AP58" i="1"/>
  <c r="AQ58" i="1"/>
  <c r="AR58" i="1"/>
  <c r="AO59" i="1"/>
  <c r="AP59" i="1"/>
  <c r="AQ59" i="1"/>
  <c r="AR59" i="1"/>
  <c r="AO60" i="1"/>
  <c r="AP60" i="1"/>
  <c r="AQ60" i="1"/>
  <c r="AR60" i="1"/>
  <c r="AO61" i="1"/>
  <c r="AP61" i="1"/>
  <c r="AQ61" i="1"/>
  <c r="AR61" i="1"/>
  <c r="AO62" i="1"/>
  <c r="AP62" i="1"/>
  <c r="AQ62" i="1"/>
  <c r="AR62" i="1"/>
  <c r="AO63" i="1"/>
  <c r="AP63" i="1"/>
  <c r="AQ63" i="1"/>
  <c r="AR63" i="1"/>
  <c r="AO64" i="1"/>
  <c r="AP64" i="1"/>
  <c r="BK64" i="1" s="1"/>
  <c r="AQ64" i="1"/>
  <c r="AR64" i="1"/>
  <c r="AO65" i="1"/>
  <c r="AP65" i="1"/>
  <c r="AQ65" i="1"/>
  <c r="AR65" i="1"/>
  <c r="AO66" i="1"/>
  <c r="AP66" i="1"/>
  <c r="AQ66" i="1"/>
  <c r="AR66" i="1"/>
  <c r="AO67" i="1"/>
  <c r="AP67" i="1"/>
  <c r="AQ67" i="1"/>
  <c r="AR67" i="1"/>
  <c r="AO68" i="1"/>
  <c r="AP68" i="1"/>
  <c r="AQ68" i="1"/>
  <c r="AR68" i="1"/>
  <c r="AO69" i="1"/>
  <c r="AP69" i="1"/>
  <c r="AQ69" i="1"/>
  <c r="AR69" i="1"/>
  <c r="AO70" i="1"/>
  <c r="AP70" i="1"/>
  <c r="BK70" i="1" s="1"/>
  <c r="AQ70" i="1"/>
  <c r="AR70" i="1"/>
  <c r="AO71" i="1"/>
  <c r="AP71" i="1"/>
  <c r="AQ71" i="1"/>
  <c r="AR71" i="1"/>
  <c r="AO72" i="1"/>
  <c r="AP72" i="1"/>
  <c r="AQ72" i="1"/>
  <c r="AR72" i="1"/>
  <c r="AO73" i="1"/>
  <c r="AP73" i="1"/>
  <c r="AQ73" i="1"/>
  <c r="AR73" i="1"/>
  <c r="AO74" i="1"/>
  <c r="AP74" i="1"/>
  <c r="AQ74" i="1"/>
  <c r="AR74" i="1"/>
  <c r="AO75" i="1"/>
  <c r="AP75" i="1"/>
  <c r="AQ75" i="1"/>
  <c r="AR75" i="1"/>
  <c r="AO76" i="1"/>
  <c r="AP76" i="1"/>
  <c r="AQ76" i="1"/>
  <c r="AR76" i="1"/>
  <c r="AO77" i="1"/>
  <c r="AP77" i="1"/>
  <c r="AQ77" i="1"/>
  <c r="AR77" i="1"/>
  <c r="AO78" i="1"/>
  <c r="AP78" i="1"/>
  <c r="AQ78" i="1"/>
  <c r="AR78" i="1"/>
  <c r="AO79" i="1"/>
  <c r="AP79" i="1"/>
  <c r="AQ79" i="1"/>
  <c r="AR79" i="1"/>
  <c r="AO80" i="1"/>
  <c r="AP80" i="1"/>
  <c r="AQ80" i="1"/>
  <c r="AR80" i="1"/>
  <c r="AO81" i="1"/>
  <c r="AP81" i="1"/>
  <c r="AQ81" i="1"/>
  <c r="AR81" i="1"/>
  <c r="AO82" i="1"/>
  <c r="AP82" i="1"/>
  <c r="AQ82" i="1"/>
  <c r="AR82" i="1"/>
  <c r="AO83" i="1"/>
  <c r="AP83" i="1"/>
  <c r="AQ83" i="1"/>
  <c r="AR83" i="1"/>
  <c r="AO84" i="1"/>
  <c r="AP84" i="1"/>
  <c r="AQ84" i="1"/>
  <c r="AR84" i="1"/>
  <c r="AO85" i="1"/>
  <c r="AP85" i="1"/>
  <c r="AQ85" i="1"/>
  <c r="AR85" i="1"/>
  <c r="AO86" i="1"/>
  <c r="AP86" i="1"/>
  <c r="AQ86" i="1"/>
  <c r="AR86" i="1"/>
  <c r="AO87" i="1"/>
  <c r="AP87" i="1"/>
  <c r="AQ87" i="1"/>
  <c r="AR87" i="1"/>
  <c r="AO88" i="1"/>
  <c r="AP88" i="1"/>
  <c r="AQ88" i="1"/>
  <c r="AR88" i="1"/>
  <c r="AO89" i="1"/>
  <c r="BK89" i="1" s="1"/>
  <c r="AP89" i="1"/>
  <c r="AQ89" i="1"/>
  <c r="AR89" i="1"/>
  <c r="AO90" i="1"/>
  <c r="BK90" i="1" s="1"/>
  <c r="AP90" i="1"/>
  <c r="AQ90" i="1"/>
  <c r="AR90" i="1"/>
  <c r="AO91" i="1"/>
  <c r="BK91" i="1" s="1"/>
  <c r="AP91" i="1"/>
  <c r="AQ91" i="1"/>
  <c r="AR91" i="1"/>
  <c r="AO92" i="1"/>
  <c r="BK92" i="1" s="1"/>
  <c r="AP92" i="1"/>
  <c r="AQ92" i="1"/>
  <c r="AR92" i="1"/>
  <c r="AO93" i="1"/>
  <c r="BK93" i="1" s="1"/>
  <c r="AP93" i="1"/>
  <c r="AQ93" i="1"/>
  <c r="AR93" i="1"/>
  <c r="AO94" i="1"/>
  <c r="AP94" i="1"/>
  <c r="AQ94" i="1"/>
  <c r="AR94" i="1"/>
  <c r="AO95" i="1"/>
  <c r="BK95" i="1" s="1"/>
  <c r="AP95" i="1"/>
  <c r="AQ95" i="1"/>
  <c r="AR95" i="1"/>
  <c r="AO96" i="1"/>
  <c r="AP96" i="1"/>
  <c r="AQ96" i="1"/>
  <c r="AR96" i="1"/>
  <c r="AO97" i="1"/>
  <c r="BK97" i="1" s="1"/>
  <c r="AP97" i="1"/>
  <c r="AQ97" i="1"/>
  <c r="AR97" i="1"/>
  <c r="AO98" i="1"/>
  <c r="BK98" i="1" s="1"/>
  <c r="AP98" i="1"/>
  <c r="AQ98" i="1"/>
  <c r="AR98" i="1"/>
  <c r="AO99" i="1"/>
  <c r="BK99" i="1" s="1"/>
  <c r="AP99" i="1"/>
  <c r="AQ99" i="1"/>
  <c r="AR99" i="1"/>
  <c r="AO100" i="1"/>
  <c r="BK100" i="1" s="1"/>
  <c r="AP100" i="1"/>
  <c r="AQ100" i="1"/>
  <c r="AR100" i="1"/>
  <c r="AO101" i="1"/>
  <c r="AP101" i="1"/>
  <c r="AQ101" i="1"/>
  <c r="AR101" i="1"/>
  <c r="AO102" i="1"/>
  <c r="AP102" i="1"/>
  <c r="AQ102" i="1"/>
  <c r="AR102" i="1"/>
  <c r="AO103" i="1"/>
  <c r="AP103" i="1"/>
  <c r="AQ103" i="1"/>
  <c r="AR103" i="1"/>
  <c r="AO104" i="1"/>
  <c r="AP104" i="1"/>
  <c r="AQ104" i="1"/>
  <c r="AR104" i="1"/>
  <c r="AO105" i="1"/>
  <c r="AP105" i="1"/>
  <c r="AQ105" i="1"/>
  <c r="AR105" i="1"/>
  <c r="AO106" i="1"/>
  <c r="AP106" i="1"/>
  <c r="AQ106" i="1"/>
  <c r="AR106" i="1"/>
  <c r="AO107" i="1"/>
  <c r="AP107" i="1"/>
  <c r="AQ107" i="1"/>
  <c r="AR107" i="1"/>
  <c r="AO108" i="1"/>
  <c r="AP108" i="1"/>
  <c r="AQ108" i="1"/>
  <c r="AR108" i="1"/>
  <c r="AO109" i="1"/>
  <c r="AP109" i="1"/>
  <c r="AQ109" i="1"/>
  <c r="AR109" i="1"/>
  <c r="AO110" i="1"/>
  <c r="AP110" i="1"/>
  <c r="AQ110" i="1"/>
  <c r="AR110" i="1"/>
  <c r="AO111" i="1"/>
  <c r="AP111" i="1"/>
  <c r="AQ111" i="1"/>
  <c r="AR111" i="1"/>
  <c r="AO112" i="1"/>
  <c r="AP112" i="1"/>
  <c r="AQ112" i="1"/>
  <c r="AR112" i="1"/>
  <c r="AO113" i="1"/>
  <c r="AP113" i="1"/>
  <c r="AQ113" i="1"/>
  <c r="AR113" i="1"/>
  <c r="AO114" i="1"/>
  <c r="AP114" i="1"/>
  <c r="AQ114" i="1"/>
  <c r="AR114" i="1"/>
  <c r="AO115" i="1"/>
  <c r="AP115" i="1"/>
  <c r="AQ115" i="1"/>
  <c r="AR115" i="1"/>
  <c r="AO116" i="1"/>
  <c r="AP116" i="1"/>
  <c r="AQ116" i="1"/>
  <c r="AR116" i="1"/>
  <c r="AO117" i="1"/>
  <c r="AP117" i="1"/>
  <c r="AQ117" i="1"/>
  <c r="AR117" i="1"/>
  <c r="AO118" i="1"/>
  <c r="AP118" i="1"/>
  <c r="AQ118" i="1"/>
  <c r="AR118" i="1"/>
  <c r="AO119" i="1"/>
  <c r="AP119" i="1"/>
  <c r="AQ119" i="1"/>
  <c r="AR119" i="1"/>
  <c r="AO120" i="1"/>
  <c r="AP120" i="1"/>
  <c r="AQ120" i="1"/>
  <c r="AR120" i="1"/>
  <c r="AO121" i="1"/>
  <c r="AP121" i="1"/>
  <c r="AQ121" i="1"/>
  <c r="AR121" i="1"/>
  <c r="AO122" i="1"/>
  <c r="AP122" i="1"/>
  <c r="AQ122" i="1"/>
  <c r="AR122" i="1"/>
  <c r="AO123" i="1"/>
  <c r="AP123" i="1"/>
  <c r="AQ123" i="1"/>
  <c r="AR123" i="1"/>
  <c r="AO124" i="1"/>
  <c r="AP124" i="1"/>
  <c r="AQ124" i="1"/>
  <c r="AR124" i="1"/>
  <c r="AO125" i="1"/>
  <c r="AP125" i="1"/>
  <c r="AQ125" i="1"/>
  <c r="AR125" i="1"/>
  <c r="AO126" i="1"/>
  <c r="AP126" i="1"/>
  <c r="AQ126" i="1"/>
  <c r="AR126" i="1"/>
  <c r="AO127" i="1"/>
  <c r="AP127" i="1"/>
  <c r="AQ127" i="1"/>
  <c r="AR127" i="1"/>
  <c r="AO128" i="1"/>
  <c r="AP128" i="1"/>
  <c r="AQ128" i="1"/>
  <c r="AR128" i="1"/>
  <c r="AO129" i="1"/>
  <c r="AP129" i="1"/>
  <c r="AQ129" i="1"/>
  <c r="AR129" i="1"/>
  <c r="AO130" i="1"/>
  <c r="AP130" i="1"/>
  <c r="AQ130" i="1"/>
  <c r="AR130" i="1"/>
  <c r="AO131" i="1"/>
  <c r="AP131" i="1"/>
  <c r="AQ131" i="1"/>
  <c r="AR131" i="1"/>
  <c r="AO132" i="1"/>
  <c r="AP132" i="1"/>
  <c r="AQ132" i="1"/>
  <c r="AR132" i="1"/>
  <c r="AO133" i="1"/>
  <c r="AP133" i="1"/>
  <c r="AQ133" i="1"/>
  <c r="AR133" i="1"/>
  <c r="AO134" i="1"/>
  <c r="AP134" i="1"/>
  <c r="AQ134" i="1"/>
  <c r="AR134" i="1"/>
  <c r="AO135" i="1"/>
  <c r="AP135" i="1"/>
  <c r="AQ135" i="1"/>
  <c r="AR135" i="1"/>
  <c r="AO136" i="1"/>
  <c r="AP136" i="1"/>
  <c r="AQ136" i="1"/>
  <c r="AR136" i="1"/>
  <c r="AO137" i="1"/>
  <c r="AP137" i="1"/>
  <c r="AQ137" i="1"/>
  <c r="AR137" i="1"/>
  <c r="AO138" i="1"/>
  <c r="AP138" i="1"/>
  <c r="AQ138" i="1"/>
  <c r="AR138" i="1"/>
  <c r="AO139" i="1"/>
  <c r="AP139" i="1"/>
  <c r="AQ139" i="1"/>
  <c r="AR139" i="1"/>
  <c r="AO140" i="1"/>
  <c r="AP140" i="1"/>
  <c r="AQ140" i="1"/>
  <c r="AR140" i="1"/>
  <c r="AO141" i="1"/>
  <c r="AP141" i="1"/>
  <c r="AQ141" i="1"/>
  <c r="AR141" i="1"/>
  <c r="AO142" i="1"/>
  <c r="AP142" i="1"/>
  <c r="AQ142" i="1"/>
  <c r="AR142" i="1"/>
  <c r="AO143" i="1"/>
  <c r="AP143" i="1"/>
  <c r="AQ143" i="1"/>
  <c r="AR143" i="1"/>
  <c r="AO144" i="1"/>
  <c r="AP144" i="1"/>
  <c r="AQ144" i="1"/>
  <c r="AR144" i="1"/>
  <c r="AO145" i="1"/>
  <c r="AP145" i="1"/>
  <c r="AQ145" i="1"/>
  <c r="AR145" i="1"/>
  <c r="AO146" i="1"/>
  <c r="AP146" i="1"/>
  <c r="AQ146" i="1"/>
  <c r="AR146" i="1"/>
  <c r="AO147" i="1"/>
  <c r="AP147" i="1"/>
  <c r="AQ147" i="1"/>
  <c r="AR147" i="1"/>
  <c r="AO148" i="1"/>
  <c r="AP148" i="1"/>
  <c r="AQ148" i="1"/>
  <c r="AR148" i="1"/>
  <c r="AO149" i="1"/>
  <c r="AP149" i="1"/>
  <c r="AQ149" i="1"/>
  <c r="AR149" i="1"/>
  <c r="AO150" i="1"/>
  <c r="AP150" i="1"/>
  <c r="AQ150" i="1"/>
  <c r="AR150" i="1"/>
  <c r="AO151" i="1"/>
  <c r="AP151" i="1"/>
  <c r="AQ151" i="1"/>
  <c r="AR151" i="1"/>
  <c r="AO152" i="1"/>
  <c r="AP152" i="1"/>
  <c r="AQ152" i="1"/>
  <c r="AR152" i="1"/>
  <c r="AO153" i="1"/>
  <c r="AP153" i="1"/>
  <c r="AQ153" i="1"/>
  <c r="AR153" i="1"/>
  <c r="AO154" i="1"/>
  <c r="AP154" i="1"/>
  <c r="AQ154" i="1"/>
  <c r="AR154" i="1"/>
  <c r="AO155" i="1"/>
  <c r="AP155" i="1"/>
  <c r="AQ155" i="1"/>
  <c r="AR155" i="1"/>
  <c r="AO156" i="1"/>
  <c r="AP156" i="1"/>
  <c r="AQ156" i="1"/>
  <c r="AR156" i="1"/>
  <c r="AO157" i="1"/>
  <c r="AP157" i="1"/>
  <c r="AQ157" i="1"/>
  <c r="AR157" i="1"/>
  <c r="AO158" i="1"/>
  <c r="AP158" i="1"/>
  <c r="AQ158" i="1"/>
  <c r="AR158" i="1"/>
  <c r="AO159" i="1"/>
  <c r="AP159" i="1"/>
  <c r="AQ159" i="1"/>
  <c r="AR159" i="1"/>
  <c r="AO160" i="1"/>
  <c r="AP160" i="1"/>
  <c r="AQ160" i="1"/>
  <c r="AR160" i="1"/>
  <c r="AO161" i="1"/>
  <c r="AP161" i="1"/>
  <c r="AQ161" i="1"/>
  <c r="AR161" i="1"/>
  <c r="AO162" i="1"/>
  <c r="AP162" i="1"/>
  <c r="AQ162" i="1"/>
  <c r="AR162" i="1"/>
  <c r="AO163" i="1"/>
  <c r="AP163" i="1"/>
  <c r="AQ163" i="1"/>
  <c r="AR163" i="1"/>
  <c r="AO164" i="1"/>
  <c r="AP164" i="1"/>
  <c r="AQ164" i="1"/>
  <c r="AR164" i="1"/>
  <c r="AO165" i="1"/>
  <c r="AP165" i="1"/>
  <c r="AQ165" i="1"/>
  <c r="AR165" i="1"/>
  <c r="AO166" i="1"/>
  <c r="AP166" i="1"/>
  <c r="AQ166" i="1"/>
  <c r="AR166" i="1"/>
  <c r="AO167" i="1"/>
  <c r="AP167" i="1"/>
  <c r="AQ167" i="1"/>
  <c r="AR167" i="1"/>
  <c r="AO168" i="1"/>
  <c r="AP168" i="1"/>
  <c r="AQ168" i="1"/>
  <c r="AR168" i="1"/>
  <c r="AO169" i="1"/>
  <c r="AP169" i="1"/>
  <c r="AQ169" i="1"/>
  <c r="AR169" i="1"/>
  <c r="AO170" i="1"/>
  <c r="AP170" i="1"/>
  <c r="AQ170" i="1"/>
  <c r="AR170" i="1"/>
  <c r="AO171" i="1"/>
  <c r="AP171" i="1"/>
  <c r="AQ171" i="1"/>
  <c r="AR171" i="1"/>
  <c r="AO172" i="1"/>
  <c r="AP172" i="1"/>
  <c r="AQ172" i="1"/>
  <c r="AR172" i="1"/>
  <c r="AO173" i="1"/>
  <c r="AP173" i="1"/>
  <c r="AQ173" i="1"/>
  <c r="AR173" i="1"/>
  <c r="AO174" i="1"/>
  <c r="AP174" i="1"/>
  <c r="AQ174" i="1"/>
  <c r="AR174" i="1"/>
  <c r="AO175" i="1"/>
  <c r="AP175" i="1"/>
  <c r="AQ175" i="1"/>
  <c r="AR175" i="1"/>
  <c r="AO176" i="1"/>
  <c r="AP176" i="1"/>
  <c r="AQ176" i="1"/>
  <c r="AR176" i="1"/>
  <c r="AO177" i="1"/>
  <c r="AP177" i="1"/>
  <c r="AQ177" i="1"/>
  <c r="AR177" i="1"/>
  <c r="AO178" i="1"/>
  <c r="AP178" i="1"/>
  <c r="AQ178" i="1"/>
  <c r="AR178" i="1"/>
  <c r="AO179" i="1"/>
  <c r="AP179" i="1"/>
  <c r="AQ179" i="1"/>
  <c r="AR179" i="1"/>
  <c r="AO180" i="1"/>
  <c r="AP180" i="1"/>
  <c r="AQ180" i="1"/>
  <c r="AR180" i="1"/>
  <c r="AO181" i="1"/>
  <c r="AP181" i="1"/>
  <c r="AQ181" i="1"/>
  <c r="AR181" i="1"/>
  <c r="AO182" i="1"/>
  <c r="AP182" i="1"/>
  <c r="AQ182" i="1"/>
  <c r="AR182" i="1"/>
  <c r="AO183" i="1"/>
  <c r="AP183" i="1"/>
  <c r="AQ183" i="1"/>
  <c r="AR183" i="1"/>
  <c r="AO184" i="1"/>
  <c r="AP184" i="1"/>
  <c r="AQ184" i="1"/>
  <c r="AR184" i="1"/>
  <c r="AO185" i="1"/>
  <c r="AP185" i="1"/>
  <c r="AQ185" i="1"/>
  <c r="AR185" i="1"/>
  <c r="AO186" i="1"/>
  <c r="AP186" i="1"/>
  <c r="AQ186" i="1"/>
  <c r="AR186" i="1"/>
  <c r="AO187" i="1"/>
  <c r="AP187" i="1"/>
  <c r="AQ187" i="1"/>
  <c r="AR187" i="1"/>
  <c r="AO188" i="1"/>
  <c r="AP188" i="1"/>
  <c r="AQ188" i="1"/>
  <c r="AR188" i="1"/>
  <c r="AO189" i="1"/>
  <c r="AP189" i="1"/>
  <c r="AQ189" i="1"/>
  <c r="AR189" i="1"/>
  <c r="AO190" i="1"/>
  <c r="AP190" i="1"/>
  <c r="AQ190" i="1"/>
  <c r="AR190" i="1"/>
  <c r="AO191" i="1"/>
  <c r="AP191" i="1"/>
  <c r="AQ191" i="1"/>
  <c r="AR191" i="1"/>
  <c r="AO192" i="1"/>
  <c r="AP192" i="1"/>
  <c r="AQ192" i="1"/>
  <c r="AR192" i="1"/>
  <c r="AO193" i="1"/>
  <c r="AP193" i="1"/>
  <c r="AQ193" i="1"/>
  <c r="AR193" i="1"/>
  <c r="AO194" i="1"/>
  <c r="AP194" i="1"/>
  <c r="AQ194" i="1"/>
  <c r="AR194" i="1"/>
  <c r="AO195" i="1"/>
  <c r="AP195" i="1"/>
  <c r="AQ195" i="1"/>
  <c r="AR195" i="1"/>
  <c r="AO196" i="1"/>
  <c r="AP196" i="1"/>
  <c r="AQ196" i="1"/>
  <c r="AR196" i="1"/>
  <c r="AO197" i="1"/>
  <c r="AP197" i="1"/>
  <c r="AQ197" i="1"/>
  <c r="AR197" i="1"/>
  <c r="AO198" i="1"/>
  <c r="AP198" i="1"/>
  <c r="AQ198" i="1"/>
  <c r="AR198" i="1"/>
  <c r="AO199" i="1"/>
  <c r="AP199" i="1"/>
  <c r="AQ199" i="1"/>
  <c r="AR199" i="1"/>
  <c r="AO200" i="1"/>
  <c r="AP200" i="1"/>
  <c r="AQ200" i="1"/>
  <c r="AR200" i="1"/>
  <c r="AO201" i="1"/>
  <c r="AP201" i="1"/>
  <c r="AQ201" i="1"/>
  <c r="AR201" i="1"/>
  <c r="AO202" i="1"/>
  <c r="AP202" i="1"/>
  <c r="AQ202" i="1"/>
  <c r="AR202" i="1"/>
  <c r="AO203" i="1"/>
  <c r="AP203" i="1"/>
  <c r="AQ203" i="1"/>
  <c r="AR203" i="1"/>
  <c r="AO204" i="1"/>
  <c r="AP204" i="1"/>
  <c r="AQ204" i="1"/>
  <c r="AR204" i="1"/>
  <c r="AO205" i="1"/>
  <c r="AP205" i="1"/>
  <c r="AQ205" i="1"/>
  <c r="AR205" i="1"/>
  <c r="AO206" i="1"/>
  <c r="AP206" i="1"/>
  <c r="AQ206" i="1"/>
  <c r="AR206" i="1"/>
  <c r="AO207" i="1"/>
  <c r="AP207" i="1"/>
  <c r="AQ207" i="1"/>
  <c r="AR207" i="1"/>
  <c r="AO208" i="1"/>
  <c r="AP208" i="1"/>
  <c r="AQ208" i="1"/>
  <c r="AR208" i="1"/>
  <c r="AO209" i="1"/>
  <c r="AP209" i="1"/>
  <c r="AQ209" i="1"/>
  <c r="AR209" i="1"/>
  <c r="AO210" i="1"/>
  <c r="AP210" i="1"/>
  <c r="AQ210" i="1"/>
  <c r="AR210" i="1"/>
  <c r="AO211" i="1"/>
  <c r="AP211" i="1"/>
  <c r="AQ211" i="1"/>
  <c r="AR211" i="1"/>
  <c r="AO212" i="1"/>
  <c r="AP212" i="1"/>
  <c r="AQ212" i="1"/>
  <c r="AR212" i="1"/>
  <c r="AO213" i="1"/>
  <c r="AP213" i="1"/>
  <c r="AQ213" i="1"/>
  <c r="AR213" i="1"/>
  <c r="AO214" i="1"/>
  <c r="AP214" i="1"/>
  <c r="AQ214" i="1"/>
  <c r="AR214" i="1"/>
  <c r="AO215" i="1"/>
  <c r="AP215" i="1"/>
  <c r="AQ215" i="1"/>
  <c r="AR215" i="1"/>
  <c r="AO216" i="1"/>
  <c r="AP216" i="1"/>
  <c r="AQ216" i="1"/>
  <c r="AR216" i="1"/>
  <c r="AO217" i="1"/>
  <c r="AP217" i="1"/>
  <c r="AQ217" i="1"/>
  <c r="AR217" i="1"/>
  <c r="AO218" i="1"/>
  <c r="AP218" i="1"/>
  <c r="AQ218" i="1"/>
  <c r="AR218" i="1"/>
  <c r="AO219" i="1"/>
  <c r="AP219" i="1"/>
  <c r="AQ219" i="1"/>
  <c r="AR219" i="1"/>
  <c r="AO220" i="1"/>
  <c r="AP220" i="1"/>
  <c r="AQ220" i="1"/>
  <c r="AR220" i="1"/>
  <c r="AO221" i="1"/>
  <c r="AP221" i="1"/>
  <c r="AQ221" i="1"/>
  <c r="AR221" i="1"/>
  <c r="AO222" i="1"/>
  <c r="AP222" i="1"/>
  <c r="AQ222" i="1"/>
  <c r="AR222" i="1"/>
  <c r="AO223" i="1"/>
  <c r="AP223" i="1"/>
  <c r="AQ223" i="1"/>
  <c r="AR223" i="1"/>
  <c r="AO224" i="1"/>
  <c r="AP224" i="1"/>
  <c r="AQ224" i="1"/>
  <c r="AR224" i="1"/>
  <c r="AO225" i="1"/>
  <c r="AP225" i="1"/>
  <c r="AQ225" i="1"/>
  <c r="AR225" i="1"/>
  <c r="AO226" i="1"/>
  <c r="AP226" i="1"/>
  <c r="AQ226" i="1"/>
  <c r="AR226" i="1"/>
  <c r="AO227" i="1"/>
  <c r="AP227" i="1"/>
  <c r="AQ227" i="1"/>
  <c r="AR227" i="1"/>
  <c r="AO228" i="1"/>
  <c r="AP228" i="1"/>
  <c r="AQ228" i="1"/>
  <c r="AR228" i="1"/>
  <c r="AO229" i="1"/>
  <c r="AP229" i="1"/>
  <c r="AQ229" i="1"/>
  <c r="AR229" i="1"/>
  <c r="AO230" i="1"/>
  <c r="AP230" i="1"/>
  <c r="AQ230" i="1"/>
  <c r="AR230" i="1"/>
  <c r="AO231" i="1"/>
  <c r="AP231" i="1"/>
  <c r="AQ231" i="1"/>
  <c r="AR231" i="1"/>
  <c r="AO232" i="1"/>
  <c r="AP232" i="1"/>
  <c r="AQ232" i="1"/>
  <c r="AR232" i="1"/>
  <c r="AO233" i="1"/>
  <c r="AP233" i="1"/>
  <c r="AQ233" i="1"/>
  <c r="AR233" i="1"/>
  <c r="AO234" i="1"/>
  <c r="AP234" i="1"/>
  <c r="AQ234" i="1"/>
  <c r="AR234" i="1"/>
  <c r="AO235" i="1"/>
  <c r="AP235" i="1"/>
  <c r="AQ235" i="1"/>
  <c r="AR235" i="1"/>
  <c r="AO236" i="1"/>
  <c r="AP236" i="1"/>
  <c r="AQ236" i="1"/>
  <c r="AR236" i="1"/>
  <c r="AO237" i="1"/>
  <c r="AP237" i="1"/>
  <c r="AQ237" i="1"/>
  <c r="AR237" i="1"/>
  <c r="AO238" i="1"/>
  <c r="AP238" i="1"/>
  <c r="AQ238" i="1"/>
  <c r="AR238" i="1"/>
  <c r="AO239" i="1"/>
  <c r="AP239" i="1"/>
  <c r="AQ239" i="1"/>
  <c r="AR239" i="1"/>
  <c r="AO240" i="1"/>
  <c r="AP240" i="1"/>
  <c r="AQ240" i="1"/>
  <c r="AR240" i="1"/>
  <c r="AO241" i="1"/>
  <c r="AP241" i="1"/>
  <c r="AQ241" i="1"/>
  <c r="AR241" i="1"/>
  <c r="AO242" i="1"/>
  <c r="AP242" i="1"/>
  <c r="AQ242" i="1"/>
  <c r="AR242" i="1"/>
  <c r="AO243" i="1"/>
  <c r="AP243" i="1"/>
  <c r="AQ243" i="1"/>
  <c r="AR243" i="1"/>
  <c r="AO244" i="1"/>
  <c r="AP244" i="1"/>
  <c r="AQ244" i="1"/>
  <c r="AR244" i="1"/>
  <c r="AO245" i="1"/>
  <c r="AP245" i="1"/>
  <c r="AQ245" i="1"/>
  <c r="AR245" i="1"/>
  <c r="AO246" i="1"/>
  <c r="AP246" i="1"/>
  <c r="AQ246" i="1"/>
  <c r="AR246" i="1"/>
  <c r="AO247" i="1"/>
  <c r="AP247" i="1"/>
  <c r="AQ247" i="1"/>
  <c r="AR247" i="1"/>
  <c r="AO248" i="1"/>
  <c r="AP248" i="1"/>
  <c r="AQ248" i="1"/>
  <c r="AR248" i="1"/>
  <c r="AO249" i="1"/>
  <c r="AP249" i="1"/>
  <c r="AQ249" i="1"/>
  <c r="AR249" i="1"/>
  <c r="AO250" i="1"/>
  <c r="AP250" i="1"/>
  <c r="AQ250" i="1"/>
  <c r="AR250" i="1"/>
  <c r="AO251" i="1"/>
  <c r="AP251" i="1"/>
  <c r="AQ251" i="1"/>
  <c r="AR251" i="1"/>
  <c r="AO252" i="1"/>
  <c r="AP252" i="1"/>
  <c r="AQ252" i="1"/>
  <c r="AR252" i="1"/>
  <c r="AO253" i="1"/>
  <c r="AP253" i="1"/>
  <c r="AQ253" i="1"/>
  <c r="AR253" i="1"/>
  <c r="AO254" i="1"/>
  <c r="AP254" i="1"/>
  <c r="AQ254" i="1"/>
  <c r="AR254" i="1"/>
  <c r="AO255" i="1"/>
  <c r="AP255" i="1"/>
  <c r="AQ255" i="1"/>
  <c r="AR255" i="1"/>
  <c r="AO256" i="1"/>
  <c r="AP256" i="1"/>
  <c r="AQ256" i="1"/>
  <c r="AR256" i="1"/>
  <c r="AO257" i="1"/>
  <c r="AP257" i="1"/>
  <c r="AQ257" i="1"/>
  <c r="AR257" i="1"/>
  <c r="AO258" i="1"/>
  <c r="AP258" i="1"/>
  <c r="AQ258" i="1"/>
  <c r="AR258" i="1"/>
  <c r="AO259" i="1"/>
  <c r="AP259" i="1"/>
  <c r="AQ259" i="1"/>
  <c r="AR259" i="1"/>
  <c r="AO260" i="1"/>
  <c r="AP260" i="1"/>
  <c r="AQ260" i="1"/>
  <c r="AR260" i="1"/>
  <c r="AO261" i="1"/>
  <c r="AP261" i="1"/>
  <c r="AQ261" i="1"/>
  <c r="AR261" i="1"/>
  <c r="AO262" i="1"/>
  <c r="AP262" i="1"/>
  <c r="AQ262" i="1"/>
  <c r="AR262" i="1"/>
  <c r="AO263" i="1"/>
  <c r="AP263" i="1"/>
  <c r="AQ263" i="1"/>
  <c r="AR263" i="1"/>
  <c r="AO264" i="1"/>
  <c r="AP264" i="1"/>
  <c r="AQ264" i="1"/>
  <c r="AR264" i="1"/>
  <c r="AO265" i="1"/>
  <c r="AP265" i="1"/>
  <c r="AQ265" i="1"/>
  <c r="AR265" i="1"/>
  <c r="AO266" i="1"/>
  <c r="AP266" i="1"/>
  <c r="AQ266" i="1"/>
  <c r="AR266" i="1"/>
  <c r="AO267" i="1"/>
  <c r="AP267" i="1"/>
  <c r="AQ267" i="1"/>
  <c r="AR267" i="1"/>
  <c r="AO268" i="1"/>
  <c r="AP268" i="1"/>
  <c r="AQ268" i="1"/>
  <c r="AR268" i="1"/>
  <c r="AO269" i="1"/>
  <c r="AP269" i="1"/>
  <c r="AQ269" i="1"/>
  <c r="AR269" i="1"/>
  <c r="AO270" i="1"/>
  <c r="AP270" i="1"/>
  <c r="AQ270" i="1"/>
  <c r="AR270" i="1"/>
  <c r="AO271" i="1"/>
  <c r="AP271" i="1"/>
  <c r="AQ271" i="1"/>
  <c r="AR271" i="1"/>
  <c r="AO272" i="1"/>
  <c r="AP272" i="1"/>
  <c r="AQ272" i="1"/>
  <c r="AR272" i="1"/>
  <c r="AO273" i="1"/>
  <c r="AP273" i="1"/>
  <c r="AQ273" i="1"/>
  <c r="AR273" i="1"/>
  <c r="AO274" i="1"/>
  <c r="AP274" i="1"/>
  <c r="AQ274" i="1"/>
  <c r="AR274" i="1"/>
  <c r="AO275" i="1"/>
  <c r="AP275" i="1"/>
  <c r="AQ275" i="1"/>
  <c r="AR275" i="1"/>
  <c r="AO276" i="1"/>
  <c r="AP276" i="1"/>
  <c r="AQ276" i="1"/>
  <c r="AR276" i="1"/>
  <c r="AO277" i="1"/>
  <c r="AP277" i="1"/>
  <c r="AQ277" i="1"/>
  <c r="AR277" i="1"/>
  <c r="AO278" i="1"/>
  <c r="AP278" i="1"/>
  <c r="AQ278" i="1"/>
  <c r="AR278" i="1"/>
  <c r="AO279" i="1"/>
  <c r="AP279" i="1"/>
  <c r="AQ279" i="1"/>
  <c r="AR279" i="1"/>
  <c r="AO280" i="1"/>
  <c r="AP280" i="1"/>
  <c r="AQ280" i="1"/>
  <c r="AR280" i="1"/>
  <c r="AO281" i="1"/>
  <c r="AP281" i="1"/>
  <c r="AQ281" i="1"/>
  <c r="AR281" i="1"/>
  <c r="AO282" i="1"/>
  <c r="AP282" i="1"/>
  <c r="AQ282" i="1"/>
  <c r="AR282" i="1"/>
  <c r="AO283" i="1"/>
  <c r="AP283" i="1"/>
  <c r="AQ283" i="1"/>
  <c r="AR283" i="1"/>
  <c r="AO284" i="1"/>
  <c r="AP284" i="1"/>
  <c r="AQ284" i="1"/>
  <c r="AR284" i="1"/>
  <c r="AO285" i="1"/>
  <c r="AP285" i="1"/>
  <c r="AQ285" i="1"/>
  <c r="AR285" i="1"/>
  <c r="AO286" i="1"/>
  <c r="AP286" i="1"/>
  <c r="AQ286" i="1"/>
  <c r="AR286" i="1"/>
  <c r="AO287" i="1"/>
  <c r="AP287" i="1"/>
  <c r="AQ287" i="1"/>
  <c r="AR287" i="1"/>
  <c r="AO288" i="1"/>
  <c r="AP288" i="1"/>
  <c r="AQ288" i="1"/>
  <c r="AR288" i="1"/>
  <c r="AO289" i="1"/>
  <c r="AP289" i="1"/>
  <c r="AQ289" i="1"/>
  <c r="AR289" i="1"/>
  <c r="AO290" i="1"/>
  <c r="AP290" i="1"/>
  <c r="AQ290" i="1"/>
  <c r="AR290" i="1"/>
  <c r="AO291" i="1"/>
  <c r="AP291" i="1"/>
  <c r="AQ291" i="1"/>
  <c r="AR291" i="1"/>
  <c r="AO292" i="1"/>
  <c r="AP292" i="1"/>
  <c r="AQ292" i="1"/>
  <c r="AR292" i="1"/>
  <c r="AO293" i="1"/>
  <c r="AP293" i="1"/>
  <c r="AQ293" i="1"/>
  <c r="AR293" i="1"/>
  <c r="AO294" i="1"/>
  <c r="AP294" i="1"/>
  <c r="AQ294" i="1"/>
  <c r="AR294" i="1"/>
  <c r="AO295" i="1"/>
  <c r="AP295" i="1"/>
  <c r="AQ295" i="1"/>
  <c r="AR295" i="1"/>
  <c r="AO296" i="1"/>
  <c r="AP296" i="1"/>
  <c r="AQ296" i="1"/>
  <c r="AR296" i="1"/>
  <c r="AO297" i="1"/>
  <c r="AP297" i="1"/>
  <c r="AQ297" i="1"/>
  <c r="AR297" i="1"/>
  <c r="AO298" i="1"/>
  <c r="AP298" i="1"/>
  <c r="AQ298" i="1"/>
  <c r="AR298" i="1"/>
  <c r="AO299" i="1"/>
  <c r="AP299" i="1"/>
  <c r="AQ299" i="1"/>
  <c r="AR299" i="1"/>
  <c r="BJ5" i="1"/>
  <c r="BJ6" i="1"/>
  <c r="BJ7" i="1"/>
  <c r="BJ8" i="1"/>
  <c r="BJ9" i="1"/>
  <c r="BJ10" i="1"/>
  <c r="BJ11" i="1"/>
  <c r="BJ12" i="1"/>
  <c r="BJ13" i="1"/>
  <c r="BJ14" i="1"/>
  <c r="BJ15" i="1"/>
  <c r="BJ16" i="1"/>
  <c r="BJ17" i="1"/>
  <c r="BJ18" i="1"/>
  <c r="BJ19" i="1"/>
  <c r="BJ20" i="1"/>
  <c r="BJ21" i="1"/>
  <c r="BJ22" i="1"/>
  <c r="BJ23" i="1"/>
  <c r="BJ24" i="1"/>
  <c r="BJ25" i="1"/>
  <c r="BJ26"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64" i="1"/>
  <c r="BJ65" i="1"/>
  <c r="BJ66" i="1"/>
  <c r="BJ67" i="1"/>
  <c r="BJ68" i="1"/>
  <c r="BJ69" i="1"/>
  <c r="BJ70" i="1"/>
  <c r="BJ71" i="1"/>
  <c r="BJ72" i="1"/>
  <c r="BJ73" i="1"/>
  <c r="BJ74" i="1"/>
  <c r="BJ75" i="1"/>
  <c r="BJ76" i="1"/>
  <c r="BJ77" i="1"/>
  <c r="BJ78" i="1"/>
  <c r="BJ79" i="1"/>
  <c r="BJ80" i="1"/>
  <c r="BJ81" i="1"/>
  <c r="BJ82" i="1"/>
  <c r="BJ83" i="1"/>
  <c r="BJ84" i="1"/>
  <c r="BJ85" i="1"/>
  <c r="BJ86" i="1"/>
  <c r="BJ87" i="1"/>
  <c r="BJ88" i="1"/>
  <c r="BJ89" i="1"/>
  <c r="BJ90" i="1"/>
  <c r="BJ91" i="1"/>
  <c r="BJ92" i="1"/>
  <c r="BJ93" i="1"/>
  <c r="BJ94" i="1"/>
  <c r="BJ95" i="1"/>
  <c r="BJ96" i="1"/>
  <c r="BJ97" i="1"/>
  <c r="BJ98" i="1"/>
  <c r="BJ99" i="1"/>
  <c r="BJ100" i="1"/>
  <c r="BJ101" i="1"/>
  <c r="BR101" i="1" s="1"/>
  <c r="BJ102" i="1"/>
  <c r="BR102" i="1" s="1"/>
  <c r="BJ103" i="1"/>
  <c r="BR103" i="1" s="1"/>
  <c r="BJ104" i="1"/>
  <c r="BR104" i="1" s="1"/>
  <c r="BJ105" i="1"/>
  <c r="BR105" i="1" s="1"/>
  <c r="BJ106" i="1"/>
  <c r="BR106" i="1" s="1"/>
  <c r="BJ107" i="1"/>
  <c r="BR107" i="1" s="1"/>
  <c r="BJ108" i="1"/>
  <c r="BR108" i="1" s="1"/>
  <c r="BJ109" i="1"/>
  <c r="BR109" i="1" s="1"/>
  <c r="BJ110" i="1"/>
  <c r="BR110" i="1" s="1"/>
  <c r="BJ111" i="1"/>
  <c r="BR111" i="1" s="1"/>
  <c r="BJ112" i="1"/>
  <c r="BR112" i="1" s="1"/>
  <c r="BJ113" i="1"/>
  <c r="BR113" i="1" s="1"/>
  <c r="BJ114" i="1"/>
  <c r="BR114" i="1" s="1"/>
  <c r="BJ115" i="1"/>
  <c r="BR115" i="1" s="1"/>
  <c r="BJ116" i="1"/>
  <c r="BR116" i="1" s="1"/>
  <c r="BJ117" i="1"/>
  <c r="BR117" i="1" s="1"/>
  <c r="BJ118" i="1"/>
  <c r="BR118" i="1" s="1"/>
  <c r="BJ119" i="1"/>
  <c r="BR119" i="1" s="1"/>
  <c r="BJ120" i="1"/>
  <c r="BR120" i="1" s="1"/>
  <c r="BJ121" i="1"/>
  <c r="BR121" i="1" s="1"/>
  <c r="BJ122" i="1"/>
  <c r="BR122" i="1" s="1"/>
  <c r="BJ123" i="1"/>
  <c r="BR123" i="1" s="1"/>
  <c r="BJ124" i="1"/>
  <c r="BR124" i="1" s="1"/>
  <c r="BJ125" i="1"/>
  <c r="BR125" i="1" s="1"/>
  <c r="BJ126" i="1"/>
  <c r="BR126" i="1" s="1"/>
  <c r="BJ127" i="1"/>
  <c r="BR127" i="1" s="1"/>
  <c r="BJ128" i="1"/>
  <c r="BR128" i="1" s="1"/>
  <c r="BJ129" i="1"/>
  <c r="BR129" i="1" s="1"/>
  <c r="BJ130" i="1"/>
  <c r="BR130" i="1" s="1"/>
  <c r="BJ131" i="1"/>
  <c r="BR131" i="1" s="1"/>
  <c r="BJ132" i="1"/>
  <c r="BR132" i="1" s="1"/>
  <c r="BJ133" i="1"/>
  <c r="BR133" i="1" s="1"/>
  <c r="BJ134" i="1"/>
  <c r="BR134" i="1" s="1"/>
  <c r="BJ135" i="1"/>
  <c r="BR135" i="1" s="1"/>
  <c r="BJ136" i="1"/>
  <c r="BR136" i="1" s="1"/>
  <c r="BJ137" i="1"/>
  <c r="BR137" i="1" s="1"/>
  <c r="BJ138" i="1"/>
  <c r="BR138" i="1" s="1"/>
  <c r="BJ139" i="1"/>
  <c r="BR139" i="1" s="1"/>
  <c r="BJ140" i="1"/>
  <c r="BR140" i="1" s="1"/>
  <c r="BJ141" i="1"/>
  <c r="BR141" i="1" s="1"/>
  <c r="BJ142" i="1"/>
  <c r="BR142" i="1" s="1"/>
  <c r="BJ143" i="1"/>
  <c r="BR143" i="1" s="1"/>
  <c r="BJ144" i="1"/>
  <c r="BR144" i="1" s="1"/>
  <c r="BJ145" i="1"/>
  <c r="BR145" i="1" s="1"/>
  <c r="BJ146" i="1"/>
  <c r="BR146" i="1" s="1"/>
  <c r="BJ147" i="1"/>
  <c r="BR147" i="1" s="1"/>
  <c r="BJ148" i="1"/>
  <c r="BR148" i="1" s="1"/>
  <c r="BJ149" i="1"/>
  <c r="BR149" i="1" s="1"/>
  <c r="BJ150" i="1"/>
  <c r="BR150" i="1" s="1"/>
  <c r="BJ151" i="1"/>
  <c r="BR151" i="1" s="1"/>
  <c r="BJ152" i="1"/>
  <c r="BR152" i="1" s="1"/>
  <c r="BJ153" i="1"/>
  <c r="BR153" i="1" s="1"/>
  <c r="BJ154" i="1"/>
  <c r="BR154" i="1" s="1"/>
  <c r="BJ155" i="1"/>
  <c r="BR155" i="1" s="1"/>
  <c r="BJ156" i="1"/>
  <c r="BR156" i="1" s="1"/>
  <c r="BJ157" i="1"/>
  <c r="BR157" i="1" s="1"/>
  <c r="BJ158" i="1"/>
  <c r="BR158" i="1" s="1"/>
  <c r="BJ159" i="1"/>
  <c r="BR159" i="1" s="1"/>
  <c r="BJ160" i="1"/>
  <c r="BR160" i="1" s="1"/>
  <c r="BJ161" i="1"/>
  <c r="BR161" i="1" s="1"/>
  <c r="BJ162" i="1"/>
  <c r="BR162" i="1" s="1"/>
  <c r="BJ163" i="1"/>
  <c r="BR163" i="1" s="1"/>
  <c r="BJ164" i="1"/>
  <c r="BR164" i="1" s="1"/>
  <c r="BJ165" i="1"/>
  <c r="BR165" i="1" s="1"/>
  <c r="BJ166" i="1"/>
  <c r="BR166" i="1" s="1"/>
  <c r="BJ167" i="1"/>
  <c r="BR167" i="1" s="1"/>
  <c r="BJ168" i="1"/>
  <c r="BR168" i="1" s="1"/>
  <c r="BJ169" i="1"/>
  <c r="BR169" i="1" s="1"/>
  <c r="BJ170" i="1"/>
  <c r="BR170" i="1" s="1"/>
  <c r="BJ171" i="1"/>
  <c r="BR171" i="1" s="1"/>
  <c r="BJ172" i="1"/>
  <c r="BR172" i="1" s="1"/>
  <c r="BJ173" i="1"/>
  <c r="BR173" i="1" s="1"/>
  <c r="BJ174" i="1"/>
  <c r="BR174" i="1" s="1"/>
  <c r="BJ175" i="1"/>
  <c r="BR175" i="1" s="1"/>
  <c r="BJ176" i="1"/>
  <c r="BR176" i="1" s="1"/>
  <c r="BJ177" i="1"/>
  <c r="BR177" i="1" s="1"/>
  <c r="BJ178" i="1"/>
  <c r="BR178" i="1" s="1"/>
  <c r="BJ179" i="1"/>
  <c r="BR179" i="1" s="1"/>
  <c r="BJ180" i="1"/>
  <c r="BR180" i="1" s="1"/>
  <c r="BJ181" i="1"/>
  <c r="BR181" i="1" s="1"/>
  <c r="BJ182" i="1"/>
  <c r="BR182" i="1" s="1"/>
  <c r="BJ183" i="1"/>
  <c r="BR183" i="1" s="1"/>
  <c r="BJ184" i="1"/>
  <c r="BR184" i="1" s="1"/>
  <c r="BJ185" i="1"/>
  <c r="BR185" i="1" s="1"/>
  <c r="BJ186" i="1"/>
  <c r="BR186" i="1" s="1"/>
  <c r="BJ187" i="1"/>
  <c r="BR187" i="1" s="1"/>
  <c r="BJ188" i="1"/>
  <c r="BR188" i="1" s="1"/>
  <c r="BJ189" i="1"/>
  <c r="BR189" i="1" s="1"/>
  <c r="BJ190" i="1"/>
  <c r="BR190" i="1" s="1"/>
  <c r="BJ191" i="1"/>
  <c r="BR191" i="1" s="1"/>
  <c r="BJ192" i="1"/>
  <c r="BR192" i="1" s="1"/>
  <c r="BJ193" i="1"/>
  <c r="BR193" i="1" s="1"/>
  <c r="BJ194" i="1"/>
  <c r="BR194" i="1" s="1"/>
  <c r="BJ195" i="1"/>
  <c r="BR195" i="1" s="1"/>
  <c r="BJ196" i="1"/>
  <c r="BR196" i="1" s="1"/>
  <c r="BJ197" i="1"/>
  <c r="BR197" i="1" s="1"/>
  <c r="BJ198" i="1"/>
  <c r="BR198" i="1" s="1"/>
  <c r="BJ199" i="1"/>
  <c r="BR199" i="1" s="1"/>
  <c r="BJ200" i="1"/>
  <c r="BR200" i="1" s="1"/>
  <c r="BJ201" i="1"/>
  <c r="BR201" i="1" s="1"/>
  <c r="BJ202" i="1"/>
  <c r="BR202" i="1" s="1"/>
  <c r="BJ203" i="1"/>
  <c r="BR203" i="1" s="1"/>
  <c r="BJ204" i="1"/>
  <c r="BR204" i="1" s="1"/>
  <c r="BJ205" i="1"/>
  <c r="BR205" i="1" s="1"/>
  <c r="BJ206" i="1"/>
  <c r="BR206" i="1" s="1"/>
  <c r="BJ207" i="1"/>
  <c r="BR207" i="1" s="1"/>
  <c r="BJ208" i="1"/>
  <c r="BR208" i="1" s="1"/>
  <c r="BJ209" i="1"/>
  <c r="BR209" i="1" s="1"/>
  <c r="BJ210" i="1"/>
  <c r="BR210" i="1" s="1"/>
  <c r="BJ211" i="1"/>
  <c r="BR211" i="1" s="1"/>
  <c r="BJ212" i="1"/>
  <c r="BR212" i="1" s="1"/>
  <c r="BJ213" i="1"/>
  <c r="BR213" i="1" s="1"/>
  <c r="BJ214" i="1"/>
  <c r="BR214" i="1" s="1"/>
  <c r="BJ215" i="1"/>
  <c r="BR215" i="1" s="1"/>
  <c r="BJ216" i="1"/>
  <c r="BR216" i="1" s="1"/>
  <c r="BJ217" i="1"/>
  <c r="BR217" i="1" s="1"/>
  <c r="BJ218" i="1"/>
  <c r="BR218" i="1" s="1"/>
  <c r="BJ219" i="1"/>
  <c r="BR219" i="1" s="1"/>
  <c r="BJ220" i="1"/>
  <c r="BR220" i="1" s="1"/>
  <c r="BJ221" i="1"/>
  <c r="BR221" i="1" s="1"/>
  <c r="BJ222" i="1"/>
  <c r="BR222" i="1" s="1"/>
  <c r="BJ223" i="1"/>
  <c r="BR223" i="1" s="1"/>
  <c r="BJ224" i="1"/>
  <c r="BR224" i="1" s="1"/>
  <c r="BJ225" i="1"/>
  <c r="BR225" i="1" s="1"/>
  <c r="BJ226" i="1"/>
  <c r="BR226" i="1" s="1"/>
  <c r="BJ227" i="1"/>
  <c r="BR227" i="1" s="1"/>
  <c r="BJ228" i="1"/>
  <c r="BR228" i="1" s="1"/>
  <c r="BJ229" i="1"/>
  <c r="BR229" i="1" s="1"/>
  <c r="BJ230" i="1"/>
  <c r="BR230" i="1" s="1"/>
  <c r="BJ231" i="1"/>
  <c r="BR231" i="1" s="1"/>
  <c r="BJ232" i="1"/>
  <c r="BR232" i="1" s="1"/>
  <c r="BJ233" i="1"/>
  <c r="BR233" i="1" s="1"/>
  <c r="BJ234" i="1"/>
  <c r="BR234" i="1" s="1"/>
  <c r="BJ235" i="1"/>
  <c r="BR235" i="1" s="1"/>
  <c r="BJ236" i="1"/>
  <c r="BR236" i="1" s="1"/>
  <c r="BJ237" i="1"/>
  <c r="BR237" i="1" s="1"/>
  <c r="BJ238" i="1"/>
  <c r="BR238" i="1" s="1"/>
  <c r="BJ239" i="1"/>
  <c r="BR239" i="1" s="1"/>
  <c r="BJ240" i="1"/>
  <c r="BR240" i="1" s="1"/>
  <c r="BJ241" i="1"/>
  <c r="BR241" i="1" s="1"/>
  <c r="BJ242" i="1"/>
  <c r="BR242" i="1" s="1"/>
  <c r="BJ243" i="1"/>
  <c r="BR243" i="1" s="1"/>
  <c r="BJ244" i="1"/>
  <c r="BR244" i="1" s="1"/>
  <c r="BJ245" i="1"/>
  <c r="BR245" i="1" s="1"/>
  <c r="BJ246" i="1"/>
  <c r="BR246" i="1" s="1"/>
  <c r="BJ247" i="1"/>
  <c r="BR247" i="1" s="1"/>
  <c r="BJ248" i="1"/>
  <c r="BR248" i="1" s="1"/>
  <c r="BJ249" i="1"/>
  <c r="BR249" i="1" s="1"/>
  <c r="BJ250" i="1"/>
  <c r="BR250" i="1" s="1"/>
  <c r="BJ251" i="1"/>
  <c r="BR251" i="1" s="1"/>
  <c r="BJ252" i="1"/>
  <c r="BR252" i="1" s="1"/>
  <c r="BJ253" i="1"/>
  <c r="BR253" i="1" s="1"/>
  <c r="BJ254" i="1"/>
  <c r="BR254" i="1" s="1"/>
  <c r="BJ255" i="1"/>
  <c r="BR255" i="1" s="1"/>
  <c r="BJ256" i="1"/>
  <c r="BR256" i="1" s="1"/>
  <c r="BJ257" i="1"/>
  <c r="BR257" i="1" s="1"/>
  <c r="BJ258" i="1"/>
  <c r="BR258" i="1" s="1"/>
  <c r="BJ259" i="1"/>
  <c r="BR259" i="1" s="1"/>
  <c r="BJ260" i="1"/>
  <c r="BR260" i="1" s="1"/>
  <c r="BJ261" i="1"/>
  <c r="BR261" i="1" s="1"/>
  <c r="BJ262" i="1"/>
  <c r="BR262" i="1" s="1"/>
  <c r="BJ263" i="1"/>
  <c r="BR263" i="1" s="1"/>
  <c r="BJ264" i="1"/>
  <c r="BR264" i="1" s="1"/>
  <c r="BJ265" i="1"/>
  <c r="BR265" i="1" s="1"/>
  <c r="BJ266" i="1"/>
  <c r="BR266" i="1" s="1"/>
  <c r="BJ267" i="1"/>
  <c r="BR267" i="1" s="1"/>
  <c r="BJ268" i="1"/>
  <c r="BR268" i="1" s="1"/>
  <c r="BJ269" i="1"/>
  <c r="BR269" i="1" s="1"/>
  <c r="BJ270" i="1"/>
  <c r="BR270" i="1" s="1"/>
  <c r="BJ271" i="1"/>
  <c r="BR271" i="1" s="1"/>
  <c r="BJ272" i="1"/>
  <c r="BR272" i="1" s="1"/>
  <c r="BJ273" i="1"/>
  <c r="BR273" i="1" s="1"/>
  <c r="BJ274" i="1"/>
  <c r="BR274" i="1" s="1"/>
  <c r="BJ275" i="1"/>
  <c r="BR275" i="1" s="1"/>
  <c r="BJ276" i="1"/>
  <c r="BR276" i="1" s="1"/>
  <c r="BJ277" i="1"/>
  <c r="BR277" i="1" s="1"/>
  <c r="BJ278" i="1"/>
  <c r="BR278" i="1" s="1"/>
  <c r="BJ279" i="1"/>
  <c r="BR279" i="1" s="1"/>
  <c r="BJ280" i="1"/>
  <c r="BR280" i="1" s="1"/>
  <c r="BJ281" i="1"/>
  <c r="BR281" i="1" s="1"/>
  <c r="BJ282" i="1"/>
  <c r="BR282" i="1" s="1"/>
  <c r="BJ283" i="1"/>
  <c r="BR283" i="1" s="1"/>
  <c r="BJ284" i="1"/>
  <c r="BR284" i="1" s="1"/>
  <c r="BJ285" i="1"/>
  <c r="BR285" i="1" s="1"/>
  <c r="BJ286" i="1"/>
  <c r="BR286" i="1" s="1"/>
  <c r="BJ287" i="1"/>
  <c r="BR287" i="1" s="1"/>
  <c r="BJ288" i="1"/>
  <c r="BR288" i="1" s="1"/>
  <c r="BJ289" i="1"/>
  <c r="BR289" i="1" s="1"/>
  <c r="BJ290" i="1"/>
  <c r="BR290" i="1" s="1"/>
  <c r="BJ291" i="1"/>
  <c r="BR291" i="1" s="1"/>
  <c r="BJ292" i="1"/>
  <c r="BR292" i="1" s="1"/>
  <c r="BJ293" i="1"/>
  <c r="BR293" i="1" s="1"/>
  <c r="BJ294" i="1"/>
  <c r="BR294" i="1" s="1"/>
  <c r="BJ295" i="1"/>
  <c r="BR295" i="1" s="1"/>
  <c r="BJ296" i="1"/>
  <c r="BR296" i="1" s="1"/>
  <c r="BJ297" i="1"/>
  <c r="BR297" i="1" s="1"/>
  <c r="BJ298" i="1"/>
  <c r="BR298" i="1" s="1"/>
  <c r="BJ299" i="1"/>
  <c r="BR299" i="1" s="1"/>
  <c r="BJ4" i="1"/>
  <c r="AJ5" i="1"/>
  <c r="BE5" i="1" s="1"/>
  <c r="AK5" i="1"/>
  <c r="BF5" i="1" s="1"/>
  <c r="AL5" i="1"/>
  <c r="BG5" i="1" s="1"/>
  <c r="AJ6" i="1"/>
  <c r="BE6" i="1" s="1"/>
  <c r="AK6" i="1"/>
  <c r="BF6" i="1" s="1"/>
  <c r="AL6" i="1"/>
  <c r="BG6" i="1" s="1"/>
  <c r="AJ7" i="1"/>
  <c r="BE7" i="1" s="1"/>
  <c r="AK7" i="1"/>
  <c r="BF7" i="1" s="1"/>
  <c r="AL7" i="1"/>
  <c r="BG7" i="1" s="1"/>
  <c r="AJ8" i="1"/>
  <c r="BE8" i="1" s="1"/>
  <c r="AK8" i="1"/>
  <c r="BF8" i="1" s="1"/>
  <c r="AL8" i="1"/>
  <c r="BG8" i="1" s="1"/>
  <c r="AJ9" i="1"/>
  <c r="BE9" i="1" s="1"/>
  <c r="AK9" i="1"/>
  <c r="BF9" i="1" s="1"/>
  <c r="AL9" i="1"/>
  <c r="BG9" i="1" s="1"/>
  <c r="AJ10" i="1"/>
  <c r="BE10" i="1" s="1"/>
  <c r="AK10" i="1"/>
  <c r="BF10" i="1" s="1"/>
  <c r="AL10" i="1"/>
  <c r="BG10" i="1" s="1"/>
  <c r="AJ11" i="1"/>
  <c r="BE11" i="1" s="1"/>
  <c r="AK11" i="1"/>
  <c r="BF11" i="1" s="1"/>
  <c r="AL11" i="1"/>
  <c r="BG11" i="1" s="1"/>
  <c r="AJ12" i="1"/>
  <c r="BE12" i="1" s="1"/>
  <c r="AK12" i="1"/>
  <c r="BF12" i="1" s="1"/>
  <c r="AL12" i="1"/>
  <c r="BG12" i="1" s="1"/>
  <c r="AJ13" i="1"/>
  <c r="BE13" i="1" s="1"/>
  <c r="AK13" i="1"/>
  <c r="BF13" i="1" s="1"/>
  <c r="AL13" i="1"/>
  <c r="BG13" i="1" s="1"/>
  <c r="AJ14" i="1"/>
  <c r="BE14" i="1" s="1"/>
  <c r="AK14" i="1"/>
  <c r="BF14" i="1" s="1"/>
  <c r="AL14" i="1"/>
  <c r="BG14" i="1" s="1"/>
  <c r="AJ15" i="1"/>
  <c r="BE15" i="1" s="1"/>
  <c r="AK15" i="1"/>
  <c r="BF15" i="1" s="1"/>
  <c r="AL15" i="1"/>
  <c r="BG15" i="1" s="1"/>
  <c r="AJ16" i="1"/>
  <c r="BE16" i="1" s="1"/>
  <c r="AK16" i="1"/>
  <c r="BF16" i="1" s="1"/>
  <c r="AL16" i="1"/>
  <c r="BG16" i="1" s="1"/>
  <c r="AJ17" i="1"/>
  <c r="BE17" i="1" s="1"/>
  <c r="AK17" i="1"/>
  <c r="BF17" i="1" s="1"/>
  <c r="AL17" i="1"/>
  <c r="BG17" i="1" s="1"/>
  <c r="AJ18" i="1"/>
  <c r="BE18" i="1" s="1"/>
  <c r="AK18" i="1"/>
  <c r="BF18" i="1" s="1"/>
  <c r="AL18" i="1"/>
  <c r="BG18" i="1" s="1"/>
  <c r="AJ19" i="1"/>
  <c r="BE19" i="1" s="1"/>
  <c r="AK19" i="1"/>
  <c r="BF19" i="1" s="1"/>
  <c r="AL19" i="1"/>
  <c r="BG19" i="1" s="1"/>
  <c r="AJ20" i="1"/>
  <c r="BE20" i="1" s="1"/>
  <c r="AK20" i="1"/>
  <c r="BF20" i="1" s="1"/>
  <c r="AL20" i="1"/>
  <c r="BG20" i="1" s="1"/>
  <c r="AJ21" i="1"/>
  <c r="BE21" i="1" s="1"/>
  <c r="AK21" i="1"/>
  <c r="BF21" i="1" s="1"/>
  <c r="AL21" i="1"/>
  <c r="BG21" i="1" s="1"/>
  <c r="AJ22" i="1"/>
  <c r="BE22" i="1" s="1"/>
  <c r="AK22" i="1"/>
  <c r="BF22" i="1" s="1"/>
  <c r="AL22" i="1"/>
  <c r="BG22" i="1" s="1"/>
  <c r="AJ23" i="1"/>
  <c r="BE23" i="1" s="1"/>
  <c r="AK23" i="1"/>
  <c r="BF23" i="1" s="1"/>
  <c r="AL23" i="1"/>
  <c r="BG23" i="1" s="1"/>
  <c r="AJ24" i="1"/>
  <c r="BE24" i="1" s="1"/>
  <c r="AK24" i="1"/>
  <c r="BF24" i="1" s="1"/>
  <c r="AL24" i="1"/>
  <c r="BG24" i="1" s="1"/>
  <c r="AJ25" i="1"/>
  <c r="BE25" i="1" s="1"/>
  <c r="AK25" i="1"/>
  <c r="BF25" i="1" s="1"/>
  <c r="AL25" i="1"/>
  <c r="BG25" i="1" s="1"/>
  <c r="AJ26" i="1"/>
  <c r="BE26" i="1" s="1"/>
  <c r="AK26" i="1"/>
  <c r="BF26" i="1" s="1"/>
  <c r="AL26" i="1"/>
  <c r="BG26" i="1" s="1"/>
  <c r="AJ27" i="1"/>
  <c r="BE27" i="1" s="1"/>
  <c r="AK27" i="1"/>
  <c r="BF27" i="1" s="1"/>
  <c r="AL27" i="1"/>
  <c r="BG27" i="1" s="1"/>
  <c r="AJ28" i="1"/>
  <c r="BE28" i="1" s="1"/>
  <c r="AK28" i="1"/>
  <c r="BF28" i="1" s="1"/>
  <c r="AL28" i="1"/>
  <c r="BG28" i="1" s="1"/>
  <c r="AJ29" i="1"/>
  <c r="BE29" i="1" s="1"/>
  <c r="AK29" i="1"/>
  <c r="BF29" i="1" s="1"/>
  <c r="AL29" i="1"/>
  <c r="BG29" i="1" s="1"/>
  <c r="AJ30" i="1"/>
  <c r="BE30" i="1" s="1"/>
  <c r="AK30" i="1"/>
  <c r="BF30" i="1" s="1"/>
  <c r="AL30" i="1"/>
  <c r="BG30" i="1" s="1"/>
  <c r="AJ31" i="1"/>
  <c r="BE31" i="1" s="1"/>
  <c r="AK31" i="1"/>
  <c r="BF31" i="1" s="1"/>
  <c r="AL31" i="1"/>
  <c r="BG31" i="1" s="1"/>
  <c r="AJ32" i="1"/>
  <c r="BE32" i="1" s="1"/>
  <c r="AK32" i="1"/>
  <c r="BF32" i="1" s="1"/>
  <c r="AL32" i="1"/>
  <c r="BG32" i="1" s="1"/>
  <c r="AJ33" i="1"/>
  <c r="BE33" i="1" s="1"/>
  <c r="AK33" i="1"/>
  <c r="BF33" i="1" s="1"/>
  <c r="AL33" i="1"/>
  <c r="BG33" i="1" s="1"/>
  <c r="AJ34" i="1"/>
  <c r="BE34" i="1" s="1"/>
  <c r="AK34" i="1"/>
  <c r="BF34" i="1" s="1"/>
  <c r="AL34" i="1"/>
  <c r="BG34" i="1" s="1"/>
  <c r="AJ35" i="1"/>
  <c r="BE35" i="1" s="1"/>
  <c r="AK35" i="1"/>
  <c r="BF35" i="1" s="1"/>
  <c r="AL35" i="1"/>
  <c r="BG35" i="1" s="1"/>
  <c r="AJ36" i="1"/>
  <c r="BE36" i="1" s="1"/>
  <c r="AK36" i="1"/>
  <c r="BF36" i="1" s="1"/>
  <c r="AL36" i="1"/>
  <c r="BG36" i="1" s="1"/>
  <c r="AJ37" i="1"/>
  <c r="BE37" i="1" s="1"/>
  <c r="AK37" i="1"/>
  <c r="BF37" i="1" s="1"/>
  <c r="AL37" i="1"/>
  <c r="BG37" i="1" s="1"/>
  <c r="AJ38" i="1"/>
  <c r="BE38" i="1" s="1"/>
  <c r="AK38" i="1"/>
  <c r="BF38" i="1" s="1"/>
  <c r="AL38" i="1"/>
  <c r="BG38" i="1" s="1"/>
  <c r="AJ39" i="1"/>
  <c r="BE39" i="1" s="1"/>
  <c r="AK39" i="1"/>
  <c r="BF39" i="1" s="1"/>
  <c r="AL39" i="1"/>
  <c r="BG39" i="1" s="1"/>
  <c r="AJ40" i="1"/>
  <c r="BE40" i="1" s="1"/>
  <c r="AK40" i="1"/>
  <c r="BF40" i="1" s="1"/>
  <c r="AL40" i="1"/>
  <c r="BG40" i="1" s="1"/>
  <c r="AJ41" i="1"/>
  <c r="BE41" i="1" s="1"/>
  <c r="AK41" i="1"/>
  <c r="BF41" i="1" s="1"/>
  <c r="AL41" i="1"/>
  <c r="BG41" i="1" s="1"/>
  <c r="AJ42" i="1"/>
  <c r="BE42" i="1" s="1"/>
  <c r="AK42" i="1"/>
  <c r="BF42" i="1" s="1"/>
  <c r="AL42" i="1"/>
  <c r="BG42" i="1" s="1"/>
  <c r="AJ43" i="1"/>
  <c r="BE43" i="1" s="1"/>
  <c r="AK43" i="1"/>
  <c r="BF43" i="1" s="1"/>
  <c r="AL43" i="1"/>
  <c r="BG43" i="1" s="1"/>
  <c r="AJ44" i="1"/>
  <c r="BE44" i="1" s="1"/>
  <c r="AK44" i="1"/>
  <c r="BF44" i="1" s="1"/>
  <c r="AL44" i="1"/>
  <c r="BG44" i="1" s="1"/>
  <c r="AJ45" i="1"/>
  <c r="BE45" i="1" s="1"/>
  <c r="AK45" i="1"/>
  <c r="BF45" i="1" s="1"/>
  <c r="AL45" i="1"/>
  <c r="BG45" i="1" s="1"/>
  <c r="AJ46" i="1"/>
  <c r="BE46" i="1" s="1"/>
  <c r="AK46" i="1"/>
  <c r="BF46" i="1" s="1"/>
  <c r="AL46" i="1"/>
  <c r="BG46" i="1" s="1"/>
  <c r="AJ47" i="1"/>
  <c r="BE47" i="1" s="1"/>
  <c r="AK47" i="1"/>
  <c r="BF47" i="1" s="1"/>
  <c r="AL47" i="1"/>
  <c r="BG47" i="1" s="1"/>
  <c r="AJ48" i="1"/>
  <c r="BE48" i="1" s="1"/>
  <c r="AK48" i="1"/>
  <c r="BF48" i="1" s="1"/>
  <c r="AL48" i="1"/>
  <c r="BG48" i="1" s="1"/>
  <c r="AJ49" i="1"/>
  <c r="BE49" i="1" s="1"/>
  <c r="AK49" i="1"/>
  <c r="BF49" i="1" s="1"/>
  <c r="AL49" i="1"/>
  <c r="BG49" i="1" s="1"/>
  <c r="AJ50" i="1"/>
  <c r="BE50" i="1" s="1"/>
  <c r="AK50" i="1"/>
  <c r="BF50" i="1" s="1"/>
  <c r="AL50" i="1"/>
  <c r="BG50" i="1" s="1"/>
  <c r="AJ51" i="1"/>
  <c r="BE51" i="1" s="1"/>
  <c r="AK51" i="1"/>
  <c r="BF51" i="1" s="1"/>
  <c r="AL51" i="1"/>
  <c r="BG51" i="1" s="1"/>
  <c r="AJ52" i="1"/>
  <c r="BE52" i="1" s="1"/>
  <c r="AK52" i="1"/>
  <c r="BF52" i="1" s="1"/>
  <c r="AL52" i="1"/>
  <c r="BG52" i="1" s="1"/>
  <c r="AJ53" i="1"/>
  <c r="BE53" i="1" s="1"/>
  <c r="AK53" i="1"/>
  <c r="BF53" i="1" s="1"/>
  <c r="AL53" i="1"/>
  <c r="BG53" i="1" s="1"/>
  <c r="AJ54" i="1"/>
  <c r="BE54" i="1" s="1"/>
  <c r="AK54" i="1"/>
  <c r="BF54" i="1" s="1"/>
  <c r="AL54" i="1"/>
  <c r="BG54" i="1" s="1"/>
  <c r="AJ55" i="1"/>
  <c r="BE55" i="1" s="1"/>
  <c r="AK55" i="1"/>
  <c r="BF55" i="1" s="1"/>
  <c r="AL55" i="1"/>
  <c r="BG55" i="1" s="1"/>
  <c r="AJ56" i="1"/>
  <c r="BE56" i="1" s="1"/>
  <c r="AK56" i="1"/>
  <c r="BF56" i="1" s="1"/>
  <c r="AL56" i="1"/>
  <c r="BG56" i="1" s="1"/>
  <c r="AJ57" i="1"/>
  <c r="BE57" i="1" s="1"/>
  <c r="AK57" i="1"/>
  <c r="BF57" i="1" s="1"/>
  <c r="AL57" i="1"/>
  <c r="BG57" i="1" s="1"/>
  <c r="AJ58" i="1"/>
  <c r="BE58" i="1" s="1"/>
  <c r="AK58" i="1"/>
  <c r="BF58" i="1" s="1"/>
  <c r="AL58" i="1"/>
  <c r="BG58" i="1" s="1"/>
  <c r="AJ59" i="1"/>
  <c r="BE59" i="1" s="1"/>
  <c r="AK59" i="1"/>
  <c r="BF59" i="1" s="1"/>
  <c r="AL59" i="1"/>
  <c r="BG59" i="1" s="1"/>
  <c r="AJ60" i="1"/>
  <c r="BE60" i="1" s="1"/>
  <c r="AK60" i="1"/>
  <c r="BF60" i="1" s="1"/>
  <c r="AL60" i="1"/>
  <c r="BG60" i="1" s="1"/>
  <c r="AJ61" i="1"/>
  <c r="BE61" i="1" s="1"/>
  <c r="AK61" i="1"/>
  <c r="BF61" i="1" s="1"/>
  <c r="AL61" i="1"/>
  <c r="BG61" i="1" s="1"/>
  <c r="AJ62" i="1"/>
  <c r="BE62" i="1" s="1"/>
  <c r="AK62" i="1"/>
  <c r="BF62" i="1" s="1"/>
  <c r="AL62" i="1"/>
  <c r="BG62" i="1" s="1"/>
  <c r="AJ63" i="1"/>
  <c r="BE63" i="1" s="1"/>
  <c r="AK63" i="1"/>
  <c r="BF63" i="1" s="1"/>
  <c r="AL63" i="1"/>
  <c r="BG63" i="1" s="1"/>
  <c r="AJ64" i="1"/>
  <c r="BE64" i="1" s="1"/>
  <c r="AK64" i="1"/>
  <c r="BF64" i="1" s="1"/>
  <c r="AL64" i="1"/>
  <c r="BG64" i="1" s="1"/>
  <c r="AJ65" i="1"/>
  <c r="BE65" i="1" s="1"/>
  <c r="AK65" i="1"/>
  <c r="BF65" i="1" s="1"/>
  <c r="AL65" i="1"/>
  <c r="BG65" i="1" s="1"/>
  <c r="AJ66" i="1"/>
  <c r="BE66" i="1" s="1"/>
  <c r="AK66" i="1"/>
  <c r="BF66" i="1" s="1"/>
  <c r="AL66" i="1"/>
  <c r="BG66" i="1" s="1"/>
  <c r="AJ67" i="1"/>
  <c r="BE67" i="1" s="1"/>
  <c r="AK67" i="1"/>
  <c r="BF67" i="1" s="1"/>
  <c r="AL67" i="1"/>
  <c r="BG67" i="1" s="1"/>
  <c r="AJ68" i="1"/>
  <c r="BE68" i="1" s="1"/>
  <c r="AK68" i="1"/>
  <c r="BF68" i="1" s="1"/>
  <c r="AL68" i="1"/>
  <c r="BG68" i="1" s="1"/>
  <c r="AJ69" i="1"/>
  <c r="BE69" i="1" s="1"/>
  <c r="AK69" i="1"/>
  <c r="BF69" i="1" s="1"/>
  <c r="AL69" i="1"/>
  <c r="BG69" i="1" s="1"/>
  <c r="AJ70" i="1"/>
  <c r="BE70" i="1" s="1"/>
  <c r="AK70" i="1"/>
  <c r="BF70" i="1" s="1"/>
  <c r="AL70" i="1"/>
  <c r="BG70" i="1" s="1"/>
  <c r="AJ71" i="1"/>
  <c r="BE71" i="1" s="1"/>
  <c r="AK71" i="1"/>
  <c r="BF71" i="1" s="1"/>
  <c r="AL71" i="1"/>
  <c r="BG71" i="1" s="1"/>
  <c r="AJ72" i="1"/>
  <c r="BE72" i="1" s="1"/>
  <c r="AK72" i="1"/>
  <c r="BF72" i="1" s="1"/>
  <c r="AL72" i="1"/>
  <c r="BG72" i="1" s="1"/>
  <c r="AJ73" i="1"/>
  <c r="BE73" i="1" s="1"/>
  <c r="AK73" i="1"/>
  <c r="BF73" i="1" s="1"/>
  <c r="AL73" i="1"/>
  <c r="BG73" i="1" s="1"/>
  <c r="AJ74" i="1"/>
  <c r="BE74" i="1" s="1"/>
  <c r="AK74" i="1"/>
  <c r="BF74" i="1" s="1"/>
  <c r="AL74" i="1"/>
  <c r="BG74" i="1" s="1"/>
  <c r="AJ75" i="1"/>
  <c r="BE75" i="1" s="1"/>
  <c r="AK75" i="1"/>
  <c r="BF75" i="1" s="1"/>
  <c r="AL75" i="1"/>
  <c r="BG75" i="1" s="1"/>
  <c r="AJ76" i="1"/>
  <c r="BE76" i="1" s="1"/>
  <c r="AK76" i="1"/>
  <c r="BF76" i="1" s="1"/>
  <c r="AL76" i="1"/>
  <c r="BG76" i="1" s="1"/>
  <c r="AJ77" i="1"/>
  <c r="BE77" i="1" s="1"/>
  <c r="AK77" i="1"/>
  <c r="BF77" i="1" s="1"/>
  <c r="AL77" i="1"/>
  <c r="BG77" i="1" s="1"/>
  <c r="AJ78" i="1"/>
  <c r="BE78" i="1" s="1"/>
  <c r="AK78" i="1"/>
  <c r="BF78" i="1" s="1"/>
  <c r="AL78" i="1"/>
  <c r="BG78" i="1" s="1"/>
  <c r="AJ79" i="1"/>
  <c r="BE79" i="1" s="1"/>
  <c r="AK79" i="1"/>
  <c r="BF79" i="1" s="1"/>
  <c r="AL79" i="1"/>
  <c r="BG79" i="1" s="1"/>
  <c r="AJ80" i="1"/>
  <c r="BE80" i="1" s="1"/>
  <c r="AK80" i="1"/>
  <c r="BF80" i="1" s="1"/>
  <c r="AL80" i="1"/>
  <c r="BG80" i="1" s="1"/>
  <c r="AJ81" i="1"/>
  <c r="BE81" i="1" s="1"/>
  <c r="AK81" i="1"/>
  <c r="BF81" i="1" s="1"/>
  <c r="AL81" i="1"/>
  <c r="BG81" i="1" s="1"/>
  <c r="AJ82" i="1"/>
  <c r="BE82" i="1" s="1"/>
  <c r="AK82" i="1"/>
  <c r="BF82" i="1" s="1"/>
  <c r="AL82" i="1"/>
  <c r="BG82" i="1" s="1"/>
  <c r="AJ83" i="1"/>
  <c r="BE83" i="1" s="1"/>
  <c r="AK83" i="1"/>
  <c r="BF83" i="1" s="1"/>
  <c r="AL83" i="1"/>
  <c r="BG83" i="1" s="1"/>
  <c r="AJ84" i="1"/>
  <c r="BE84" i="1" s="1"/>
  <c r="AK84" i="1"/>
  <c r="BF84" i="1" s="1"/>
  <c r="AL84" i="1"/>
  <c r="BG84" i="1" s="1"/>
  <c r="AJ85" i="1"/>
  <c r="BE85" i="1" s="1"/>
  <c r="AK85" i="1"/>
  <c r="BF85" i="1" s="1"/>
  <c r="AL85" i="1"/>
  <c r="BG85" i="1" s="1"/>
  <c r="AJ86" i="1"/>
  <c r="BE86" i="1" s="1"/>
  <c r="AK86" i="1"/>
  <c r="BF86" i="1" s="1"/>
  <c r="AL86" i="1"/>
  <c r="BG86" i="1" s="1"/>
  <c r="AJ87" i="1"/>
  <c r="BE87" i="1" s="1"/>
  <c r="AK87" i="1"/>
  <c r="BF87" i="1" s="1"/>
  <c r="AL87" i="1"/>
  <c r="BG87" i="1" s="1"/>
  <c r="AJ88" i="1"/>
  <c r="BE88" i="1" s="1"/>
  <c r="AK88" i="1"/>
  <c r="BF88" i="1" s="1"/>
  <c r="AL88" i="1"/>
  <c r="BG88" i="1" s="1"/>
  <c r="AJ89" i="1"/>
  <c r="BE89" i="1" s="1"/>
  <c r="AK89" i="1"/>
  <c r="BF89" i="1" s="1"/>
  <c r="AL89" i="1"/>
  <c r="BG89" i="1" s="1"/>
  <c r="AJ90" i="1"/>
  <c r="BE90" i="1" s="1"/>
  <c r="AK90" i="1"/>
  <c r="BF90" i="1" s="1"/>
  <c r="AL90" i="1"/>
  <c r="BG90" i="1" s="1"/>
  <c r="AJ91" i="1"/>
  <c r="BE91" i="1" s="1"/>
  <c r="AK91" i="1"/>
  <c r="BF91" i="1" s="1"/>
  <c r="AL91" i="1"/>
  <c r="BG91" i="1" s="1"/>
  <c r="AJ92" i="1"/>
  <c r="BE92" i="1" s="1"/>
  <c r="AK92" i="1"/>
  <c r="BF92" i="1" s="1"/>
  <c r="AL92" i="1"/>
  <c r="BG92" i="1" s="1"/>
  <c r="AJ93" i="1"/>
  <c r="BE93" i="1" s="1"/>
  <c r="AK93" i="1"/>
  <c r="BF93" i="1" s="1"/>
  <c r="AL93" i="1"/>
  <c r="BG93" i="1" s="1"/>
  <c r="AJ94" i="1"/>
  <c r="BE94" i="1" s="1"/>
  <c r="AK94" i="1"/>
  <c r="BF94" i="1" s="1"/>
  <c r="AL94" i="1"/>
  <c r="BG94" i="1" s="1"/>
  <c r="AJ95" i="1"/>
  <c r="BE95" i="1" s="1"/>
  <c r="AK95" i="1"/>
  <c r="BF95" i="1" s="1"/>
  <c r="AL95" i="1"/>
  <c r="BG95" i="1" s="1"/>
  <c r="AJ96" i="1"/>
  <c r="BE96" i="1" s="1"/>
  <c r="AK96" i="1"/>
  <c r="BF96" i="1" s="1"/>
  <c r="AL96" i="1"/>
  <c r="BG96" i="1" s="1"/>
  <c r="AJ97" i="1"/>
  <c r="BE97" i="1" s="1"/>
  <c r="AK97" i="1"/>
  <c r="BF97" i="1" s="1"/>
  <c r="AL97" i="1"/>
  <c r="BG97" i="1" s="1"/>
  <c r="AJ98" i="1"/>
  <c r="BE98" i="1" s="1"/>
  <c r="AK98" i="1"/>
  <c r="BF98" i="1" s="1"/>
  <c r="AL98" i="1"/>
  <c r="BG98" i="1" s="1"/>
  <c r="AJ99" i="1"/>
  <c r="BE99" i="1" s="1"/>
  <c r="AK99" i="1"/>
  <c r="BF99" i="1" s="1"/>
  <c r="AL99" i="1"/>
  <c r="BG99" i="1" s="1"/>
  <c r="AJ100" i="1"/>
  <c r="BE100" i="1" s="1"/>
  <c r="AK100" i="1"/>
  <c r="BF100" i="1" s="1"/>
  <c r="AL100" i="1"/>
  <c r="BG100" i="1" s="1"/>
  <c r="AJ101" i="1"/>
  <c r="BE101" i="1" s="1"/>
  <c r="AK101" i="1"/>
  <c r="BF101" i="1" s="1"/>
  <c r="AL101" i="1"/>
  <c r="BG101" i="1" s="1"/>
  <c r="AJ102" i="1"/>
  <c r="BE102" i="1" s="1"/>
  <c r="AK102" i="1"/>
  <c r="BF102" i="1" s="1"/>
  <c r="AL102" i="1"/>
  <c r="BG102" i="1" s="1"/>
  <c r="AJ103" i="1"/>
  <c r="BE103" i="1" s="1"/>
  <c r="AK103" i="1"/>
  <c r="BF103" i="1" s="1"/>
  <c r="AL103" i="1"/>
  <c r="BG103" i="1" s="1"/>
  <c r="AJ104" i="1"/>
  <c r="BE104" i="1" s="1"/>
  <c r="AK104" i="1"/>
  <c r="BF104" i="1" s="1"/>
  <c r="AL104" i="1"/>
  <c r="BG104" i="1" s="1"/>
  <c r="AJ105" i="1"/>
  <c r="BE105" i="1" s="1"/>
  <c r="AK105" i="1"/>
  <c r="BF105" i="1" s="1"/>
  <c r="AL105" i="1"/>
  <c r="BG105" i="1" s="1"/>
  <c r="AJ106" i="1"/>
  <c r="BE106" i="1" s="1"/>
  <c r="AK106" i="1"/>
  <c r="BF106" i="1" s="1"/>
  <c r="AL106" i="1"/>
  <c r="BG106" i="1" s="1"/>
  <c r="AJ107" i="1"/>
  <c r="BE107" i="1" s="1"/>
  <c r="AK107" i="1"/>
  <c r="BF107" i="1" s="1"/>
  <c r="AL107" i="1"/>
  <c r="BG107" i="1" s="1"/>
  <c r="AJ108" i="1"/>
  <c r="BE108" i="1" s="1"/>
  <c r="AK108" i="1"/>
  <c r="BF108" i="1" s="1"/>
  <c r="AL108" i="1"/>
  <c r="BG108" i="1" s="1"/>
  <c r="AJ109" i="1"/>
  <c r="BE109" i="1" s="1"/>
  <c r="AK109" i="1"/>
  <c r="BF109" i="1" s="1"/>
  <c r="AL109" i="1"/>
  <c r="BG109" i="1" s="1"/>
  <c r="AJ110" i="1"/>
  <c r="BE110" i="1" s="1"/>
  <c r="AK110" i="1"/>
  <c r="BF110" i="1" s="1"/>
  <c r="AL110" i="1"/>
  <c r="BG110" i="1" s="1"/>
  <c r="AJ111" i="1"/>
  <c r="BE111" i="1" s="1"/>
  <c r="AK111" i="1"/>
  <c r="BF111" i="1" s="1"/>
  <c r="AL111" i="1"/>
  <c r="BG111" i="1" s="1"/>
  <c r="AJ112" i="1"/>
  <c r="BE112" i="1" s="1"/>
  <c r="AK112" i="1"/>
  <c r="BF112" i="1" s="1"/>
  <c r="AL112" i="1"/>
  <c r="BG112" i="1" s="1"/>
  <c r="AJ113" i="1"/>
  <c r="BE113" i="1" s="1"/>
  <c r="AK113" i="1"/>
  <c r="BF113" i="1" s="1"/>
  <c r="AL113" i="1"/>
  <c r="BG113" i="1" s="1"/>
  <c r="AJ114" i="1"/>
  <c r="BE114" i="1" s="1"/>
  <c r="AK114" i="1"/>
  <c r="BF114" i="1" s="1"/>
  <c r="AL114" i="1"/>
  <c r="BG114" i="1" s="1"/>
  <c r="AJ115" i="1"/>
  <c r="BE115" i="1" s="1"/>
  <c r="AK115" i="1"/>
  <c r="BF115" i="1" s="1"/>
  <c r="AL115" i="1"/>
  <c r="BG115" i="1" s="1"/>
  <c r="AJ116" i="1"/>
  <c r="BE116" i="1" s="1"/>
  <c r="AK116" i="1"/>
  <c r="BF116" i="1" s="1"/>
  <c r="AL116" i="1"/>
  <c r="BG116" i="1" s="1"/>
  <c r="AJ117" i="1"/>
  <c r="BE117" i="1" s="1"/>
  <c r="AK117" i="1"/>
  <c r="BF117" i="1" s="1"/>
  <c r="AL117" i="1"/>
  <c r="BG117" i="1" s="1"/>
  <c r="AJ118" i="1"/>
  <c r="BE118" i="1" s="1"/>
  <c r="AK118" i="1"/>
  <c r="BF118" i="1" s="1"/>
  <c r="AL118" i="1"/>
  <c r="BG118" i="1" s="1"/>
  <c r="AJ119" i="1"/>
  <c r="BE119" i="1" s="1"/>
  <c r="AK119" i="1"/>
  <c r="BF119" i="1" s="1"/>
  <c r="AL119" i="1"/>
  <c r="BG119" i="1" s="1"/>
  <c r="AJ120" i="1"/>
  <c r="BE120" i="1" s="1"/>
  <c r="AK120" i="1"/>
  <c r="BF120" i="1" s="1"/>
  <c r="AL120" i="1"/>
  <c r="BG120" i="1" s="1"/>
  <c r="AJ121" i="1"/>
  <c r="BE121" i="1" s="1"/>
  <c r="AK121" i="1"/>
  <c r="BF121" i="1" s="1"/>
  <c r="AL121" i="1"/>
  <c r="BG121" i="1" s="1"/>
  <c r="AJ122" i="1"/>
  <c r="BE122" i="1" s="1"/>
  <c r="AK122" i="1"/>
  <c r="BF122" i="1" s="1"/>
  <c r="AL122" i="1"/>
  <c r="BG122" i="1" s="1"/>
  <c r="AJ123" i="1"/>
  <c r="BE123" i="1" s="1"/>
  <c r="AK123" i="1"/>
  <c r="BF123" i="1" s="1"/>
  <c r="AL123" i="1"/>
  <c r="BG123" i="1" s="1"/>
  <c r="AJ124" i="1"/>
  <c r="BE124" i="1" s="1"/>
  <c r="AK124" i="1"/>
  <c r="BF124" i="1" s="1"/>
  <c r="AL124" i="1"/>
  <c r="BG124" i="1" s="1"/>
  <c r="AJ125" i="1"/>
  <c r="BE125" i="1" s="1"/>
  <c r="AK125" i="1"/>
  <c r="BF125" i="1" s="1"/>
  <c r="AL125" i="1"/>
  <c r="BG125" i="1" s="1"/>
  <c r="AJ126" i="1"/>
  <c r="BE126" i="1" s="1"/>
  <c r="AK126" i="1"/>
  <c r="BF126" i="1" s="1"/>
  <c r="AL126" i="1"/>
  <c r="BG126" i="1" s="1"/>
  <c r="AJ127" i="1"/>
  <c r="BE127" i="1" s="1"/>
  <c r="AK127" i="1"/>
  <c r="BF127" i="1" s="1"/>
  <c r="AL127" i="1"/>
  <c r="BG127" i="1" s="1"/>
  <c r="AJ128" i="1"/>
  <c r="BE128" i="1" s="1"/>
  <c r="AK128" i="1"/>
  <c r="BF128" i="1" s="1"/>
  <c r="AL128" i="1"/>
  <c r="BG128" i="1" s="1"/>
  <c r="AJ129" i="1"/>
  <c r="BE129" i="1" s="1"/>
  <c r="AK129" i="1"/>
  <c r="BF129" i="1" s="1"/>
  <c r="AL129" i="1"/>
  <c r="BG129" i="1" s="1"/>
  <c r="AJ130" i="1"/>
  <c r="BE130" i="1" s="1"/>
  <c r="AK130" i="1"/>
  <c r="BF130" i="1" s="1"/>
  <c r="AL130" i="1"/>
  <c r="BG130" i="1" s="1"/>
  <c r="AJ131" i="1"/>
  <c r="BE131" i="1" s="1"/>
  <c r="AK131" i="1"/>
  <c r="BF131" i="1" s="1"/>
  <c r="AL131" i="1"/>
  <c r="BG131" i="1" s="1"/>
  <c r="AJ132" i="1"/>
  <c r="BE132" i="1" s="1"/>
  <c r="AK132" i="1"/>
  <c r="BF132" i="1" s="1"/>
  <c r="AL132" i="1"/>
  <c r="BG132" i="1" s="1"/>
  <c r="AJ133" i="1"/>
  <c r="BE133" i="1" s="1"/>
  <c r="AK133" i="1"/>
  <c r="BF133" i="1" s="1"/>
  <c r="AL133" i="1"/>
  <c r="BG133" i="1" s="1"/>
  <c r="AJ134" i="1"/>
  <c r="BE134" i="1" s="1"/>
  <c r="AK134" i="1"/>
  <c r="BF134" i="1" s="1"/>
  <c r="AL134" i="1"/>
  <c r="BG134" i="1" s="1"/>
  <c r="AJ135" i="1"/>
  <c r="BE135" i="1" s="1"/>
  <c r="AK135" i="1"/>
  <c r="BF135" i="1" s="1"/>
  <c r="AL135" i="1"/>
  <c r="BG135" i="1" s="1"/>
  <c r="AJ136" i="1"/>
  <c r="BE136" i="1" s="1"/>
  <c r="AK136" i="1"/>
  <c r="BF136" i="1" s="1"/>
  <c r="AL136" i="1"/>
  <c r="BG136" i="1" s="1"/>
  <c r="AJ137" i="1"/>
  <c r="BE137" i="1" s="1"/>
  <c r="AK137" i="1"/>
  <c r="BF137" i="1" s="1"/>
  <c r="AL137" i="1"/>
  <c r="BG137" i="1" s="1"/>
  <c r="AJ138" i="1"/>
  <c r="BE138" i="1" s="1"/>
  <c r="AK138" i="1"/>
  <c r="BF138" i="1" s="1"/>
  <c r="AL138" i="1"/>
  <c r="BG138" i="1" s="1"/>
  <c r="AJ139" i="1"/>
  <c r="BE139" i="1" s="1"/>
  <c r="AK139" i="1"/>
  <c r="BF139" i="1" s="1"/>
  <c r="AL139" i="1"/>
  <c r="BG139" i="1" s="1"/>
  <c r="AJ140" i="1"/>
  <c r="BE140" i="1" s="1"/>
  <c r="AK140" i="1"/>
  <c r="BF140" i="1" s="1"/>
  <c r="AL140" i="1"/>
  <c r="BG140" i="1" s="1"/>
  <c r="AJ141" i="1"/>
  <c r="BE141" i="1" s="1"/>
  <c r="AK141" i="1"/>
  <c r="BF141" i="1" s="1"/>
  <c r="AL141" i="1"/>
  <c r="BG141" i="1" s="1"/>
  <c r="AJ142" i="1"/>
  <c r="BE142" i="1" s="1"/>
  <c r="AK142" i="1"/>
  <c r="BF142" i="1" s="1"/>
  <c r="AL142" i="1"/>
  <c r="BG142" i="1" s="1"/>
  <c r="AJ143" i="1"/>
  <c r="BE143" i="1" s="1"/>
  <c r="AK143" i="1"/>
  <c r="BF143" i="1" s="1"/>
  <c r="AL143" i="1"/>
  <c r="BG143" i="1" s="1"/>
  <c r="AJ144" i="1"/>
  <c r="BE144" i="1" s="1"/>
  <c r="AK144" i="1"/>
  <c r="BF144" i="1" s="1"/>
  <c r="AL144" i="1"/>
  <c r="BG144" i="1" s="1"/>
  <c r="AJ145" i="1"/>
  <c r="BE145" i="1" s="1"/>
  <c r="AK145" i="1"/>
  <c r="BF145" i="1" s="1"/>
  <c r="AL145" i="1"/>
  <c r="BG145" i="1" s="1"/>
  <c r="AJ146" i="1"/>
  <c r="BE146" i="1" s="1"/>
  <c r="AK146" i="1"/>
  <c r="BF146" i="1" s="1"/>
  <c r="AL146" i="1"/>
  <c r="BG146" i="1" s="1"/>
  <c r="AJ147" i="1"/>
  <c r="BE147" i="1" s="1"/>
  <c r="AK147" i="1"/>
  <c r="BF147" i="1" s="1"/>
  <c r="AL147" i="1"/>
  <c r="BG147" i="1" s="1"/>
  <c r="AJ148" i="1"/>
  <c r="BE148" i="1" s="1"/>
  <c r="AK148" i="1"/>
  <c r="BF148" i="1" s="1"/>
  <c r="AL148" i="1"/>
  <c r="BG148" i="1" s="1"/>
  <c r="AJ149" i="1"/>
  <c r="BE149" i="1" s="1"/>
  <c r="AK149" i="1"/>
  <c r="BF149" i="1" s="1"/>
  <c r="AL149" i="1"/>
  <c r="BG149" i="1" s="1"/>
  <c r="AJ150" i="1"/>
  <c r="BE150" i="1" s="1"/>
  <c r="AK150" i="1"/>
  <c r="BF150" i="1" s="1"/>
  <c r="AL150" i="1"/>
  <c r="BG150" i="1" s="1"/>
  <c r="AJ151" i="1"/>
  <c r="BE151" i="1" s="1"/>
  <c r="AK151" i="1"/>
  <c r="BF151" i="1" s="1"/>
  <c r="AL151" i="1"/>
  <c r="BG151" i="1" s="1"/>
  <c r="AJ152" i="1"/>
  <c r="BE152" i="1" s="1"/>
  <c r="AK152" i="1"/>
  <c r="BF152" i="1" s="1"/>
  <c r="AL152" i="1"/>
  <c r="BG152" i="1" s="1"/>
  <c r="AJ153" i="1"/>
  <c r="BE153" i="1" s="1"/>
  <c r="AK153" i="1"/>
  <c r="BF153" i="1" s="1"/>
  <c r="AL153" i="1"/>
  <c r="BG153" i="1" s="1"/>
  <c r="AJ154" i="1"/>
  <c r="BE154" i="1" s="1"/>
  <c r="AK154" i="1"/>
  <c r="BF154" i="1" s="1"/>
  <c r="AL154" i="1"/>
  <c r="BG154" i="1" s="1"/>
  <c r="AJ155" i="1"/>
  <c r="BE155" i="1" s="1"/>
  <c r="AK155" i="1"/>
  <c r="BF155" i="1" s="1"/>
  <c r="AL155" i="1"/>
  <c r="BG155" i="1" s="1"/>
  <c r="AJ156" i="1"/>
  <c r="BE156" i="1" s="1"/>
  <c r="AK156" i="1"/>
  <c r="BF156" i="1" s="1"/>
  <c r="AL156" i="1"/>
  <c r="BG156" i="1" s="1"/>
  <c r="AJ157" i="1"/>
  <c r="BE157" i="1" s="1"/>
  <c r="AK157" i="1"/>
  <c r="BF157" i="1" s="1"/>
  <c r="AL157" i="1"/>
  <c r="BG157" i="1" s="1"/>
  <c r="AJ158" i="1"/>
  <c r="BE158" i="1" s="1"/>
  <c r="AK158" i="1"/>
  <c r="BF158" i="1" s="1"/>
  <c r="AL158" i="1"/>
  <c r="BG158" i="1" s="1"/>
  <c r="AJ159" i="1"/>
  <c r="BE159" i="1" s="1"/>
  <c r="AK159" i="1"/>
  <c r="BF159" i="1" s="1"/>
  <c r="AL159" i="1"/>
  <c r="BG159" i="1" s="1"/>
  <c r="AJ160" i="1"/>
  <c r="BE160" i="1" s="1"/>
  <c r="AK160" i="1"/>
  <c r="BF160" i="1" s="1"/>
  <c r="AL160" i="1"/>
  <c r="BG160" i="1" s="1"/>
  <c r="AJ161" i="1"/>
  <c r="BE161" i="1" s="1"/>
  <c r="AK161" i="1"/>
  <c r="BF161" i="1" s="1"/>
  <c r="AL161" i="1"/>
  <c r="BG161" i="1" s="1"/>
  <c r="AJ162" i="1"/>
  <c r="BE162" i="1" s="1"/>
  <c r="AK162" i="1"/>
  <c r="BF162" i="1" s="1"/>
  <c r="AL162" i="1"/>
  <c r="BG162" i="1" s="1"/>
  <c r="AJ163" i="1"/>
  <c r="BE163" i="1" s="1"/>
  <c r="AK163" i="1"/>
  <c r="BF163" i="1" s="1"/>
  <c r="AL163" i="1"/>
  <c r="BG163" i="1" s="1"/>
  <c r="AJ164" i="1"/>
  <c r="BE164" i="1" s="1"/>
  <c r="AK164" i="1"/>
  <c r="BF164" i="1" s="1"/>
  <c r="AL164" i="1"/>
  <c r="BG164" i="1" s="1"/>
  <c r="AJ165" i="1"/>
  <c r="BE165" i="1" s="1"/>
  <c r="AK165" i="1"/>
  <c r="BF165" i="1" s="1"/>
  <c r="AL165" i="1"/>
  <c r="BG165" i="1" s="1"/>
  <c r="AJ166" i="1"/>
  <c r="BE166" i="1" s="1"/>
  <c r="AK166" i="1"/>
  <c r="BF166" i="1" s="1"/>
  <c r="AL166" i="1"/>
  <c r="BG166" i="1" s="1"/>
  <c r="AJ167" i="1"/>
  <c r="BE167" i="1" s="1"/>
  <c r="AK167" i="1"/>
  <c r="BF167" i="1" s="1"/>
  <c r="AL167" i="1"/>
  <c r="BG167" i="1" s="1"/>
  <c r="AJ168" i="1"/>
  <c r="BE168" i="1" s="1"/>
  <c r="AK168" i="1"/>
  <c r="BF168" i="1" s="1"/>
  <c r="AL168" i="1"/>
  <c r="BG168" i="1" s="1"/>
  <c r="AJ169" i="1"/>
  <c r="BE169" i="1" s="1"/>
  <c r="AK169" i="1"/>
  <c r="BF169" i="1" s="1"/>
  <c r="AL169" i="1"/>
  <c r="BG169" i="1" s="1"/>
  <c r="AJ170" i="1"/>
  <c r="BE170" i="1" s="1"/>
  <c r="AK170" i="1"/>
  <c r="BF170" i="1" s="1"/>
  <c r="AL170" i="1"/>
  <c r="BG170" i="1" s="1"/>
  <c r="AJ171" i="1"/>
  <c r="BE171" i="1" s="1"/>
  <c r="AK171" i="1"/>
  <c r="BF171" i="1" s="1"/>
  <c r="AL171" i="1"/>
  <c r="BG171" i="1" s="1"/>
  <c r="AJ172" i="1"/>
  <c r="BE172" i="1" s="1"/>
  <c r="AK172" i="1"/>
  <c r="BF172" i="1" s="1"/>
  <c r="AL172" i="1"/>
  <c r="BG172" i="1" s="1"/>
  <c r="AJ173" i="1"/>
  <c r="BE173" i="1" s="1"/>
  <c r="AK173" i="1"/>
  <c r="BF173" i="1" s="1"/>
  <c r="AL173" i="1"/>
  <c r="BG173" i="1" s="1"/>
  <c r="AJ174" i="1"/>
  <c r="BE174" i="1" s="1"/>
  <c r="AK174" i="1"/>
  <c r="BF174" i="1" s="1"/>
  <c r="AL174" i="1"/>
  <c r="BG174" i="1" s="1"/>
  <c r="AJ175" i="1"/>
  <c r="BE175" i="1" s="1"/>
  <c r="AK175" i="1"/>
  <c r="BF175" i="1" s="1"/>
  <c r="AL175" i="1"/>
  <c r="BG175" i="1" s="1"/>
  <c r="AJ176" i="1"/>
  <c r="BE176" i="1" s="1"/>
  <c r="AK176" i="1"/>
  <c r="BF176" i="1" s="1"/>
  <c r="AL176" i="1"/>
  <c r="BG176" i="1" s="1"/>
  <c r="AJ177" i="1"/>
  <c r="BE177" i="1" s="1"/>
  <c r="AK177" i="1"/>
  <c r="BF177" i="1" s="1"/>
  <c r="AL177" i="1"/>
  <c r="BG177" i="1" s="1"/>
  <c r="AJ178" i="1"/>
  <c r="BE178" i="1" s="1"/>
  <c r="AK178" i="1"/>
  <c r="BF178" i="1" s="1"/>
  <c r="AL178" i="1"/>
  <c r="BG178" i="1" s="1"/>
  <c r="AJ179" i="1"/>
  <c r="BE179" i="1" s="1"/>
  <c r="AK179" i="1"/>
  <c r="BF179" i="1" s="1"/>
  <c r="AL179" i="1"/>
  <c r="BG179" i="1" s="1"/>
  <c r="AJ180" i="1"/>
  <c r="BE180" i="1" s="1"/>
  <c r="AK180" i="1"/>
  <c r="BF180" i="1" s="1"/>
  <c r="AL180" i="1"/>
  <c r="BG180" i="1" s="1"/>
  <c r="AJ181" i="1"/>
  <c r="BE181" i="1" s="1"/>
  <c r="AK181" i="1"/>
  <c r="BF181" i="1" s="1"/>
  <c r="AL181" i="1"/>
  <c r="BG181" i="1" s="1"/>
  <c r="AJ182" i="1"/>
  <c r="BE182" i="1" s="1"/>
  <c r="AK182" i="1"/>
  <c r="BF182" i="1" s="1"/>
  <c r="AL182" i="1"/>
  <c r="BG182" i="1" s="1"/>
  <c r="AJ183" i="1"/>
  <c r="BE183" i="1" s="1"/>
  <c r="AK183" i="1"/>
  <c r="BF183" i="1" s="1"/>
  <c r="AL183" i="1"/>
  <c r="BG183" i="1" s="1"/>
  <c r="AJ184" i="1"/>
  <c r="BE184" i="1" s="1"/>
  <c r="AK184" i="1"/>
  <c r="BF184" i="1" s="1"/>
  <c r="AL184" i="1"/>
  <c r="BG184" i="1" s="1"/>
  <c r="AJ185" i="1"/>
  <c r="BE185" i="1" s="1"/>
  <c r="AK185" i="1"/>
  <c r="BF185" i="1" s="1"/>
  <c r="AL185" i="1"/>
  <c r="BG185" i="1" s="1"/>
  <c r="AJ186" i="1"/>
  <c r="BE186" i="1" s="1"/>
  <c r="AK186" i="1"/>
  <c r="BF186" i="1" s="1"/>
  <c r="AL186" i="1"/>
  <c r="BG186" i="1" s="1"/>
  <c r="AJ187" i="1"/>
  <c r="BE187" i="1" s="1"/>
  <c r="AK187" i="1"/>
  <c r="BF187" i="1" s="1"/>
  <c r="AL187" i="1"/>
  <c r="BG187" i="1" s="1"/>
  <c r="AJ188" i="1"/>
  <c r="BE188" i="1" s="1"/>
  <c r="AK188" i="1"/>
  <c r="BF188" i="1" s="1"/>
  <c r="AL188" i="1"/>
  <c r="BG188" i="1" s="1"/>
  <c r="AJ189" i="1"/>
  <c r="BE189" i="1" s="1"/>
  <c r="AK189" i="1"/>
  <c r="BF189" i="1" s="1"/>
  <c r="AL189" i="1"/>
  <c r="BG189" i="1" s="1"/>
  <c r="AJ190" i="1"/>
  <c r="BE190" i="1" s="1"/>
  <c r="AK190" i="1"/>
  <c r="BF190" i="1" s="1"/>
  <c r="AL190" i="1"/>
  <c r="BG190" i="1" s="1"/>
  <c r="AJ191" i="1"/>
  <c r="BE191" i="1" s="1"/>
  <c r="AK191" i="1"/>
  <c r="BF191" i="1" s="1"/>
  <c r="AL191" i="1"/>
  <c r="BG191" i="1" s="1"/>
  <c r="AJ192" i="1"/>
  <c r="BE192" i="1" s="1"/>
  <c r="AK192" i="1"/>
  <c r="BF192" i="1" s="1"/>
  <c r="AL192" i="1"/>
  <c r="BG192" i="1" s="1"/>
  <c r="AJ193" i="1"/>
  <c r="BE193" i="1" s="1"/>
  <c r="AK193" i="1"/>
  <c r="BF193" i="1" s="1"/>
  <c r="AL193" i="1"/>
  <c r="BG193" i="1" s="1"/>
  <c r="AJ194" i="1"/>
  <c r="BE194" i="1" s="1"/>
  <c r="AK194" i="1"/>
  <c r="BF194" i="1" s="1"/>
  <c r="AL194" i="1"/>
  <c r="BG194" i="1" s="1"/>
  <c r="AJ195" i="1"/>
  <c r="BE195" i="1" s="1"/>
  <c r="AK195" i="1"/>
  <c r="BF195" i="1" s="1"/>
  <c r="AL195" i="1"/>
  <c r="BG195" i="1" s="1"/>
  <c r="AJ196" i="1"/>
  <c r="BE196" i="1" s="1"/>
  <c r="AK196" i="1"/>
  <c r="BF196" i="1" s="1"/>
  <c r="AL196" i="1"/>
  <c r="BG196" i="1" s="1"/>
  <c r="AJ197" i="1"/>
  <c r="BE197" i="1" s="1"/>
  <c r="AK197" i="1"/>
  <c r="BF197" i="1" s="1"/>
  <c r="AL197" i="1"/>
  <c r="BG197" i="1" s="1"/>
  <c r="AJ198" i="1"/>
  <c r="BE198" i="1" s="1"/>
  <c r="AK198" i="1"/>
  <c r="BF198" i="1" s="1"/>
  <c r="AL198" i="1"/>
  <c r="BG198" i="1" s="1"/>
  <c r="AJ199" i="1"/>
  <c r="BE199" i="1" s="1"/>
  <c r="AK199" i="1"/>
  <c r="BF199" i="1" s="1"/>
  <c r="AL199" i="1"/>
  <c r="BG199" i="1" s="1"/>
  <c r="AJ200" i="1"/>
  <c r="BE200" i="1" s="1"/>
  <c r="AK200" i="1"/>
  <c r="BF200" i="1" s="1"/>
  <c r="AL200" i="1"/>
  <c r="BG200" i="1" s="1"/>
  <c r="AJ201" i="1"/>
  <c r="BE201" i="1" s="1"/>
  <c r="AK201" i="1"/>
  <c r="BF201" i="1" s="1"/>
  <c r="AL201" i="1"/>
  <c r="BG201" i="1" s="1"/>
  <c r="AJ202" i="1"/>
  <c r="BE202" i="1" s="1"/>
  <c r="AK202" i="1"/>
  <c r="BF202" i="1" s="1"/>
  <c r="AL202" i="1"/>
  <c r="BG202" i="1" s="1"/>
  <c r="AJ203" i="1"/>
  <c r="BE203" i="1" s="1"/>
  <c r="AK203" i="1"/>
  <c r="BF203" i="1" s="1"/>
  <c r="AL203" i="1"/>
  <c r="BG203" i="1" s="1"/>
  <c r="AJ204" i="1"/>
  <c r="BE204" i="1" s="1"/>
  <c r="AK204" i="1"/>
  <c r="BF204" i="1" s="1"/>
  <c r="AL204" i="1"/>
  <c r="BG204" i="1" s="1"/>
  <c r="AJ205" i="1"/>
  <c r="BE205" i="1" s="1"/>
  <c r="AK205" i="1"/>
  <c r="BF205" i="1" s="1"/>
  <c r="AL205" i="1"/>
  <c r="BG205" i="1" s="1"/>
  <c r="AJ206" i="1"/>
  <c r="BE206" i="1" s="1"/>
  <c r="AK206" i="1"/>
  <c r="BF206" i="1" s="1"/>
  <c r="AL206" i="1"/>
  <c r="BG206" i="1" s="1"/>
  <c r="AJ207" i="1"/>
  <c r="BE207" i="1" s="1"/>
  <c r="AK207" i="1"/>
  <c r="BF207" i="1" s="1"/>
  <c r="AL207" i="1"/>
  <c r="BG207" i="1" s="1"/>
  <c r="AJ208" i="1"/>
  <c r="BE208" i="1" s="1"/>
  <c r="AK208" i="1"/>
  <c r="BF208" i="1" s="1"/>
  <c r="AL208" i="1"/>
  <c r="BG208" i="1" s="1"/>
  <c r="AJ209" i="1"/>
  <c r="BE209" i="1" s="1"/>
  <c r="AK209" i="1"/>
  <c r="BF209" i="1" s="1"/>
  <c r="AL209" i="1"/>
  <c r="BG209" i="1" s="1"/>
  <c r="AJ210" i="1"/>
  <c r="BE210" i="1" s="1"/>
  <c r="AK210" i="1"/>
  <c r="BF210" i="1" s="1"/>
  <c r="AL210" i="1"/>
  <c r="BG210" i="1" s="1"/>
  <c r="AJ211" i="1"/>
  <c r="BE211" i="1" s="1"/>
  <c r="AK211" i="1"/>
  <c r="BF211" i="1" s="1"/>
  <c r="AL211" i="1"/>
  <c r="BG211" i="1" s="1"/>
  <c r="AJ212" i="1"/>
  <c r="BE212" i="1" s="1"/>
  <c r="AK212" i="1"/>
  <c r="BF212" i="1" s="1"/>
  <c r="AL212" i="1"/>
  <c r="BG212" i="1" s="1"/>
  <c r="AJ213" i="1"/>
  <c r="BE213" i="1" s="1"/>
  <c r="AK213" i="1"/>
  <c r="BF213" i="1" s="1"/>
  <c r="AL213" i="1"/>
  <c r="BG213" i="1" s="1"/>
  <c r="AJ214" i="1"/>
  <c r="BE214" i="1" s="1"/>
  <c r="AK214" i="1"/>
  <c r="BF214" i="1" s="1"/>
  <c r="AL214" i="1"/>
  <c r="BG214" i="1" s="1"/>
  <c r="AJ215" i="1"/>
  <c r="BE215" i="1" s="1"/>
  <c r="AK215" i="1"/>
  <c r="BF215" i="1" s="1"/>
  <c r="AL215" i="1"/>
  <c r="BG215" i="1" s="1"/>
  <c r="AJ216" i="1"/>
  <c r="BE216" i="1" s="1"/>
  <c r="AK216" i="1"/>
  <c r="BF216" i="1" s="1"/>
  <c r="AL216" i="1"/>
  <c r="BG216" i="1" s="1"/>
  <c r="AJ217" i="1"/>
  <c r="BE217" i="1" s="1"/>
  <c r="AK217" i="1"/>
  <c r="BF217" i="1" s="1"/>
  <c r="AL217" i="1"/>
  <c r="BG217" i="1" s="1"/>
  <c r="AJ218" i="1"/>
  <c r="BE218" i="1" s="1"/>
  <c r="AK218" i="1"/>
  <c r="BF218" i="1" s="1"/>
  <c r="AL218" i="1"/>
  <c r="BG218" i="1" s="1"/>
  <c r="AJ219" i="1"/>
  <c r="BE219" i="1" s="1"/>
  <c r="AK219" i="1"/>
  <c r="BF219" i="1" s="1"/>
  <c r="AL219" i="1"/>
  <c r="BG219" i="1" s="1"/>
  <c r="AJ220" i="1"/>
  <c r="BE220" i="1" s="1"/>
  <c r="AK220" i="1"/>
  <c r="BF220" i="1" s="1"/>
  <c r="AL220" i="1"/>
  <c r="BG220" i="1" s="1"/>
  <c r="AJ221" i="1"/>
  <c r="BE221" i="1" s="1"/>
  <c r="AK221" i="1"/>
  <c r="BF221" i="1" s="1"/>
  <c r="AL221" i="1"/>
  <c r="BG221" i="1" s="1"/>
  <c r="AJ222" i="1"/>
  <c r="BE222" i="1" s="1"/>
  <c r="AK222" i="1"/>
  <c r="BF222" i="1" s="1"/>
  <c r="AL222" i="1"/>
  <c r="BG222" i="1" s="1"/>
  <c r="AJ223" i="1"/>
  <c r="BE223" i="1" s="1"/>
  <c r="AK223" i="1"/>
  <c r="BF223" i="1" s="1"/>
  <c r="AL223" i="1"/>
  <c r="BG223" i="1" s="1"/>
  <c r="AJ224" i="1"/>
  <c r="BE224" i="1" s="1"/>
  <c r="AK224" i="1"/>
  <c r="BF224" i="1" s="1"/>
  <c r="AL224" i="1"/>
  <c r="BG224" i="1" s="1"/>
  <c r="AJ225" i="1"/>
  <c r="BE225" i="1" s="1"/>
  <c r="AK225" i="1"/>
  <c r="BF225" i="1" s="1"/>
  <c r="AL225" i="1"/>
  <c r="BG225" i="1" s="1"/>
  <c r="AJ226" i="1"/>
  <c r="BE226" i="1" s="1"/>
  <c r="AK226" i="1"/>
  <c r="BF226" i="1" s="1"/>
  <c r="AL226" i="1"/>
  <c r="BG226" i="1" s="1"/>
  <c r="AJ227" i="1"/>
  <c r="BE227" i="1" s="1"/>
  <c r="AK227" i="1"/>
  <c r="BF227" i="1" s="1"/>
  <c r="AL227" i="1"/>
  <c r="BG227" i="1" s="1"/>
  <c r="AJ228" i="1"/>
  <c r="BE228" i="1" s="1"/>
  <c r="AK228" i="1"/>
  <c r="BF228" i="1" s="1"/>
  <c r="AL228" i="1"/>
  <c r="BG228" i="1" s="1"/>
  <c r="AJ229" i="1"/>
  <c r="BE229" i="1" s="1"/>
  <c r="AK229" i="1"/>
  <c r="BF229" i="1" s="1"/>
  <c r="AL229" i="1"/>
  <c r="BG229" i="1" s="1"/>
  <c r="AJ230" i="1"/>
  <c r="BE230" i="1" s="1"/>
  <c r="AK230" i="1"/>
  <c r="BF230" i="1" s="1"/>
  <c r="AL230" i="1"/>
  <c r="BG230" i="1" s="1"/>
  <c r="AJ231" i="1"/>
  <c r="BE231" i="1" s="1"/>
  <c r="AK231" i="1"/>
  <c r="BF231" i="1" s="1"/>
  <c r="AL231" i="1"/>
  <c r="BG231" i="1" s="1"/>
  <c r="AJ232" i="1"/>
  <c r="BE232" i="1" s="1"/>
  <c r="AK232" i="1"/>
  <c r="BF232" i="1" s="1"/>
  <c r="AL232" i="1"/>
  <c r="BG232" i="1" s="1"/>
  <c r="AJ233" i="1"/>
  <c r="BE233" i="1" s="1"/>
  <c r="AK233" i="1"/>
  <c r="BF233" i="1" s="1"/>
  <c r="AL233" i="1"/>
  <c r="BG233" i="1" s="1"/>
  <c r="AJ234" i="1"/>
  <c r="BE234" i="1" s="1"/>
  <c r="AK234" i="1"/>
  <c r="BF234" i="1" s="1"/>
  <c r="AL234" i="1"/>
  <c r="BG234" i="1" s="1"/>
  <c r="AJ235" i="1"/>
  <c r="BE235" i="1" s="1"/>
  <c r="AK235" i="1"/>
  <c r="BF235" i="1" s="1"/>
  <c r="AL235" i="1"/>
  <c r="BG235" i="1" s="1"/>
  <c r="AJ236" i="1"/>
  <c r="BE236" i="1" s="1"/>
  <c r="AK236" i="1"/>
  <c r="BF236" i="1" s="1"/>
  <c r="AL236" i="1"/>
  <c r="BG236" i="1" s="1"/>
  <c r="AJ237" i="1"/>
  <c r="BE237" i="1" s="1"/>
  <c r="AK237" i="1"/>
  <c r="BF237" i="1" s="1"/>
  <c r="AL237" i="1"/>
  <c r="BG237" i="1" s="1"/>
  <c r="AJ238" i="1"/>
  <c r="BE238" i="1" s="1"/>
  <c r="AK238" i="1"/>
  <c r="BF238" i="1" s="1"/>
  <c r="AL238" i="1"/>
  <c r="BG238" i="1" s="1"/>
  <c r="AJ239" i="1"/>
  <c r="BE239" i="1" s="1"/>
  <c r="AK239" i="1"/>
  <c r="BF239" i="1" s="1"/>
  <c r="AL239" i="1"/>
  <c r="BG239" i="1" s="1"/>
  <c r="AJ240" i="1"/>
  <c r="BE240" i="1" s="1"/>
  <c r="AK240" i="1"/>
  <c r="BF240" i="1" s="1"/>
  <c r="AL240" i="1"/>
  <c r="BG240" i="1" s="1"/>
  <c r="AJ241" i="1"/>
  <c r="BE241" i="1" s="1"/>
  <c r="AK241" i="1"/>
  <c r="BF241" i="1" s="1"/>
  <c r="AL241" i="1"/>
  <c r="BG241" i="1" s="1"/>
  <c r="AJ242" i="1"/>
  <c r="BE242" i="1" s="1"/>
  <c r="AK242" i="1"/>
  <c r="BF242" i="1" s="1"/>
  <c r="AL242" i="1"/>
  <c r="BG242" i="1" s="1"/>
  <c r="AJ243" i="1"/>
  <c r="BE243" i="1" s="1"/>
  <c r="AK243" i="1"/>
  <c r="BF243" i="1" s="1"/>
  <c r="AL243" i="1"/>
  <c r="BG243" i="1" s="1"/>
  <c r="AJ244" i="1"/>
  <c r="BE244" i="1" s="1"/>
  <c r="AK244" i="1"/>
  <c r="BF244" i="1" s="1"/>
  <c r="AL244" i="1"/>
  <c r="BG244" i="1" s="1"/>
  <c r="AJ245" i="1"/>
  <c r="BE245" i="1" s="1"/>
  <c r="AK245" i="1"/>
  <c r="BF245" i="1" s="1"/>
  <c r="AL245" i="1"/>
  <c r="BG245" i="1" s="1"/>
  <c r="AJ246" i="1"/>
  <c r="BE246" i="1" s="1"/>
  <c r="AK246" i="1"/>
  <c r="BF246" i="1" s="1"/>
  <c r="AL246" i="1"/>
  <c r="BG246" i="1" s="1"/>
  <c r="AJ247" i="1"/>
  <c r="BE247" i="1" s="1"/>
  <c r="AK247" i="1"/>
  <c r="BF247" i="1" s="1"/>
  <c r="AL247" i="1"/>
  <c r="BG247" i="1" s="1"/>
  <c r="AJ248" i="1"/>
  <c r="BE248" i="1" s="1"/>
  <c r="AK248" i="1"/>
  <c r="BF248" i="1" s="1"/>
  <c r="AL248" i="1"/>
  <c r="BG248" i="1" s="1"/>
  <c r="AJ249" i="1"/>
  <c r="BE249" i="1" s="1"/>
  <c r="AK249" i="1"/>
  <c r="BF249" i="1" s="1"/>
  <c r="AL249" i="1"/>
  <c r="BG249" i="1" s="1"/>
  <c r="AJ250" i="1"/>
  <c r="BE250" i="1" s="1"/>
  <c r="AK250" i="1"/>
  <c r="BF250" i="1" s="1"/>
  <c r="AL250" i="1"/>
  <c r="BG250" i="1" s="1"/>
  <c r="AJ251" i="1"/>
  <c r="BE251" i="1" s="1"/>
  <c r="AK251" i="1"/>
  <c r="BF251" i="1" s="1"/>
  <c r="AL251" i="1"/>
  <c r="BG251" i="1" s="1"/>
  <c r="AJ252" i="1"/>
  <c r="BE252" i="1" s="1"/>
  <c r="AK252" i="1"/>
  <c r="BF252" i="1" s="1"/>
  <c r="AL252" i="1"/>
  <c r="BG252" i="1" s="1"/>
  <c r="AJ253" i="1"/>
  <c r="BE253" i="1" s="1"/>
  <c r="AK253" i="1"/>
  <c r="BF253" i="1" s="1"/>
  <c r="AL253" i="1"/>
  <c r="BG253" i="1" s="1"/>
  <c r="AJ254" i="1"/>
  <c r="BE254" i="1" s="1"/>
  <c r="AK254" i="1"/>
  <c r="BF254" i="1" s="1"/>
  <c r="AL254" i="1"/>
  <c r="BG254" i="1" s="1"/>
  <c r="AJ255" i="1"/>
  <c r="BE255" i="1" s="1"/>
  <c r="AK255" i="1"/>
  <c r="BF255" i="1" s="1"/>
  <c r="AL255" i="1"/>
  <c r="BG255" i="1" s="1"/>
  <c r="AJ256" i="1"/>
  <c r="BE256" i="1" s="1"/>
  <c r="AK256" i="1"/>
  <c r="BF256" i="1" s="1"/>
  <c r="AL256" i="1"/>
  <c r="BG256" i="1" s="1"/>
  <c r="AJ257" i="1"/>
  <c r="BE257" i="1" s="1"/>
  <c r="AK257" i="1"/>
  <c r="BF257" i="1" s="1"/>
  <c r="AL257" i="1"/>
  <c r="BG257" i="1" s="1"/>
  <c r="AJ258" i="1"/>
  <c r="BE258" i="1" s="1"/>
  <c r="AK258" i="1"/>
  <c r="BF258" i="1" s="1"/>
  <c r="AL258" i="1"/>
  <c r="BG258" i="1" s="1"/>
  <c r="AJ259" i="1"/>
  <c r="BE259" i="1" s="1"/>
  <c r="AK259" i="1"/>
  <c r="BF259" i="1" s="1"/>
  <c r="AL259" i="1"/>
  <c r="BG259" i="1" s="1"/>
  <c r="AJ260" i="1"/>
  <c r="BE260" i="1" s="1"/>
  <c r="AK260" i="1"/>
  <c r="BF260" i="1" s="1"/>
  <c r="AL260" i="1"/>
  <c r="BG260" i="1" s="1"/>
  <c r="AJ261" i="1"/>
  <c r="BE261" i="1" s="1"/>
  <c r="AK261" i="1"/>
  <c r="BF261" i="1" s="1"/>
  <c r="AL261" i="1"/>
  <c r="BG261" i="1" s="1"/>
  <c r="AJ262" i="1"/>
  <c r="BE262" i="1" s="1"/>
  <c r="AK262" i="1"/>
  <c r="BF262" i="1" s="1"/>
  <c r="AL262" i="1"/>
  <c r="BG262" i="1" s="1"/>
  <c r="AJ263" i="1"/>
  <c r="BE263" i="1" s="1"/>
  <c r="AK263" i="1"/>
  <c r="BF263" i="1" s="1"/>
  <c r="AL263" i="1"/>
  <c r="BG263" i="1" s="1"/>
  <c r="AJ264" i="1"/>
  <c r="BE264" i="1" s="1"/>
  <c r="AK264" i="1"/>
  <c r="BF264" i="1" s="1"/>
  <c r="AL264" i="1"/>
  <c r="BG264" i="1" s="1"/>
  <c r="AJ265" i="1"/>
  <c r="BE265" i="1" s="1"/>
  <c r="AK265" i="1"/>
  <c r="BF265" i="1" s="1"/>
  <c r="AL265" i="1"/>
  <c r="BG265" i="1" s="1"/>
  <c r="AJ266" i="1"/>
  <c r="BE266" i="1" s="1"/>
  <c r="AK266" i="1"/>
  <c r="BF266" i="1" s="1"/>
  <c r="AL266" i="1"/>
  <c r="BG266" i="1" s="1"/>
  <c r="AJ267" i="1"/>
  <c r="BE267" i="1" s="1"/>
  <c r="AK267" i="1"/>
  <c r="BF267" i="1" s="1"/>
  <c r="AL267" i="1"/>
  <c r="BG267" i="1" s="1"/>
  <c r="AJ268" i="1"/>
  <c r="BE268" i="1" s="1"/>
  <c r="AK268" i="1"/>
  <c r="BF268" i="1" s="1"/>
  <c r="AL268" i="1"/>
  <c r="BG268" i="1" s="1"/>
  <c r="AJ269" i="1"/>
  <c r="BE269" i="1" s="1"/>
  <c r="AK269" i="1"/>
  <c r="BF269" i="1" s="1"/>
  <c r="AL269" i="1"/>
  <c r="BG269" i="1" s="1"/>
  <c r="AJ270" i="1"/>
  <c r="BE270" i="1" s="1"/>
  <c r="AK270" i="1"/>
  <c r="BF270" i="1" s="1"/>
  <c r="AL270" i="1"/>
  <c r="BG270" i="1" s="1"/>
  <c r="AJ271" i="1"/>
  <c r="BE271" i="1" s="1"/>
  <c r="AK271" i="1"/>
  <c r="BF271" i="1" s="1"/>
  <c r="AL271" i="1"/>
  <c r="BG271" i="1" s="1"/>
  <c r="AJ272" i="1"/>
  <c r="BE272" i="1" s="1"/>
  <c r="AK272" i="1"/>
  <c r="BF272" i="1" s="1"/>
  <c r="AL272" i="1"/>
  <c r="BG272" i="1" s="1"/>
  <c r="AJ273" i="1"/>
  <c r="BE273" i="1" s="1"/>
  <c r="AK273" i="1"/>
  <c r="BF273" i="1" s="1"/>
  <c r="AL273" i="1"/>
  <c r="BG273" i="1" s="1"/>
  <c r="AJ274" i="1"/>
  <c r="BE274" i="1" s="1"/>
  <c r="AK274" i="1"/>
  <c r="BF274" i="1" s="1"/>
  <c r="AL274" i="1"/>
  <c r="BG274" i="1" s="1"/>
  <c r="AJ275" i="1"/>
  <c r="BE275" i="1" s="1"/>
  <c r="AK275" i="1"/>
  <c r="BF275" i="1" s="1"/>
  <c r="AL275" i="1"/>
  <c r="BG275" i="1" s="1"/>
  <c r="AJ276" i="1"/>
  <c r="BE276" i="1" s="1"/>
  <c r="AK276" i="1"/>
  <c r="BF276" i="1" s="1"/>
  <c r="AL276" i="1"/>
  <c r="BG276" i="1" s="1"/>
  <c r="AJ277" i="1"/>
  <c r="BE277" i="1" s="1"/>
  <c r="AK277" i="1"/>
  <c r="BF277" i="1" s="1"/>
  <c r="AL277" i="1"/>
  <c r="BG277" i="1" s="1"/>
  <c r="AJ278" i="1"/>
  <c r="BE278" i="1" s="1"/>
  <c r="AK278" i="1"/>
  <c r="BF278" i="1" s="1"/>
  <c r="AL278" i="1"/>
  <c r="BG278" i="1" s="1"/>
  <c r="AJ279" i="1"/>
  <c r="BE279" i="1" s="1"/>
  <c r="AK279" i="1"/>
  <c r="BF279" i="1" s="1"/>
  <c r="AL279" i="1"/>
  <c r="BG279" i="1" s="1"/>
  <c r="AJ280" i="1"/>
  <c r="BE280" i="1" s="1"/>
  <c r="AK280" i="1"/>
  <c r="BF280" i="1" s="1"/>
  <c r="AL280" i="1"/>
  <c r="BG280" i="1" s="1"/>
  <c r="AJ281" i="1"/>
  <c r="BE281" i="1" s="1"/>
  <c r="AK281" i="1"/>
  <c r="BF281" i="1" s="1"/>
  <c r="AL281" i="1"/>
  <c r="BG281" i="1" s="1"/>
  <c r="AJ282" i="1"/>
  <c r="BE282" i="1" s="1"/>
  <c r="AK282" i="1"/>
  <c r="BF282" i="1" s="1"/>
  <c r="AL282" i="1"/>
  <c r="BG282" i="1" s="1"/>
  <c r="AJ283" i="1"/>
  <c r="BE283" i="1" s="1"/>
  <c r="AK283" i="1"/>
  <c r="BF283" i="1" s="1"/>
  <c r="AL283" i="1"/>
  <c r="BG283" i="1" s="1"/>
  <c r="AJ284" i="1"/>
  <c r="BE284" i="1" s="1"/>
  <c r="AK284" i="1"/>
  <c r="BF284" i="1" s="1"/>
  <c r="AL284" i="1"/>
  <c r="BG284" i="1" s="1"/>
  <c r="AJ285" i="1"/>
  <c r="BE285" i="1" s="1"/>
  <c r="AK285" i="1"/>
  <c r="BF285" i="1" s="1"/>
  <c r="AL285" i="1"/>
  <c r="BG285" i="1" s="1"/>
  <c r="AJ286" i="1"/>
  <c r="BE286" i="1" s="1"/>
  <c r="AK286" i="1"/>
  <c r="BF286" i="1" s="1"/>
  <c r="AL286" i="1"/>
  <c r="BG286" i="1" s="1"/>
  <c r="AJ287" i="1"/>
  <c r="BE287" i="1" s="1"/>
  <c r="AK287" i="1"/>
  <c r="BF287" i="1" s="1"/>
  <c r="AL287" i="1"/>
  <c r="BG287" i="1" s="1"/>
  <c r="AJ288" i="1"/>
  <c r="BE288" i="1" s="1"/>
  <c r="AK288" i="1"/>
  <c r="BF288" i="1" s="1"/>
  <c r="AL288" i="1"/>
  <c r="BG288" i="1" s="1"/>
  <c r="AJ289" i="1"/>
  <c r="BE289" i="1" s="1"/>
  <c r="AK289" i="1"/>
  <c r="BF289" i="1" s="1"/>
  <c r="AL289" i="1"/>
  <c r="BG289" i="1" s="1"/>
  <c r="AJ290" i="1"/>
  <c r="BE290" i="1" s="1"/>
  <c r="AK290" i="1"/>
  <c r="BF290" i="1" s="1"/>
  <c r="AL290" i="1"/>
  <c r="BG290" i="1" s="1"/>
  <c r="AJ291" i="1"/>
  <c r="BE291" i="1" s="1"/>
  <c r="AK291" i="1"/>
  <c r="BF291" i="1" s="1"/>
  <c r="AL291" i="1"/>
  <c r="BG291" i="1" s="1"/>
  <c r="AJ292" i="1"/>
  <c r="BE292" i="1" s="1"/>
  <c r="AK292" i="1"/>
  <c r="BF292" i="1" s="1"/>
  <c r="AL292" i="1"/>
  <c r="BG292" i="1" s="1"/>
  <c r="AJ293" i="1"/>
  <c r="BE293" i="1" s="1"/>
  <c r="AK293" i="1"/>
  <c r="BF293" i="1" s="1"/>
  <c r="AL293" i="1"/>
  <c r="BG293" i="1" s="1"/>
  <c r="AJ294" i="1"/>
  <c r="BE294" i="1" s="1"/>
  <c r="AK294" i="1"/>
  <c r="BF294" i="1" s="1"/>
  <c r="AL294" i="1"/>
  <c r="BG294" i="1" s="1"/>
  <c r="AJ295" i="1"/>
  <c r="BE295" i="1" s="1"/>
  <c r="AK295" i="1"/>
  <c r="BF295" i="1" s="1"/>
  <c r="AL295" i="1"/>
  <c r="BG295" i="1" s="1"/>
  <c r="AJ296" i="1"/>
  <c r="BE296" i="1" s="1"/>
  <c r="AK296" i="1"/>
  <c r="BF296" i="1" s="1"/>
  <c r="AL296" i="1"/>
  <c r="BG296" i="1" s="1"/>
  <c r="AJ297" i="1"/>
  <c r="BE297" i="1" s="1"/>
  <c r="AK297" i="1"/>
  <c r="BF297" i="1" s="1"/>
  <c r="AL297" i="1"/>
  <c r="BG297" i="1" s="1"/>
  <c r="AJ298" i="1"/>
  <c r="BE298" i="1" s="1"/>
  <c r="AK298" i="1"/>
  <c r="BF298" i="1" s="1"/>
  <c r="AL298" i="1"/>
  <c r="BG298" i="1" s="1"/>
  <c r="AJ299" i="1"/>
  <c r="BE299" i="1" s="1"/>
  <c r="AK299" i="1"/>
  <c r="BF299" i="1" s="1"/>
  <c r="AL299" i="1"/>
  <c r="BG299" i="1" s="1"/>
  <c r="AL4" i="1"/>
  <c r="BG4" i="1" s="1"/>
  <c r="AK4" i="1"/>
  <c r="BF4" i="1" s="1"/>
  <c r="AJ4" i="1"/>
  <c r="BE4" i="1" s="1"/>
  <c r="J8" i="2"/>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AH7" i="1"/>
  <c r="BC7" i="1" s="1"/>
  <c r="AH8" i="1"/>
  <c r="BC8" i="1" s="1"/>
  <c r="AH9" i="1"/>
  <c r="BC9" i="1" s="1"/>
  <c r="AH10" i="1"/>
  <c r="BC10" i="1" s="1"/>
  <c r="AH11" i="1"/>
  <c r="BC11" i="1" s="1"/>
  <c r="AH12" i="1"/>
  <c r="BC12" i="1" s="1"/>
  <c r="AH13" i="1"/>
  <c r="BC13" i="1" s="1"/>
  <c r="AH14" i="1"/>
  <c r="BC14" i="1" s="1"/>
  <c r="AH15" i="1"/>
  <c r="BC15" i="1" s="1"/>
  <c r="AH16" i="1"/>
  <c r="BC16" i="1" s="1"/>
  <c r="AH17" i="1"/>
  <c r="BC17" i="1" s="1"/>
  <c r="AH18" i="1"/>
  <c r="BC18" i="1" s="1"/>
  <c r="AH19" i="1"/>
  <c r="BC19" i="1" s="1"/>
  <c r="AH20" i="1"/>
  <c r="BC20" i="1" s="1"/>
  <c r="AH21" i="1"/>
  <c r="BC21" i="1" s="1"/>
  <c r="AH22" i="1"/>
  <c r="BC22" i="1" s="1"/>
  <c r="AH23" i="1"/>
  <c r="BC23" i="1" s="1"/>
  <c r="AH24" i="1"/>
  <c r="BC24" i="1" s="1"/>
  <c r="AH25" i="1"/>
  <c r="BC25" i="1" s="1"/>
  <c r="AH26" i="1"/>
  <c r="BC26" i="1" s="1"/>
  <c r="AH27" i="1"/>
  <c r="BC27" i="1" s="1"/>
  <c r="AH28" i="1"/>
  <c r="BC28" i="1" s="1"/>
  <c r="AH29" i="1"/>
  <c r="BC29" i="1" s="1"/>
  <c r="AH30" i="1"/>
  <c r="BC30" i="1" s="1"/>
  <c r="AH31" i="1"/>
  <c r="BC31" i="1" s="1"/>
  <c r="AH32" i="1"/>
  <c r="BC32" i="1" s="1"/>
  <c r="AH33" i="1"/>
  <c r="BC33" i="1" s="1"/>
  <c r="AH34" i="1"/>
  <c r="BC34" i="1" s="1"/>
  <c r="AH35" i="1"/>
  <c r="BC35" i="1" s="1"/>
  <c r="AH36" i="1"/>
  <c r="BC36" i="1" s="1"/>
  <c r="AH37" i="1"/>
  <c r="BC37" i="1" s="1"/>
  <c r="AH38" i="1"/>
  <c r="BC38" i="1" s="1"/>
  <c r="AH39" i="1"/>
  <c r="BC39" i="1" s="1"/>
  <c r="AH40" i="1"/>
  <c r="BC40" i="1" s="1"/>
  <c r="AH41" i="1"/>
  <c r="BC41" i="1" s="1"/>
  <c r="AH42" i="1"/>
  <c r="BC42" i="1" s="1"/>
  <c r="AH43" i="1"/>
  <c r="BC43" i="1" s="1"/>
  <c r="AH44" i="1"/>
  <c r="BC44" i="1" s="1"/>
  <c r="AH45" i="1"/>
  <c r="BC45" i="1" s="1"/>
  <c r="AH46" i="1"/>
  <c r="BC46" i="1" s="1"/>
  <c r="AH47" i="1"/>
  <c r="BC47" i="1" s="1"/>
  <c r="AH48" i="1"/>
  <c r="BC48" i="1" s="1"/>
  <c r="AH49" i="1"/>
  <c r="BC49" i="1" s="1"/>
  <c r="AH50" i="1"/>
  <c r="BC50" i="1" s="1"/>
  <c r="AH51" i="1"/>
  <c r="BC51" i="1" s="1"/>
  <c r="AH52" i="1"/>
  <c r="BC52" i="1" s="1"/>
  <c r="AH53" i="1"/>
  <c r="BC53" i="1" s="1"/>
  <c r="AH54" i="1"/>
  <c r="BC54" i="1" s="1"/>
  <c r="AH55" i="1"/>
  <c r="BC55" i="1" s="1"/>
  <c r="AH56" i="1"/>
  <c r="BC56" i="1" s="1"/>
  <c r="AH57" i="1"/>
  <c r="BC57" i="1" s="1"/>
  <c r="AH58" i="1"/>
  <c r="BC58" i="1" s="1"/>
  <c r="AH59" i="1"/>
  <c r="BC59" i="1" s="1"/>
  <c r="AH60" i="1"/>
  <c r="BC60" i="1" s="1"/>
  <c r="AH61" i="1"/>
  <c r="BC61" i="1" s="1"/>
  <c r="AH62" i="1"/>
  <c r="BC62" i="1" s="1"/>
  <c r="AH63" i="1"/>
  <c r="BC63" i="1" s="1"/>
  <c r="AH64" i="1"/>
  <c r="BC64" i="1" s="1"/>
  <c r="AH65" i="1"/>
  <c r="BC65" i="1" s="1"/>
  <c r="AH66" i="1"/>
  <c r="BC66" i="1" s="1"/>
  <c r="AH67" i="1"/>
  <c r="BC67" i="1" s="1"/>
  <c r="AH68" i="1"/>
  <c r="BC68" i="1" s="1"/>
  <c r="AH69" i="1"/>
  <c r="BC69" i="1" s="1"/>
  <c r="AH70" i="1"/>
  <c r="BC70" i="1" s="1"/>
  <c r="AH71" i="1"/>
  <c r="BC71" i="1" s="1"/>
  <c r="AH72" i="1"/>
  <c r="BC72" i="1" s="1"/>
  <c r="AH73" i="1"/>
  <c r="BC73" i="1" s="1"/>
  <c r="AH74" i="1"/>
  <c r="BC74" i="1" s="1"/>
  <c r="AH75" i="1"/>
  <c r="BC75" i="1" s="1"/>
  <c r="AH76" i="1"/>
  <c r="BC76" i="1" s="1"/>
  <c r="AH77" i="1"/>
  <c r="BC77" i="1" s="1"/>
  <c r="AH78" i="1"/>
  <c r="BC78" i="1" s="1"/>
  <c r="AH79" i="1"/>
  <c r="BC79" i="1" s="1"/>
  <c r="AH80" i="1"/>
  <c r="BC80" i="1" s="1"/>
  <c r="AH81" i="1"/>
  <c r="BC81" i="1" s="1"/>
  <c r="AH82" i="1"/>
  <c r="BC82" i="1" s="1"/>
  <c r="AH83" i="1"/>
  <c r="BC83" i="1" s="1"/>
  <c r="AH84" i="1"/>
  <c r="BC84" i="1" s="1"/>
  <c r="AH85" i="1"/>
  <c r="BC85" i="1" s="1"/>
  <c r="AH86" i="1"/>
  <c r="BC86" i="1" s="1"/>
  <c r="AH87" i="1"/>
  <c r="BC87" i="1" s="1"/>
  <c r="AH88" i="1"/>
  <c r="BC88" i="1" s="1"/>
  <c r="AH89" i="1"/>
  <c r="BC89" i="1" s="1"/>
  <c r="AH90" i="1"/>
  <c r="BC90" i="1" s="1"/>
  <c r="AH91" i="1"/>
  <c r="BC91" i="1" s="1"/>
  <c r="AH92" i="1"/>
  <c r="BC92" i="1" s="1"/>
  <c r="AH93" i="1"/>
  <c r="BC93" i="1" s="1"/>
  <c r="AH94" i="1"/>
  <c r="BC94" i="1" s="1"/>
  <c r="AH95" i="1"/>
  <c r="BC95" i="1" s="1"/>
  <c r="AH96" i="1"/>
  <c r="BC96" i="1" s="1"/>
  <c r="AH97" i="1"/>
  <c r="BC97" i="1" s="1"/>
  <c r="AH98" i="1"/>
  <c r="BC98" i="1" s="1"/>
  <c r="AH99" i="1"/>
  <c r="BC99" i="1" s="1"/>
  <c r="AH100" i="1"/>
  <c r="BC100" i="1" s="1"/>
  <c r="AH101" i="1"/>
  <c r="BC101" i="1" s="1"/>
  <c r="AH102" i="1"/>
  <c r="BC102" i="1" s="1"/>
  <c r="AH103" i="1"/>
  <c r="BC103" i="1" s="1"/>
  <c r="AH104" i="1"/>
  <c r="BC104" i="1" s="1"/>
  <c r="AH105" i="1"/>
  <c r="BC105" i="1" s="1"/>
  <c r="AH106" i="1"/>
  <c r="BC106" i="1" s="1"/>
  <c r="AH107" i="1"/>
  <c r="BC107" i="1" s="1"/>
  <c r="AH108" i="1"/>
  <c r="BC108" i="1" s="1"/>
  <c r="AH109" i="1"/>
  <c r="BC109" i="1" s="1"/>
  <c r="AH110" i="1"/>
  <c r="BC110" i="1" s="1"/>
  <c r="AH111" i="1"/>
  <c r="BC111" i="1" s="1"/>
  <c r="AH112" i="1"/>
  <c r="BC112" i="1" s="1"/>
  <c r="AH113" i="1"/>
  <c r="BC113" i="1" s="1"/>
  <c r="AH114" i="1"/>
  <c r="BC114" i="1" s="1"/>
  <c r="AH115" i="1"/>
  <c r="BC115" i="1" s="1"/>
  <c r="AH116" i="1"/>
  <c r="BC116" i="1" s="1"/>
  <c r="AH117" i="1"/>
  <c r="BC117" i="1" s="1"/>
  <c r="AH118" i="1"/>
  <c r="BC118" i="1" s="1"/>
  <c r="AH119" i="1"/>
  <c r="BC119" i="1" s="1"/>
  <c r="AH120" i="1"/>
  <c r="BC120" i="1" s="1"/>
  <c r="AH121" i="1"/>
  <c r="BC121" i="1" s="1"/>
  <c r="AH122" i="1"/>
  <c r="BC122" i="1" s="1"/>
  <c r="AH123" i="1"/>
  <c r="BC123" i="1" s="1"/>
  <c r="AH124" i="1"/>
  <c r="BC124" i="1" s="1"/>
  <c r="AH125" i="1"/>
  <c r="BC125" i="1" s="1"/>
  <c r="AH126" i="1"/>
  <c r="BC126" i="1" s="1"/>
  <c r="AH127" i="1"/>
  <c r="BC127" i="1" s="1"/>
  <c r="AH128" i="1"/>
  <c r="BC128" i="1" s="1"/>
  <c r="AH129" i="1"/>
  <c r="BC129" i="1" s="1"/>
  <c r="AH130" i="1"/>
  <c r="BC130" i="1" s="1"/>
  <c r="AH131" i="1"/>
  <c r="BC131" i="1" s="1"/>
  <c r="AH132" i="1"/>
  <c r="BC132" i="1" s="1"/>
  <c r="AH133" i="1"/>
  <c r="BC133" i="1" s="1"/>
  <c r="AH134" i="1"/>
  <c r="BC134" i="1" s="1"/>
  <c r="AH135" i="1"/>
  <c r="BC135" i="1" s="1"/>
  <c r="AH136" i="1"/>
  <c r="BC136" i="1" s="1"/>
  <c r="AH137" i="1"/>
  <c r="BC137" i="1" s="1"/>
  <c r="AH138" i="1"/>
  <c r="BC138" i="1" s="1"/>
  <c r="AH139" i="1"/>
  <c r="BC139" i="1" s="1"/>
  <c r="AH140" i="1"/>
  <c r="BC140" i="1" s="1"/>
  <c r="AH141" i="1"/>
  <c r="BC141" i="1" s="1"/>
  <c r="AH142" i="1"/>
  <c r="BC142" i="1" s="1"/>
  <c r="AH143" i="1"/>
  <c r="BC143" i="1" s="1"/>
  <c r="AH144" i="1"/>
  <c r="BC144" i="1" s="1"/>
  <c r="AH145" i="1"/>
  <c r="BC145" i="1" s="1"/>
  <c r="AH146" i="1"/>
  <c r="BC146" i="1" s="1"/>
  <c r="AH147" i="1"/>
  <c r="BC147" i="1" s="1"/>
  <c r="AH148" i="1"/>
  <c r="BC148" i="1" s="1"/>
  <c r="AH149" i="1"/>
  <c r="BC149" i="1" s="1"/>
  <c r="AH150" i="1"/>
  <c r="BC150" i="1" s="1"/>
  <c r="AH151" i="1"/>
  <c r="BC151" i="1" s="1"/>
  <c r="AH152" i="1"/>
  <c r="BC152" i="1" s="1"/>
  <c r="AH153" i="1"/>
  <c r="BC153" i="1" s="1"/>
  <c r="AH154" i="1"/>
  <c r="BC154" i="1" s="1"/>
  <c r="AH155" i="1"/>
  <c r="BC155" i="1" s="1"/>
  <c r="AH156" i="1"/>
  <c r="BC156" i="1" s="1"/>
  <c r="AH157" i="1"/>
  <c r="BC157" i="1" s="1"/>
  <c r="AH158" i="1"/>
  <c r="BC158" i="1" s="1"/>
  <c r="AH159" i="1"/>
  <c r="BC159" i="1" s="1"/>
  <c r="AH160" i="1"/>
  <c r="BC160" i="1" s="1"/>
  <c r="AH161" i="1"/>
  <c r="BC161" i="1" s="1"/>
  <c r="AH162" i="1"/>
  <c r="BC162" i="1" s="1"/>
  <c r="AH163" i="1"/>
  <c r="BC163" i="1" s="1"/>
  <c r="AH164" i="1"/>
  <c r="BC164" i="1" s="1"/>
  <c r="AH165" i="1"/>
  <c r="BC165" i="1" s="1"/>
  <c r="AH166" i="1"/>
  <c r="BC166" i="1" s="1"/>
  <c r="AH167" i="1"/>
  <c r="BC167" i="1" s="1"/>
  <c r="AH168" i="1"/>
  <c r="BC168" i="1" s="1"/>
  <c r="AH169" i="1"/>
  <c r="BC169" i="1" s="1"/>
  <c r="AH170" i="1"/>
  <c r="BC170" i="1" s="1"/>
  <c r="AH171" i="1"/>
  <c r="BC171" i="1" s="1"/>
  <c r="AH172" i="1"/>
  <c r="BC172" i="1" s="1"/>
  <c r="AH173" i="1"/>
  <c r="BC173" i="1" s="1"/>
  <c r="AH174" i="1"/>
  <c r="BC174" i="1" s="1"/>
  <c r="AH175" i="1"/>
  <c r="BC175" i="1" s="1"/>
  <c r="AH176" i="1"/>
  <c r="BC176" i="1" s="1"/>
  <c r="AH177" i="1"/>
  <c r="BC177" i="1" s="1"/>
  <c r="AH178" i="1"/>
  <c r="BC178" i="1" s="1"/>
  <c r="AH179" i="1"/>
  <c r="BC179" i="1" s="1"/>
  <c r="AH180" i="1"/>
  <c r="BC180" i="1" s="1"/>
  <c r="AH181" i="1"/>
  <c r="BC181" i="1" s="1"/>
  <c r="AH182" i="1"/>
  <c r="BC182" i="1" s="1"/>
  <c r="AH183" i="1"/>
  <c r="BC183" i="1" s="1"/>
  <c r="AH184" i="1"/>
  <c r="BC184" i="1" s="1"/>
  <c r="AH185" i="1"/>
  <c r="BC185" i="1" s="1"/>
  <c r="AH186" i="1"/>
  <c r="BC186" i="1" s="1"/>
  <c r="AH187" i="1"/>
  <c r="BC187" i="1" s="1"/>
  <c r="AH188" i="1"/>
  <c r="BC188" i="1" s="1"/>
  <c r="AH189" i="1"/>
  <c r="BC189" i="1" s="1"/>
  <c r="AH190" i="1"/>
  <c r="BC190" i="1" s="1"/>
  <c r="AH191" i="1"/>
  <c r="BC191" i="1" s="1"/>
  <c r="AH192" i="1"/>
  <c r="BC192" i="1" s="1"/>
  <c r="AH193" i="1"/>
  <c r="BC193" i="1" s="1"/>
  <c r="AH194" i="1"/>
  <c r="BC194" i="1" s="1"/>
  <c r="AH195" i="1"/>
  <c r="BC195" i="1" s="1"/>
  <c r="AH196" i="1"/>
  <c r="BC196" i="1" s="1"/>
  <c r="AH197" i="1"/>
  <c r="BC197" i="1" s="1"/>
  <c r="AH198" i="1"/>
  <c r="BC198" i="1" s="1"/>
  <c r="AH199" i="1"/>
  <c r="BC199" i="1" s="1"/>
  <c r="AH200" i="1"/>
  <c r="BC200" i="1" s="1"/>
  <c r="AH201" i="1"/>
  <c r="BC201" i="1" s="1"/>
  <c r="AH202" i="1"/>
  <c r="BC202" i="1" s="1"/>
  <c r="AH203" i="1"/>
  <c r="BC203" i="1" s="1"/>
  <c r="AH204" i="1"/>
  <c r="BC204" i="1" s="1"/>
  <c r="AH205" i="1"/>
  <c r="BC205" i="1" s="1"/>
  <c r="AH206" i="1"/>
  <c r="BC206" i="1" s="1"/>
  <c r="AH207" i="1"/>
  <c r="BC207" i="1" s="1"/>
  <c r="AH208" i="1"/>
  <c r="BC208" i="1" s="1"/>
  <c r="AH209" i="1"/>
  <c r="BC209" i="1" s="1"/>
  <c r="AH210" i="1"/>
  <c r="BC210" i="1" s="1"/>
  <c r="AH211" i="1"/>
  <c r="BC211" i="1" s="1"/>
  <c r="AH212" i="1"/>
  <c r="BC212" i="1" s="1"/>
  <c r="AH213" i="1"/>
  <c r="BC213" i="1" s="1"/>
  <c r="AH214" i="1"/>
  <c r="BC214" i="1" s="1"/>
  <c r="AH215" i="1"/>
  <c r="BC215" i="1" s="1"/>
  <c r="AH216" i="1"/>
  <c r="BC216" i="1" s="1"/>
  <c r="AH217" i="1"/>
  <c r="BC217" i="1" s="1"/>
  <c r="AH218" i="1"/>
  <c r="BC218" i="1" s="1"/>
  <c r="AH219" i="1"/>
  <c r="BC219" i="1" s="1"/>
  <c r="AH220" i="1"/>
  <c r="BC220" i="1" s="1"/>
  <c r="AH221" i="1"/>
  <c r="BC221" i="1" s="1"/>
  <c r="AH222" i="1"/>
  <c r="BC222" i="1" s="1"/>
  <c r="AH223" i="1"/>
  <c r="BC223" i="1" s="1"/>
  <c r="AH224" i="1"/>
  <c r="BC224" i="1" s="1"/>
  <c r="AH225" i="1"/>
  <c r="BC225" i="1" s="1"/>
  <c r="AH226" i="1"/>
  <c r="BC226" i="1" s="1"/>
  <c r="AH227" i="1"/>
  <c r="BC227" i="1" s="1"/>
  <c r="AH228" i="1"/>
  <c r="BC228" i="1" s="1"/>
  <c r="AH229" i="1"/>
  <c r="BC229" i="1" s="1"/>
  <c r="AH230" i="1"/>
  <c r="BC230" i="1" s="1"/>
  <c r="AH231" i="1"/>
  <c r="BC231" i="1" s="1"/>
  <c r="AH232" i="1"/>
  <c r="BC232" i="1" s="1"/>
  <c r="AH233" i="1"/>
  <c r="BC233" i="1" s="1"/>
  <c r="AH234" i="1"/>
  <c r="BC234" i="1" s="1"/>
  <c r="AH235" i="1"/>
  <c r="BC235" i="1" s="1"/>
  <c r="AH236" i="1"/>
  <c r="BC236" i="1" s="1"/>
  <c r="AH237" i="1"/>
  <c r="BC237" i="1" s="1"/>
  <c r="AH238" i="1"/>
  <c r="BC238" i="1" s="1"/>
  <c r="AH239" i="1"/>
  <c r="BC239" i="1" s="1"/>
  <c r="AH240" i="1"/>
  <c r="BC240" i="1" s="1"/>
  <c r="AH241" i="1"/>
  <c r="BC241" i="1" s="1"/>
  <c r="AH242" i="1"/>
  <c r="BC242" i="1" s="1"/>
  <c r="AH243" i="1"/>
  <c r="BC243" i="1" s="1"/>
  <c r="AH244" i="1"/>
  <c r="BC244" i="1" s="1"/>
  <c r="AH245" i="1"/>
  <c r="BC245" i="1" s="1"/>
  <c r="AH246" i="1"/>
  <c r="BC246" i="1" s="1"/>
  <c r="AH247" i="1"/>
  <c r="BC247" i="1" s="1"/>
  <c r="AH248" i="1"/>
  <c r="BC248" i="1" s="1"/>
  <c r="AH249" i="1"/>
  <c r="BC249" i="1" s="1"/>
  <c r="AH250" i="1"/>
  <c r="BC250" i="1" s="1"/>
  <c r="AH251" i="1"/>
  <c r="BC251" i="1" s="1"/>
  <c r="AH252" i="1"/>
  <c r="BC252" i="1" s="1"/>
  <c r="AH253" i="1"/>
  <c r="BC253" i="1" s="1"/>
  <c r="AH254" i="1"/>
  <c r="BC254" i="1" s="1"/>
  <c r="AH255" i="1"/>
  <c r="BC255" i="1" s="1"/>
  <c r="AH256" i="1"/>
  <c r="BC256" i="1" s="1"/>
  <c r="AH257" i="1"/>
  <c r="BC257" i="1" s="1"/>
  <c r="AH258" i="1"/>
  <c r="BC258" i="1" s="1"/>
  <c r="AH259" i="1"/>
  <c r="BC259" i="1" s="1"/>
  <c r="AH260" i="1"/>
  <c r="BC260" i="1" s="1"/>
  <c r="AH261" i="1"/>
  <c r="BC261" i="1" s="1"/>
  <c r="AH262" i="1"/>
  <c r="BC262" i="1" s="1"/>
  <c r="AH263" i="1"/>
  <c r="BC263" i="1" s="1"/>
  <c r="AH264" i="1"/>
  <c r="BC264" i="1" s="1"/>
  <c r="AH265" i="1"/>
  <c r="BC265" i="1" s="1"/>
  <c r="AH266" i="1"/>
  <c r="BC266" i="1" s="1"/>
  <c r="AH267" i="1"/>
  <c r="BC267" i="1" s="1"/>
  <c r="AH268" i="1"/>
  <c r="BC268" i="1" s="1"/>
  <c r="AH269" i="1"/>
  <c r="BC269" i="1" s="1"/>
  <c r="AH270" i="1"/>
  <c r="BC270" i="1" s="1"/>
  <c r="AH271" i="1"/>
  <c r="BC271" i="1" s="1"/>
  <c r="AH272" i="1"/>
  <c r="BC272" i="1" s="1"/>
  <c r="AH273" i="1"/>
  <c r="BC273" i="1" s="1"/>
  <c r="AH274" i="1"/>
  <c r="BC274" i="1" s="1"/>
  <c r="AH275" i="1"/>
  <c r="BC275" i="1" s="1"/>
  <c r="AH276" i="1"/>
  <c r="BC276" i="1" s="1"/>
  <c r="AH277" i="1"/>
  <c r="BC277" i="1" s="1"/>
  <c r="AH278" i="1"/>
  <c r="BC278" i="1" s="1"/>
  <c r="AH279" i="1"/>
  <c r="BC279" i="1" s="1"/>
  <c r="AH280" i="1"/>
  <c r="BC280" i="1" s="1"/>
  <c r="AH281" i="1"/>
  <c r="BC281" i="1" s="1"/>
  <c r="AH282" i="1"/>
  <c r="BC282" i="1" s="1"/>
  <c r="AH283" i="1"/>
  <c r="BC283" i="1" s="1"/>
  <c r="AH284" i="1"/>
  <c r="BC284" i="1" s="1"/>
  <c r="AH285" i="1"/>
  <c r="BC285" i="1" s="1"/>
  <c r="AH286" i="1"/>
  <c r="BC286" i="1" s="1"/>
  <c r="AH287" i="1"/>
  <c r="BC287" i="1" s="1"/>
  <c r="AH288" i="1"/>
  <c r="BC288" i="1" s="1"/>
  <c r="AH289" i="1"/>
  <c r="BC289" i="1" s="1"/>
  <c r="AH290" i="1"/>
  <c r="BC290" i="1" s="1"/>
  <c r="AH291" i="1"/>
  <c r="BC291" i="1" s="1"/>
  <c r="AH292" i="1"/>
  <c r="BC292" i="1" s="1"/>
  <c r="AH293" i="1"/>
  <c r="BC293" i="1" s="1"/>
  <c r="AH294" i="1"/>
  <c r="BC294" i="1" s="1"/>
  <c r="AH295" i="1"/>
  <c r="BC295" i="1" s="1"/>
  <c r="AH296" i="1"/>
  <c r="BC296" i="1" s="1"/>
  <c r="AH297" i="1"/>
  <c r="BC297" i="1" s="1"/>
  <c r="AH298" i="1"/>
  <c r="BC298" i="1" s="1"/>
  <c r="AH299" i="1"/>
  <c r="BC299" i="1" s="1"/>
  <c r="AH5" i="1"/>
  <c r="BC5" i="1" s="1"/>
  <c r="AH6" i="1"/>
  <c r="BC6" i="1" s="1"/>
  <c r="AH4" i="1"/>
  <c r="BC4" i="1" s="1"/>
  <c r="AI6" i="1"/>
  <c r="BD6" i="1" s="1"/>
  <c r="AI5" i="1"/>
  <c r="BD5" i="1" s="1"/>
  <c r="D44" i="4"/>
  <c r="D43" i="4"/>
  <c r="D42" i="4"/>
  <c r="D4" i="4"/>
  <c r="C42" i="4"/>
  <c r="C43" i="4"/>
  <c r="C44" i="4"/>
  <c r="BB6" i="1"/>
  <c r="BB7" i="1"/>
  <c r="BB9" i="1"/>
  <c r="BB10" i="1"/>
  <c r="BB11" i="1"/>
  <c r="BB12" i="1"/>
  <c r="BB14" i="1"/>
  <c r="BB15" i="1"/>
  <c r="BB17" i="1"/>
  <c r="BB18" i="1"/>
  <c r="BB19" i="1"/>
  <c r="BB20" i="1"/>
  <c r="BB22" i="1"/>
  <c r="BB23" i="1"/>
  <c r="BB25" i="1"/>
  <c r="BB26" i="1"/>
  <c r="BB27" i="1"/>
  <c r="BB28" i="1"/>
  <c r="BB30" i="1"/>
  <c r="BB31" i="1"/>
  <c r="BB33" i="1"/>
  <c r="BB34" i="1"/>
  <c r="BB35" i="1"/>
  <c r="BB36" i="1"/>
  <c r="BB38" i="1"/>
  <c r="BB39" i="1"/>
  <c r="BB41" i="1"/>
  <c r="BB42" i="1"/>
  <c r="BB43" i="1"/>
  <c r="BB44" i="1"/>
  <c r="BB46" i="1"/>
  <c r="BB47" i="1"/>
  <c r="BB49" i="1"/>
  <c r="BB50" i="1"/>
  <c r="BB51" i="1"/>
  <c r="BB52" i="1"/>
  <c r="BB54" i="1"/>
  <c r="BB55" i="1"/>
  <c r="BB57" i="1"/>
  <c r="BB58" i="1"/>
  <c r="BB59" i="1"/>
  <c r="BB60" i="1"/>
  <c r="BB62" i="1"/>
  <c r="BB63" i="1"/>
  <c r="BB65" i="1"/>
  <c r="BB66" i="1"/>
  <c r="BB67" i="1"/>
  <c r="BB68" i="1"/>
  <c r="BB70" i="1"/>
  <c r="BB71" i="1"/>
  <c r="BB73" i="1"/>
  <c r="BB74" i="1"/>
  <c r="BB75" i="1"/>
  <c r="BB76" i="1"/>
  <c r="BB78" i="1"/>
  <c r="BB79" i="1"/>
  <c r="BB81" i="1"/>
  <c r="BB82" i="1"/>
  <c r="BB83" i="1"/>
  <c r="BB84" i="1"/>
  <c r="BB86" i="1"/>
  <c r="BB87"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AG4" i="1"/>
  <c r="BB4" i="1" s="1"/>
  <c r="BQ5" i="1"/>
  <c r="BQ6" i="1"/>
  <c r="BQ7" i="1"/>
  <c r="BQ8" i="1"/>
  <c r="BQ9" i="1"/>
  <c r="BQ10" i="1"/>
  <c r="BQ11" i="1"/>
  <c r="BQ12" i="1"/>
  <c r="BQ13" i="1"/>
  <c r="BQ14" i="1"/>
  <c r="BQ15" i="1"/>
  <c r="BQ16" i="1"/>
  <c r="BQ17" i="1"/>
  <c r="BQ18" i="1"/>
  <c r="BQ19" i="1"/>
  <c r="BQ20" i="1"/>
  <c r="BQ21" i="1"/>
  <c r="BQ22" i="1"/>
  <c r="BQ23" i="1"/>
  <c r="BQ24" i="1"/>
  <c r="BQ25" i="1"/>
  <c r="BQ26" i="1"/>
  <c r="BQ27" i="1"/>
  <c r="BQ28" i="1"/>
  <c r="BQ29" i="1"/>
  <c r="BQ30" i="1"/>
  <c r="BQ31" i="1"/>
  <c r="BQ32" i="1"/>
  <c r="BQ33" i="1"/>
  <c r="BQ34" i="1"/>
  <c r="BQ35" i="1"/>
  <c r="BQ36" i="1"/>
  <c r="BQ37" i="1"/>
  <c r="BQ38" i="1"/>
  <c r="BQ39"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7" i="1"/>
  <c r="BQ78" i="1"/>
  <c r="BQ79" i="1"/>
  <c r="BQ80" i="1"/>
  <c r="BQ81" i="1"/>
  <c r="BQ82" i="1"/>
  <c r="BQ83" i="1"/>
  <c r="BQ84" i="1"/>
  <c r="BQ85" i="1"/>
  <c r="BQ86" i="1"/>
  <c r="BQ87" i="1"/>
  <c r="BQ88"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6" i="1"/>
  <c r="BQ147" i="1"/>
  <c r="BQ148"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2" i="1"/>
  <c r="BQ173" i="1"/>
  <c r="BQ174" i="1"/>
  <c r="BQ175" i="1"/>
  <c r="BQ176" i="1"/>
  <c r="BQ177" i="1"/>
  <c r="BQ178" i="1"/>
  <c r="BQ179" i="1"/>
  <c r="BQ180" i="1"/>
  <c r="BQ181" i="1"/>
  <c r="BQ182" i="1"/>
  <c r="BQ183" i="1"/>
  <c r="BQ184" i="1"/>
  <c r="BQ185" i="1"/>
  <c r="BQ186" i="1"/>
  <c r="BQ187" i="1"/>
  <c r="BQ188" i="1"/>
  <c r="BQ189" i="1"/>
  <c r="BQ190" i="1"/>
  <c r="BQ191" i="1"/>
  <c r="BQ192" i="1"/>
  <c r="BQ193" i="1"/>
  <c r="BQ194" i="1"/>
  <c r="BQ195" i="1"/>
  <c r="BQ196" i="1"/>
  <c r="BQ197" i="1"/>
  <c r="BQ198" i="1"/>
  <c r="BQ199" i="1"/>
  <c r="BQ200" i="1"/>
  <c r="BQ201" i="1"/>
  <c r="BQ202" i="1"/>
  <c r="BQ203" i="1"/>
  <c r="BQ204" i="1"/>
  <c r="BQ205"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5" i="1"/>
  <c r="BQ236" i="1"/>
  <c r="BQ237" i="1"/>
  <c r="BQ238" i="1"/>
  <c r="BQ239" i="1"/>
  <c r="BQ240" i="1"/>
  <c r="BQ241" i="1"/>
  <c r="BQ242" i="1"/>
  <c r="BQ243" i="1"/>
  <c r="BQ244" i="1"/>
  <c r="BQ245" i="1"/>
  <c r="BQ246" i="1"/>
  <c r="BQ247"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4" i="1"/>
  <c r="AE4" i="1"/>
  <c r="AZ4" i="1" s="1"/>
  <c r="AE5" i="1"/>
  <c r="AZ5" i="1" s="1"/>
  <c r="AE6" i="1"/>
  <c r="AZ6" i="1" s="1"/>
  <c r="AE7" i="1"/>
  <c r="AZ7" i="1" s="1"/>
  <c r="AE8" i="1"/>
  <c r="AZ8" i="1" s="1"/>
  <c r="AE9" i="1"/>
  <c r="AZ9" i="1" s="1"/>
  <c r="AE10" i="1"/>
  <c r="AZ10" i="1" s="1"/>
  <c r="AE11" i="1"/>
  <c r="AZ11" i="1" s="1"/>
  <c r="AE12" i="1"/>
  <c r="AZ12" i="1" s="1"/>
  <c r="AE13" i="1"/>
  <c r="AZ13" i="1" s="1"/>
  <c r="AE14" i="1"/>
  <c r="AZ14" i="1" s="1"/>
  <c r="AE15" i="1"/>
  <c r="AZ15" i="1" s="1"/>
  <c r="AT5" i="1"/>
  <c r="BM5" i="1" s="1"/>
  <c r="AU5" i="1"/>
  <c r="BN5" i="1" s="1"/>
  <c r="AT6" i="1"/>
  <c r="BM6" i="1" s="1"/>
  <c r="AU6" i="1"/>
  <c r="BN6" i="1" s="1"/>
  <c r="AT7" i="1"/>
  <c r="BM7" i="1" s="1"/>
  <c r="AU7" i="1"/>
  <c r="AT8" i="1"/>
  <c r="BM8" i="1" s="1"/>
  <c r="AU8" i="1"/>
  <c r="BN8" i="1" s="1"/>
  <c r="AT9" i="1"/>
  <c r="BM9" i="1" s="1"/>
  <c r="AU9" i="1"/>
  <c r="BN9" i="1" s="1"/>
  <c r="AT10" i="1"/>
  <c r="BM10" i="1" s="1"/>
  <c r="AU10" i="1"/>
  <c r="BN10" i="1" s="1"/>
  <c r="AT11" i="1"/>
  <c r="BM11" i="1" s="1"/>
  <c r="AU11" i="1"/>
  <c r="AT12" i="1"/>
  <c r="BM12" i="1" s="1"/>
  <c r="AU12" i="1"/>
  <c r="AT13" i="1"/>
  <c r="BM13" i="1" s="1"/>
  <c r="AU13" i="1"/>
  <c r="BN13" i="1" s="1"/>
  <c r="AT14" i="1"/>
  <c r="BM14" i="1" s="1"/>
  <c r="AU14" i="1"/>
  <c r="BN14" i="1" s="1"/>
  <c r="AT15" i="1"/>
  <c r="BM15" i="1" s="1"/>
  <c r="AU15" i="1"/>
  <c r="AT16" i="1"/>
  <c r="BM16" i="1" s="1"/>
  <c r="AU16" i="1"/>
  <c r="AT17" i="1"/>
  <c r="BM17" i="1" s="1"/>
  <c r="AU17" i="1"/>
  <c r="BN17" i="1" s="1"/>
  <c r="AT18" i="1"/>
  <c r="BM18" i="1" s="1"/>
  <c r="AU18" i="1"/>
  <c r="AT19" i="1"/>
  <c r="BM19" i="1" s="1"/>
  <c r="AU19" i="1"/>
  <c r="AT20" i="1"/>
  <c r="BM20" i="1" s="1"/>
  <c r="AU20" i="1"/>
  <c r="BN20" i="1" s="1"/>
  <c r="AT21" i="1"/>
  <c r="BM21" i="1" s="1"/>
  <c r="AU21" i="1"/>
  <c r="BN21" i="1" s="1"/>
  <c r="AT22" i="1"/>
  <c r="BM22" i="1" s="1"/>
  <c r="AU22" i="1"/>
  <c r="BN22" i="1" s="1"/>
  <c r="AT23" i="1"/>
  <c r="BM23" i="1" s="1"/>
  <c r="AU23" i="1"/>
  <c r="AT24" i="1"/>
  <c r="BM24" i="1" s="1"/>
  <c r="AU24" i="1"/>
  <c r="AT25" i="1"/>
  <c r="BM25" i="1" s="1"/>
  <c r="AU25" i="1"/>
  <c r="BN25" i="1" s="1"/>
  <c r="AT26" i="1"/>
  <c r="BM26" i="1" s="1"/>
  <c r="AU26" i="1"/>
  <c r="BN26" i="1" s="1"/>
  <c r="AT27" i="1"/>
  <c r="BM27" i="1" s="1"/>
  <c r="AU27" i="1"/>
  <c r="BN27" i="1" s="1"/>
  <c r="AT28" i="1"/>
  <c r="BM28" i="1" s="1"/>
  <c r="AU28" i="1"/>
  <c r="BN28" i="1" s="1"/>
  <c r="AT29" i="1"/>
  <c r="BM29" i="1" s="1"/>
  <c r="AU29" i="1"/>
  <c r="BN29" i="1" s="1"/>
  <c r="AT30" i="1"/>
  <c r="BM30" i="1" s="1"/>
  <c r="AU30" i="1"/>
  <c r="BN30" i="1" s="1"/>
  <c r="AT31" i="1"/>
  <c r="AU31" i="1"/>
  <c r="AT32" i="1"/>
  <c r="BM32" i="1" s="1"/>
  <c r="AU32" i="1"/>
  <c r="BN32" i="1" s="1"/>
  <c r="AT33" i="1"/>
  <c r="BM33" i="1" s="1"/>
  <c r="AU33" i="1"/>
  <c r="BN33" i="1" s="1"/>
  <c r="AT34" i="1"/>
  <c r="BM34" i="1" s="1"/>
  <c r="AU34" i="1"/>
  <c r="BN34" i="1" s="1"/>
  <c r="AT35" i="1"/>
  <c r="BM35" i="1" s="1"/>
  <c r="AU35" i="1"/>
  <c r="AT36" i="1"/>
  <c r="BM36" i="1" s="1"/>
  <c r="AU36" i="1"/>
  <c r="BN36" i="1" s="1"/>
  <c r="AT37" i="1"/>
  <c r="BM37" i="1" s="1"/>
  <c r="AU37" i="1"/>
  <c r="BN37" i="1" s="1"/>
  <c r="AT38" i="1"/>
  <c r="BM38" i="1" s="1"/>
  <c r="AU38" i="1"/>
  <c r="BN38" i="1" s="1"/>
  <c r="AT39" i="1"/>
  <c r="BM39" i="1" s="1"/>
  <c r="AU39" i="1"/>
  <c r="BN39" i="1" s="1"/>
  <c r="AT40" i="1"/>
  <c r="BM40" i="1" s="1"/>
  <c r="AU40" i="1"/>
  <c r="BN40" i="1" s="1"/>
  <c r="AT41" i="1"/>
  <c r="BM41" i="1" s="1"/>
  <c r="AU41" i="1"/>
  <c r="BN41" i="1" s="1"/>
  <c r="AT42" i="1"/>
  <c r="BM42" i="1" s="1"/>
  <c r="AU42" i="1"/>
  <c r="BN42" i="1" s="1"/>
  <c r="AT43" i="1"/>
  <c r="BM43" i="1" s="1"/>
  <c r="AU43" i="1"/>
  <c r="AT44" i="1"/>
  <c r="BM44" i="1" s="1"/>
  <c r="AU44" i="1"/>
  <c r="AT45" i="1"/>
  <c r="BM45" i="1" s="1"/>
  <c r="AU45" i="1"/>
  <c r="BN45" i="1" s="1"/>
  <c r="AT46" i="1"/>
  <c r="BM46" i="1" s="1"/>
  <c r="AU46" i="1"/>
  <c r="BN46" i="1" s="1"/>
  <c r="AT47" i="1"/>
  <c r="BM47" i="1" s="1"/>
  <c r="AU47" i="1"/>
  <c r="BN47" i="1" s="1"/>
  <c r="AT48" i="1"/>
  <c r="AU48" i="1"/>
  <c r="BN48" i="1" s="1"/>
  <c r="AT49" i="1"/>
  <c r="BM49" i="1" s="1"/>
  <c r="AU49" i="1"/>
  <c r="BN49" i="1" s="1"/>
  <c r="AT50" i="1"/>
  <c r="BM50" i="1" s="1"/>
  <c r="AU50" i="1"/>
  <c r="BN50" i="1" s="1"/>
  <c r="AT51" i="1"/>
  <c r="BM51" i="1" s="1"/>
  <c r="AU51" i="1"/>
  <c r="BN51" i="1" s="1"/>
  <c r="AT52" i="1"/>
  <c r="AU52" i="1"/>
  <c r="BN52" i="1" s="1"/>
  <c r="AT53" i="1"/>
  <c r="BM53" i="1" s="1"/>
  <c r="AU53" i="1"/>
  <c r="BN53" i="1" s="1"/>
  <c r="AT54" i="1"/>
  <c r="BM54" i="1" s="1"/>
  <c r="AU54" i="1"/>
  <c r="BN54" i="1" s="1"/>
  <c r="AT55" i="1"/>
  <c r="BM55" i="1" s="1"/>
  <c r="AU55" i="1"/>
  <c r="BN55" i="1" s="1"/>
  <c r="AT56" i="1"/>
  <c r="BM56" i="1" s="1"/>
  <c r="AU56" i="1"/>
  <c r="BN56" i="1" s="1"/>
  <c r="AT57" i="1"/>
  <c r="BM57" i="1" s="1"/>
  <c r="AU57" i="1"/>
  <c r="BN57" i="1" s="1"/>
  <c r="AT58" i="1"/>
  <c r="BM58" i="1" s="1"/>
  <c r="AU58" i="1"/>
  <c r="BN58" i="1" s="1"/>
  <c r="AT59" i="1"/>
  <c r="BM59" i="1" s="1"/>
  <c r="AU59" i="1"/>
  <c r="BN59" i="1" s="1"/>
  <c r="AT60" i="1"/>
  <c r="BM60" i="1" s="1"/>
  <c r="AU60" i="1"/>
  <c r="BN60" i="1" s="1"/>
  <c r="AT61" i="1"/>
  <c r="BM61" i="1" s="1"/>
  <c r="AU61" i="1"/>
  <c r="BN61" i="1" s="1"/>
  <c r="AT62" i="1"/>
  <c r="BM62" i="1" s="1"/>
  <c r="AU62" i="1"/>
  <c r="BN62" i="1" s="1"/>
  <c r="AT63" i="1"/>
  <c r="BM63" i="1" s="1"/>
  <c r="AU63" i="1"/>
  <c r="BN63" i="1" s="1"/>
  <c r="AT64" i="1"/>
  <c r="BM64" i="1" s="1"/>
  <c r="AU64" i="1"/>
  <c r="BN64" i="1" s="1"/>
  <c r="AT65" i="1"/>
  <c r="BM65" i="1" s="1"/>
  <c r="AU65" i="1"/>
  <c r="BN65" i="1" s="1"/>
  <c r="AT66" i="1"/>
  <c r="BM66" i="1" s="1"/>
  <c r="AU66" i="1"/>
  <c r="BN66" i="1" s="1"/>
  <c r="AT67" i="1"/>
  <c r="BM67" i="1" s="1"/>
  <c r="AU67" i="1"/>
  <c r="BN67" i="1" s="1"/>
  <c r="AT68" i="1"/>
  <c r="BM68" i="1" s="1"/>
  <c r="AU68" i="1"/>
  <c r="BN68" i="1" s="1"/>
  <c r="AT69" i="1"/>
  <c r="BM69" i="1" s="1"/>
  <c r="AU69" i="1"/>
  <c r="BN69" i="1" s="1"/>
  <c r="AT70" i="1"/>
  <c r="BM70" i="1" s="1"/>
  <c r="AU70" i="1"/>
  <c r="BN70" i="1" s="1"/>
  <c r="AT71" i="1"/>
  <c r="BM71" i="1" s="1"/>
  <c r="AU71" i="1"/>
  <c r="BN71" i="1" s="1"/>
  <c r="AT72" i="1"/>
  <c r="AU72" i="1"/>
  <c r="BN72" i="1" s="1"/>
  <c r="AT73" i="1"/>
  <c r="BM73" i="1" s="1"/>
  <c r="AU73" i="1"/>
  <c r="BN73" i="1" s="1"/>
  <c r="AT74" i="1"/>
  <c r="BM74" i="1" s="1"/>
  <c r="AU74" i="1"/>
  <c r="BN74" i="1" s="1"/>
  <c r="AT75" i="1"/>
  <c r="BM75" i="1" s="1"/>
  <c r="AU75" i="1"/>
  <c r="BN75" i="1" s="1"/>
  <c r="AT76" i="1"/>
  <c r="AU76" i="1"/>
  <c r="BN76" i="1" s="1"/>
  <c r="AT77" i="1"/>
  <c r="BM77" i="1" s="1"/>
  <c r="AU77" i="1"/>
  <c r="BN77" i="1" s="1"/>
  <c r="AT78" i="1"/>
  <c r="BM78" i="1" s="1"/>
  <c r="AU78" i="1"/>
  <c r="BN78" i="1" s="1"/>
  <c r="AT79" i="1"/>
  <c r="BM79" i="1" s="1"/>
  <c r="AU79" i="1"/>
  <c r="BN79" i="1" s="1"/>
  <c r="AT80" i="1"/>
  <c r="BM80" i="1" s="1"/>
  <c r="AU80" i="1"/>
  <c r="BN80" i="1" s="1"/>
  <c r="AT81" i="1"/>
  <c r="BM81" i="1" s="1"/>
  <c r="AU81" i="1"/>
  <c r="BN81" i="1" s="1"/>
  <c r="AT82" i="1"/>
  <c r="BM82" i="1" s="1"/>
  <c r="AU82" i="1"/>
  <c r="BN82" i="1" s="1"/>
  <c r="AT83" i="1"/>
  <c r="BM83" i="1" s="1"/>
  <c r="AU83" i="1"/>
  <c r="BN83" i="1" s="1"/>
  <c r="AT84" i="1"/>
  <c r="BM84" i="1" s="1"/>
  <c r="AU84" i="1"/>
  <c r="BN84" i="1" s="1"/>
  <c r="AT85" i="1"/>
  <c r="BM85" i="1" s="1"/>
  <c r="AU85" i="1"/>
  <c r="BN85" i="1" s="1"/>
  <c r="AT86" i="1"/>
  <c r="BM86" i="1" s="1"/>
  <c r="AU86" i="1"/>
  <c r="BN86" i="1" s="1"/>
  <c r="AT87" i="1"/>
  <c r="BM87" i="1" s="1"/>
  <c r="AU87" i="1"/>
  <c r="BN87" i="1" s="1"/>
  <c r="AT88" i="1"/>
  <c r="BM88" i="1" s="1"/>
  <c r="AU88" i="1"/>
  <c r="BN88" i="1" s="1"/>
  <c r="AT89" i="1"/>
  <c r="BM89" i="1" s="1"/>
  <c r="AU89" i="1"/>
  <c r="BN89" i="1" s="1"/>
  <c r="AT90" i="1"/>
  <c r="BM90" i="1" s="1"/>
  <c r="AU90" i="1"/>
  <c r="AT91" i="1"/>
  <c r="BM91" i="1" s="1"/>
  <c r="AU91" i="1"/>
  <c r="BN91" i="1" s="1"/>
  <c r="AT92" i="1"/>
  <c r="BM92" i="1" s="1"/>
  <c r="AU92" i="1"/>
  <c r="BN92" i="1" s="1"/>
  <c r="AT93" i="1"/>
  <c r="BM93" i="1" s="1"/>
  <c r="AU93" i="1"/>
  <c r="BN93" i="1" s="1"/>
  <c r="AT94" i="1"/>
  <c r="BM94" i="1" s="1"/>
  <c r="AU94" i="1"/>
  <c r="BN94" i="1" s="1"/>
  <c r="AT95" i="1"/>
  <c r="BM95" i="1" s="1"/>
  <c r="AU95" i="1"/>
  <c r="BN95" i="1" s="1"/>
  <c r="AT96" i="1"/>
  <c r="BM96" i="1" s="1"/>
  <c r="AU96" i="1"/>
  <c r="BN96" i="1" s="1"/>
  <c r="AT97" i="1"/>
  <c r="BM97" i="1" s="1"/>
  <c r="AU97" i="1"/>
  <c r="BN97" i="1" s="1"/>
  <c r="AT98" i="1"/>
  <c r="BM98" i="1" s="1"/>
  <c r="AU98" i="1"/>
  <c r="BN98" i="1" s="1"/>
  <c r="AT99" i="1"/>
  <c r="BM99" i="1" s="1"/>
  <c r="AU99" i="1"/>
  <c r="BN99" i="1" s="1"/>
  <c r="AT100" i="1"/>
  <c r="BM100" i="1" s="1"/>
  <c r="AU100" i="1"/>
  <c r="BN100" i="1" s="1"/>
  <c r="AT101" i="1"/>
  <c r="BM101" i="1" s="1"/>
  <c r="AU101" i="1"/>
  <c r="BN101" i="1" s="1"/>
  <c r="AT102" i="1"/>
  <c r="BM102" i="1" s="1"/>
  <c r="AU102" i="1"/>
  <c r="BN102" i="1" s="1"/>
  <c r="AT103" i="1"/>
  <c r="BM103" i="1" s="1"/>
  <c r="AU103" i="1"/>
  <c r="BN103" i="1" s="1"/>
  <c r="AT104" i="1"/>
  <c r="BM104" i="1" s="1"/>
  <c r="AU104" i="1"/>
  <c r="BN104" i="1" s="1"/>
  <c r="AT105" i="1"/>
  <c r="BM105" i="1" s="1"/>
  <c r="AU105" i="1"/>
  <c r="BN105" i="1" s="1"/>
  <c r="AT106" i="1"/>
  <c r="BM106" i="1" s="1"/>
  <c r="AU106" i="1"/>
  <c r="BN106" i="1" s="1"/>
  <c r="AT107" i="1"/>
  <c r="BM107" i="1" s="1"/>
  <c r="AU107" i="1"/>
  <c r="BN107" i="1" s="1"/>
  <c r="AT108" i="1"/>
  <c r="BM108" i="1" s="1"/>
  <c r="AU108" i="1"/>
  <c r="BN108" i="1" s="1"/>
  <c r="AT109" i="1"/>
  <c r="BM109" i="1" s="1"/>
  <c r="AU109" i="1"/>
  <c r="BN109" i="1" s="1"/>
  <c r="AT110" i="1"/>
  <c r="BM110" i="1" s="1"/>
  <c r="AU110" i="1"/>
  <c r="BN110" i="1" s="1"/>
  <c r="AT111" i="1"/>
  <c r="BM111" i="1" s="1"/>
  <c r="AU111" i="1"/>
  <c r="BN111" i="1" s="1"/>
  <c r="AT112" i="1"/>
  <c r="BM112" i="1" s="1"/>
  <c r="AU112" i="1"/>
  <c r="BN112" i="1" s="1"/>
  <c r="AT113" i="1"/>
  <c r="BM113" i="1" s="1"/>
  <c r="AU113" i="1"/>
  <c r="BN113" i="1" s="1"/>
  <c r="AT114" i="1"/>
  <c r="BM114" i="1" s="1"/>
  <c r="AU114" i="1"/>
  <c r="BN114" i="1" s="1"/>
  <c r="AT115" i="1"/>
  <c r="BM115" i="1" s="1"/>
  <c r="AU115" i="1"/>
  <c r="BN115" i="1" s="1"/>
  <c r="AT116" i="1"/>
  <c r="BM116" i="1" s="1"/>
  <c r="AU116" i="1"/>
  <c r="BN116" i="1" s="1"/>
  <c r="AT117" i="1"/>
  <c r="BM117" i="1" s="1"/>
  <c r="AU117" i="1"/>
  <c r="BN117" i="1" s="1"/>
  <c r="AT118" i="1"/>
  <c r="BM118" i="1" s="1"/>
  <c r="AU118" i="1"/>
  <c r="BN118" i="1" s="1"/>
  <c r="AT119" i="1"/>
  <c r="BM119" i="1" s="1"/>
  <c r="AU119" i="1"/>
  <c r="BN119" i="1" s="1"/>
  <c r="AT120" i="1"/>
  <c r="BM120" i="1" s="1"/>
  <c r="AU120" i="1"/>
  <c r="BN120" i="1" s="1"/>
  <c r="AT121" i="1"/>
  <c r="BM121" i="1" s="1"/>
  <c r="AU121" i="1"/>
  <c r="BN121" i="1" s="1"/>
  <c r="AT122" i="1"/>
  <c r="BM122" i="1" s="1"/>
  <c r="AU122" i="1"/>
  <c r="BN122" i="1" s="1"/>
  <c r="AT123" i="1"/>
  <c r="BM123" i="1" s="1"/>
  <c r="AU123" i="1"/>
  <c r="BN123" i="1" s="1"/>
  <c r="AT124" i="1"/>
  <c r="BM124" i="1" s="1"/>
  <c r="AU124" i="1"/>
  <c r="BN124" i="1" s="1"/>
  <c r="AT125" i="1"/>
  <c r="BM125" i="1" s="1"/>
  <c r="AU125" i="1"/>
  <c r="BN125" i="1" s="1"/>
  <c r="AT126" i="1"/>
  <c r="BM126" i="1" s="1"/>
  <c r="AU126" i="1"/>
  <c r="BN126" i="1" s="1"/>
  <c r="AT127" i="1"/>
  <c r="BM127" i="1" s="1"/>
  <c r="AU127" i="1"/>
  <c r="BN127" i="1" s="1"/>
  <c r="AT128" i="1"/>
  <c r="BM128" i="1" s="1"/>
  <c r="AU128" i="1"/>
  <c r="BN128" i="1" s="1"/>
  <c r="AT129" i="1"/>
  <c r="BM129" i="1" s="1"/>
  <c r="AU129" i="1"/>
  <c r="BN129" i="1" s="1"/>
  <c r="AT130" i="1"/>
  <c r="BM130" i="1" s="1"/>
  <c r="AU130" i="1"/>
  <c r="AT131" i="1"/>
  <c r="BM131" i="1" s="1"/>
  <c r="AU131" i="1"/>
  <c r="BN131" i="1" s="1"/>
  <c r="AT132" i="1"/>
  <c r="BM132" i="1" s="1"/>
  <c r="AU132" i="1"/>
  <c r="BN132" i="1" s="1"/>
  <c r="AT133" i="1"/>
  <c r="BM133" i="1" s="1"/>
  <c r="AU133" i="1"/>
  <c r="BN133" i="1" s="1"/>
  <c r="AT134" i="1"/>
  <c r="BM134" i="1" s="1"/>
  <c r="AU134" i="1"/>
  <c r="BN134" i="1" s="1"/>
  <c r="AT135" i="1"/>
  <c r="BM135" i="1" s="1"/>
  <c r="AU135" i="1"/>
  <c r="BN135" i="1" s="1"/>
  <c r="AT136" i="1"/>
  <c r="BM136" i="1" s="1"/>
  <c r="AU136" i="1"/>
  <c r="BN136" i="1" s="1"/>
  <c r="AT137" i="1"/>
  <c r="BM137" i="1" s="1"/>
  <c r="AU137" i="1"/>
  <c r="BN137" i="1" s="1"/>
  <c r="AT138" i="1"/>
  <c r="BM138" i="1" s="1"/>
  <c r="AU138" i="1"/>
  <c r="BN138" i="1" s="1"/>
  <c r="AT139" i="1"/>
  <c r="BM139" i="1" s="1"/>
  <c r="AU139" i="1"/>
  <c r="BN139" i="1" s="1"/>
  <c r="AT140" i="1"/>
  <c r="BM140" i="1" s="1"/>
  <c r="AU140" i="1"/>
  <c r="BN140" i="1" s="1"/>
  <c r="AT141" i="1"/>
  <c r="BM141" i="1" s="1"/>
  <c r="AU141" i="1"/>
  <c r="BN141" i="1" s="1"/>
  <c r="AT142" i="1"/>
  <c r="BM142" i="1" s="1"/>
  <c r="AU142" i="1"/>
  <c r="BN142" i="1" s="1"/>
  <c r="AT143" i="1"/>
  <c r="BM143" i="1" s="1"/>
  <c r="AU143" i="1"/>
  <c r="BN143" i="1" s="1"/>
  <c r="AT144" i="1"/>
  <c r="BM144" i="1" s="1"/>
  <c r="AU144" i="1"/>
  <c r="BN144" i="1" s="1"/>
  <c r="AT145" i="1"/>
  <c r="BM145" i="1" s="1"/>
  <c r="AU145" i="1"/>
  <c r="BN145" i="1" s="1"/>
  <c r="AT146" i="1"/>
  <c r="BM146" i="1" s="1"/>
  <c r="AU146" i="1"/>
  <c r="AT147" i="1"/>
  <c r="BM147" i="1" s="1"/>
  <c r="AU147" i="1"/>
  <c r="BN147" i="1" s="1"/>
  <c r="AT148" i="1"/>
  <c r="BM148" i="1" s="1"/>
  <c r="AU148" i="1"/>
  <c r="BN148" i="1" s="1"/>
  <c r="AT149" i="1"/>
  <c r="BM149" i="1" s="1"/>
  <c r="AU149" i="1"/>
  <c r="BN149" i="1" s="1"/>
  <c r="AT150" i="1"/>
  <c r="BM150" i="1" s="1"/>
  <c r="AU150" i="1"/>
  <c r="BN150" i="1" s="1"/>
  <c r="AT151" i="1"/>
  <c r="BM151" i="1" s="1"/>
  <c r="AU151" i="1"/>
  <c r="BN151" i="1" s="1"/>
  <c r="AT152" i="1"/>
  <c r="BM152" i="1" s="1"/>
  <c r="AU152" i="1"/>
  <c r="BN152" i="1" s="1"/>
  <c r="AT153" i="1"/>
  <c r="BM153" i="1" s="1"/>
  <c r="AU153" i="1"/>
  <c r="BN153" i="1" s="1"/>
  <c r="AT154" i="1"/>
  <c r="BM154" i="1" s="1"/>
  <c r="AU154" i="1"/>
  <c r="BN154" i="1" s="1"/>
  <c r="AT155" i="1"/>
  <c r="BM155" i="1" s="1"/>
  <c r="AU155" i="1"/>
  <c r="BN155" i="1" s="1"/>
  <c r="AT156" i="1"/>
  <c r="BM156" i="1" s="1"/>
  <c r="AU156" i="1"/>
  <c r="BN156" i="1" s="1"/>
  <c r="AT157" i="1"/>
  <c r="BM157" i="1" s="1"/>
  <c r="AU157" i="1"/>
  <c r="BN157" i="1" s="1"/>
  <c r="AT158" i="1"/>
  <c r="BM158" i="1" s="1"/>
  <c r="AU158" i="1"/>
  <c r="BN158" i="1" s="1"/>
  <c r="AT159" i="1"/>
  <c r="BM159" i="1" s="1"/>
  <c r="AU159" i="1"/>
  <c r="BN159" i="1" s="1"/>
  <c r="AT160" i="1"/>
  <c r="BM160" i="1" s="1"/>
  <c r="AU160" i="1"/>
  <c r="BN160" i="1" s="1"/>
  <c r="AT161" i="1"/>
  <c r="BM161" i="1" s="1"/>
  <c r="AU161" i="1"/>
  <c r="BN161" i="1" s="1"/>
  <c r="AT162" i="1"/>
  <c r="BM162" i="1" s="1"/>
  <c r="AU162" i="1"/>
  <c r="AT163" i="1"/>
  <c r="BM163" i="1" s="1"/>
  <c r="AU163" i="1"/>
  <c r="AT164" i="1"/>
  <c r="BM164" i="1" s="1"/>
  <c r="AU164" i="1"/>
  <c r="BN164" i="1" s="1"/>
  <c r="AT165" i="1"/>
  <c r="BM165" i="1" s="1"/>
  <c r="AU165" i="1"/>
  <c r="BN165" i="1" s="1"/>
  <c r="AT166" i="1"/>
  <c r="BM166" i="1" s="1"/>
  <c r="AU166" i="1"/>
  <c r="BN166" i="1" s="1"/>
  <c r="AT167" i="1"/>
  <c r="BM167" i="1" s="1"/>
  <c r="AU167" i="1"/>
  <c r="BN167" i="1" s="1"/>
  <c r="AT168" i="1"/>
  <c r="BM168" i="1" s="1"/>
  <c r="AU168" i="1"/>
  <c r="BN168" i="1" s="1"/>
  <c r="AT169" i="1"/>
  <c r="BM169" i="1" s="1"/>
  <c r="AU169" i="1"/>
  <c r="AT170" i="1"/>
  <c r="BM170" i="1" s="1"/>
  <c r="AU170" i="1"/>
  <c r="BN170" i="1" s="1"/>
  <c r="AT171" i="1"/>
  <c r="BM171" i="1" s="1"/>
  <c r="AU171" i="1"/>
  <c r="BN171" i="1" s="1"/>
  <c r="AT172" i="1"/>
  <c r="BM172" i="1" s="1"/>
  <c r="AU172" i="1"/>
  <c r="BN172" i="1" s="1"/>
  <c r="AT173" i="1"/>
  <c r="BM173" i="1" s="1"/>
  <c r="AU173" i="1"/>
  <c r="BN173" i="1" s="1"/>
  <c r="AT174" i="1"/>
  <c r="BM174" i="1" s="1"/>
  <c r="AU174" i="1"/>
  <c r="AT175" i="1"/>
  <c r="BM175" i="1" s="1"/>
  <c r="AU175" i="1"/>
  <c r="BN175" i="1" s="1"/>
  <c r="AT176" i="1"/>
  <c r="BM176" i="1" s="1"/>
  <c r="AU176" i="1"/>
  <c r="BN176" i="1" s="1"/>
  <c r="AT177" i="1"/>
  <c r="BM177" i="1" s="1"/>
  <c r="AU177" i="1"/>
  <c r="BN177" i="1" s="1"/>
  <c r="AT178" i="1"/>
  <c r="BM178" i="1" s="1"/>
  <c r="AU178" i="1"/>
  <c r="BN178" i="1" s="1"/>
  <c r="AT179" i="1"/>
  <c r="BM179" i="1" s="1"/>
  <c r="AU179" i="1"/>
  <c r="BN179" i="1" s="1"/>
  <c r="AT180" i="1"/>
  <c r="BM180" i="1" s="1"/>
  <c r="AU180" i="1"/>
  <c r="AT181" i="1"/>
  <c r="BM181" i="1" s="1"/>
  <c r="AU181" i="1"/>
  <c r="BN181" i="1" s="1"/>
  <c r="AT182" i="1"/>
  <c r="BM182" i="1" s="1"/>
  <c r="AU182" i="1"/>
  <c r="BN182" i="1" s="1"/>
  <c r="AT183" i="1"/>
  <c r="BM183" i="1" s="1"/>
  <c r="AU183" i="1"/>
  <c r="BN183" i="1" s="1"/>
  <c r="AT184" i="1"/>
  <c r="BM184" i="1" s="1"/>
  <c r="AU184" i="1"/>
  <c r="BN184" i="1" s="1"/>
  <c r="AT185" i="1"/>
  <c r="BM185" i="1" s="1"/>
  <c r="AU185" i="1"/>
  <c r="BN185" i="1" s="1"/>
  <c r="AT186" i="1"/>
  <c r="BM186" i="1" s="1"/>
  <c r="AU186" i="1"/>
  <c r="BN186" i="1" s="1"/>
  <c r="AT187" i="1"/>
  <c r="BM187" i="1" s="1"/>
  <c r="AU187" i="1"/>
  <c r="BN187" i="1" s="1"/>
  <c r="AT188" i="1"/>
  <c r="BM188" i="1" s="1"/>
  <c r="AU188" i="1"/>
  <c r="BN188" i="1" s="1"/>
  <c r="AT189" i="1"/>
  <c r="BM189" i="1" s="1"/>
  <c r="AU189" i="1"/>
  <c r="BN189" i="1" s="1"/>
  <c r="AT190" i="1"/>
  <c r="BM190" i="1" s="1"/>
  <c r="AU190" i="1"/>
  <c r="BN190" i="1" s="1"/>
  <c r="AT191" i="1"/>
  <c r="BM191" i="1" s="1"/>
  <c r="AU191" i="1"/>
  <c r="BN191" i="1" s="1"/>
  <c r="AT192" i="1"/>
  <c r="BM192" i="1" s="1"/>
  <c r="AU192" i="1"/>
  <c r="BN192" i="1" s="1"/>
  <c r="AT193" i="1"/>
  <c r="BM193" i="1" s="1"/>
  <c r="AU193" i="1"/>
  <c r="BN193" i="1" s="1"/>
  <c r="AT194" i="1"/>
  <c r="BM194" i="1" s="1"/>
  <c r="AU194" i="1"/>
  <c r="BN194" i="1" s="1"/>
  <c r="AT195" i="1"/>
  <c r="BM195" i="1" s="1"/>
  <c r="AU195" i="1"/>
  <c r="BN195" i="1" s="1"/>
  <c r="AT196" i="1"/>
  <c r="BM196" i="1" s="1"/>
  <c r="AU196" i="1"/>
  <c r="BN196" i="1" s="1"/>
  <c r="AT197" i="1"/>
  <c r="BM197" i="1" s="1"/>
  <c r="AU197" i="1"/>
  <c r="BN197" i="1" s="1"/>
  <c r="AT198" i="1"/>
  <c r="BM198" i="1" s="1"/>
  <c r="AU198" i="1"/>
  <c r="BN198" i="1" s="1"/>
  <c r="AT199" i="1"/>
  <c r="BM199" i="1" s="1"/>
  <c r="AU199" i="1"/>
  <c r="BN199" i="1" s="1"/>
  <c r="AT200" i="1"/>
  <c r="BM200" i="1" s="1"/>
  <c r="AU200" i="1"/>
  <c r="BN200" i="1" s="1"/>
  <c r="AT201" i="1"/>
  <c r="BM201" i="1" s="1"/>
  <c r="AU201" i="1"/>
  <c r="BN201" i="1" s="1"/>
  <c r="AT202" i="1"/>
  <c r="BM202" i="1" s="1"/>
  <c r="AU202" i="1"/>
  <c r="BN202" i="1" s="1"/>
  <c r="AT203" i="1"/>
  <c r="BM203" i="1" s="1"/>
  <c r="AU203" i="1"/>
  <c r="BN203" i="1" s="1"/>
  <c r="AT204" i="1"/>
  <c r="BM204" i="1" s="1"/>
  <c r="AU204" i="1"/>
  <c r="AT205" i="1"/>
  <c r="BM205" i="1" s="1"/>
  <c r="AU205" i="1"/>
  <c r="BN205" i="1" s="1"/>
  <c r="AT206" i="1"/>
  <c r="BM206" i="1" s="1"/>
  <c r="AU206" i="1"/>
  <c r="BN206" i="1" s="1"/>
  <c r="AT207" i="1"/>
  <c r="BM207" i="1" s="1"/>
  <c r="AU207" i="1"/>
  <c r="BN207" i="1" s="1"/>
  <c r="AT208" i="1"/>
  <c r="BM208" i="1" s="1"/>
  <c r="AU208" i="1"/>
  <c r="BN208" i="1" s="1"/>
  <c r="AT209" i="1"/>
  <c r="BM209" i="1" s="1"/>
  <c r="AU209" i="1"/>
  <c r="BN209" i="1" s="1"/>
  <c r="AT210" i="1"/>
  <c r="BM210" i="1" s="1"/>
  <c r="AU210" i="1"/>
  <c r="AT211" i="1"/>
  <c r="BM211" i="1" s="1"/>
  <c r="AU211" i="1"/>
  <c r="AT212" i="1"/>
  <c r="BM212" i="1" s="1"/>
  <c r="AU212" i="1"/>
  <c r="BN212" i="1" s="1"/>
  <c r="AT213" i="1"/>
  <c r="BM213" i="1" s="1"/>
  <c r="AU213" i="1"/>
  <c r="BN213" i="1" s="1"/>
  <c r="AT214" i="1"/>
  <c r="BM214" i="1" s="1"/>
  <c r="AU214" i="1"/>
  <c r="BN214" i="1" s="1"/>
  <c r="AT215" i="1"/>
  <c r="BM215" i="1" s="1"/>
  <c r="AU215" i="1"/>
  <c r="BN215" i="1" s="1"/>
  <c r="AT216" i="1"/>
  <c r="BM216" i="1" s="1"/>
  <c r="AU216" i="1"/>
  <c r="BN216" i="1" s="1"/>
  <c r="AT217" i="1"/>
  <c r="BM217" i="1" s="1"/>
  <c r="AU217" i="1"/>
  <c r="BN217" i="1" s="1"/>
  <c r="AT218" i="1"/>
  <c r="BM218" i="1" s="1"/>
  <c r="AU218" i="1"/>
  <c r="BN218" i="1" s="1"/>
  <c r="AT219" i="1"/>
  <c r="BM219" i="1" s="1"/>
  <c r="AU219" i="1"/>
  <c r="BN219" i="1" s="1"/>
  <c r="AT220" i="1"/>
  <c r="BM220" i="1" s="1"/>
  <c r="AU220" i="1"/>
  <c r="BN220" i="1" s="1"/>
  <c r="AT221" i="1"/>
  <c r="BM221" i="1" s="1"/>
  <c r="AU221" i="1"/>
  <c r="AT222" i="1"/>
  <c r="BM222" i="1" s="1"/>
  <c r="AU222" i="1"/>
  <c r="AT223" i="1"/>
  <c r="BM223" i="1" s="1"/>
  <c r="AU223" i="1"/>
  <c r="BN223" i="1" s="1"/>
  <c r="AT224" i="1"/>
  <c r="BM224" i="1" s="1"/>
  <c r="AU224" i="1"/>
  <c r="BN224" i="1" s="1"/>
  <c r="AT225" i="1"/>
  <c r="BM225" i="1" s="1"/>
  <c r="AU225" i="1"/>
  <c r="BN225" i="1" s="1"/>
  <c r="AT226" i="1"/>
  <c r="BM226" i="1" s="1"/>
  <c r="AU226" i="1"/>
  <c r="BN226" i="1" s="1"/>
  <c r="AT227" i="1"/>
  <c r="BM227" i="1" s="1"/>
  <c r="AU227" i="1"/>
  <c r="BN227" i="1" s="1"/>
  <c r="AT228" i="1"/>
  <c r="BM228" i="1" s="1"/>
  <c r="AU228" i="1"/>
  <c r="AT229" i="1"/>
  <c r="BM229" i="1" s="1"/>
  <c r="AU229" i="1"/>
  <c r="AT230" i="1"/>
  <c r="BM230" i="1" s="1"/>
  <c r="AU230" i="1"/>
  <c r="BN230" i="1" s="1"/>
  <c r="AT231" i="1"/>
  <c r="BM231" i="1" s="1"/>
  <c r="AU231" i="1"/>
  <c r="BN231" i="1" s="1"/>
  <c r="AT232" i="1"/>
  <c r="BM232" i="1" s="1"/>
  <c r="AU232" i="1"/>
  <c r="BN232" i="1" s="1"/>
  <c r="AT233" i="1"/>
  <c r="BM233" i="1" s="1"/>
  <c r="AU233" i="1"/>
  <c r="BN233" i="1" s="1"/>
  <c r="AT234" i="1"/>
  <c r="BM234" i="1" s="1"/>
  <c r="AU234" i="1"/>
  <c r="BN234" i="1" s="1"/>
  <c r="AT235" i="1"/>
  <c r="BM235" i="1" s="1"/>
  <c r="AU235" i="1"/>
  <c r="BN235" i="1" s="1"/>
  <c r="AT236" i="1"/>
  <c r="BM236" i="1" s="1"/>
  <c r="AU236" i="1"/>
  <c r="BN236" i="1" s="1"/>
  <c r="AT237" i="1"/>
  <c r="BM237" i="1" s="1"/>
  <c r="AU237" i="1"/>
  <c r="BN237" i="1" s="1"/>
  <c r="AT238" i="1"/>
  <c r="BM238" i="1" s="1"/>
  <c r="AU238" i="1"/>
  <c r="BN238" i="1" s="1"/>
  <c r="AT239" i="1"/>
  <c r="BM239" i="1" s="1"/>
  <c r="AU239" i="1"/>
  <c r="BN239" i="1" s="1"/>
  <c r="AT240" i="1"/>
  <c r="BM240" i="1" s="1"/>
  <c r="AU240" i="1"/>
  <c r="AT241" i="1"/>
  <c r="BM241" i="1" s="1"/>
  <c r="AU241" i="1"/>
  <c r="BN241" i="1" s="1"/>
  <c r="AT242" i="1"/>
  <c r="BM242" i="1" s="1"/>
  <c r="AU242" i="1"/>
  <c r="BN242" i="1" s="1"/>
  <c r="AT243" i="1"/>
  <c r="BM243" i="1" s="1"/>
  <c r="AU243" i="1"/>
  <c r="BN243" i="1" s="1"/>
  <c r="AT244" i="1"/>
  <c r="BM244" i="1" s="1"/>
  <c r="AU244" i="1"/>
  <c r="BN244" i="1" s="1"/>
  <c r="AT245" i="1"/>
  <c r="BM245" i="1" s="1"/>
  <c r="AU245" i="1"/>
  <c r="BN245" i="1" s="1"/>
  <c r="AT246" i="1"/>
  <c r="BM246" i="1" s="1"/>
  <c r="AU246" i="1"/>
  <c r="AT247" i="1"/>
  <c r="BM247" i="1" s="1"/>
  <c r="AU247" i="1"/>
  <c r="BN247" i="1" s="1"/>
  <c r="AT248" i="1"/>
  <c r="BM248" i="1" s="1"/>
  <c r="AU248" i="1"/>
  <c r="BN248" i="1" s="1"/>
  <c r="AT249" i="1"/>
  <c r="BM249" i="1" s="1"/>
  <c r="AU249" i="1"/>
  <c r="BN249" i="1" s="1"/>
  <c r="AT250" i="1"/>
  <c r="BM250" i="1" s="1"/>
  <c r="AU250" i="1"/>
  <c r="AT251" i="1"/>
  <c r="BM251" i="1" s="1"/>
  <c r="AU251" i="1"/>
  <c r="AT252" i="1"/>
  <c r="BM252" i="1" s="1"/>
  <c r="AU252" i="1"/>
  <c r="BN252" i="1" s="1"/>
  <c r="AT253" i="1"/>
  <c r="AU253" i="1"/>
  <c r="BN253" i="1" s="1"/>
  <c r="AT254" i="1"/>
  <c r="BM254" i="1" s="1"/>
  <c r="AU254" i="1"/>
  <c r="BN254" i="1" s="1"/>
  <c r="AT255" i="1"/>
  <c r="BM255" i="1" s="1"/>
  <c r="AU255" i="1"/>
  <c r="BN255" i="1" s="1"/>
  <c r="AT256" i="1"/>
  <c r="BM256" i="1" s="1"/>
  <c r="AU256" i="1"/>
  <c r="BN256" i="1" s="1"/>
  <c r="AT257" i="1"/>
  <c r="BM257" i="1" s="1"/>
  <c r="AU257" i="1"/>
  <c r="BN257" i="1" s="1"/>
  <c r="AT258" i="1"/>
  <c r="BM258" i="1" s="1"/>
  <c r="AU258" i="1"/>
  <c r="BN258" i="1" s="1"/>
  <c r="AT259" i="1"/>
  <c r="BM259" i="1" s="1"/>
  <c r="AU259" i="1"/>
  <c r="BN259" i="1" s="1"/>
  <c r="AT260" i="1"/>
  <c r="BM260" i="1" s="1"/>
  <c r="AU260" i="1"/>
  <c r="BN260" i="1" s="1"/>
  <c r="AT261" i="1"/>
  <c r="BM261" i="1" s="1"/>
  <c r="AU261" i="1"/>
  <c r="BN261" i="1" s="1"/>
  <c r="AT262" i="1"/>
  <c r="BM262" i="1" s="1"/>
  <c r="AU262" i="1"/>
  <c r="BN262" i="1" s="1"/>
  <c r="AT263" i="1"/>
  <c r="BM263" i="1" s="1"/>
  <c r="AU263" i="1"/>
  <c r="BN263" i="1" s="1"/>
  <c r="AT264" i="1"/>
  <c r="BM264" i="1" s="1"/>
  <c r="AU264" i="1"/>
  <c r="BN264" i="1" s="1"/>
  <c r="AT265" i="1"/>
  <c r="BM265" i="1" s="1"/>
  <c r="AU265" i="1"/>
  <c r="BN265" i="1" s="1"/>
  <c r="AT266" i="1"/>
  <c r="BM266" i="1" s="1"/>
  <c r="AU266" i="1"/>
  <c r="BN266" i="1" s="1"/>
  <c r="AT267" i="1"/>
  <c r="BM267" i="1" s="1"/>
  <c r="AU267" i="1"/>
  <c r="BN267" i="1" s="1"/>
  <c r="AT268" i="1"/>
  <c r="BM268" i="1" s="1"/>
  <c r="AU268" i="1"/>
  <c r="BN268" i="1" s="1"/>
  <c r="AT269" i="1"/>
  <c r="BM269" i="1" s="1"/>
  <c r="AU269" i="1"/>
  <c r="BN269" i="1" s="1"/>
  <c r="AT270" i="1"/>
  <c r="BM270" i="1" s="1"/>
  <c r="AU270" i="1"/>
  <c r="AT271" i="1"/>
  <c r="BM271" i="1" s="1"/>
  <c r="AU271" i="1"/>
  <c r="BN271" i="1" s="1"/>
  <c r="AT272" i="1"/>
  <c r="BM272" i="1" s="1"/>
  <c r="AU272" i="1"/>
  <c r="BN272" i="1" s="1"/>
  <c r="AT273" i="1"/>
  <c r="BM273" i="1" s="1"/>
  <c r="AU273" i="1"/>
  <c r="BN273" i="1" s="1"/>
  <c r="AT274" i="1"/>
  <c r="BM274" i="1" s="1"/>
  <c r="AU274" i="1"/>
  <c r="BN274" i="1" s="1"/>
  <c r="AT275" i="1"/>
  <c r="BM275" i="1" s="1"/>
  <c r="AU275" i="1"/>
  <c r="BN275" i="1" s="1"/>
  <c r="AT276" i="1"/>
  <c r="BM276" i="1" s="1"/>
  <c r="AU276" i="1"/>
  <c r="AT277" i="1"/>
  <c r="BM277" i="1" s="1"/>
  <c r="AU277" i="1"/>
  <c r="BN277" i="1" s="1"/>
  <c r="AT278" i="1"/>
  <c r="BM278" i="1" s="1"/>
  <c r="AU278" i="1"/>
  <c r="AT279" i="1"/>
  <c r="BM279" i="1" s="1"/>
  <c r="AU279" i="1"/>
  <c r="BN279" i="1" s="1"/>
  <c r="AT280" i="1"/>
  <c r="BM280" i="1" s="1"/>
  <c r="AU280" i="1"/>
  <c r="BN280" i="1" s="1"/>
  <c r="AT281" i="1"/>
  <c r="BM281" i="1" s="1"/>
  <c r="AU281" i="1"/>
  <c r="BN281" i="1" s="1"/>
  <c r="AT282" i="1"/>
  <c r="BM282" i="1" s="1"/>
  <c r="AU282" i="1"/>
  <c r="AT283" i="1"/>
  <c r="BM283" i="1" s="1"/>
  <c r="AU283" i="1"/>
  <c r="BN283" i="1" s="1"/>
  <c r="AT284" i="1"/>
  <c r="BM284" i="1" s="1"/>
  <c r="AU284" i="1"/>
  <c r="BN284" i="1" s="1"/>
  <c r="AT285" i="1"/>
  <c r="BM285" i="1" s="1"/>
  <c r="AU285" i="1"/>
  <c r="BN285" i="1" s="1"/>
  <c r="AT286" i="1"/>
  <c r="BM286" i="1" s="1"/>
  <c r="AU286" i="1"/>
  <c r="BN286" i="1" s="1"/>
  <c r="AT287" i="1"/>
  <c r="BM287" i="1" s="1"/>
  <c r="AU287" i="1"/>
  <c r="BN287" i="1" s="1"/>
  <c r="AT288" i="1"/>
  <c r="BM288" i="1" s="1"/>
  <c r="AU288" i="1"/>
  <c r="BN288" i="1" s="1"/>
  <c r="AT289" i="1"/>
  <c r="BM289" i="1" s="1"/>
  <c r="AU289" i="1"/>
  <c r="BN289" i="1" s="1"/>
  <c r="AT290" i="1"/>
  <c r="BM290" i="1" s="1"/>
  <c r="AU290" i="1"/>
  <c r="BN290" i="1" s="1"/>
  <c r="AT291" i="1"/>
  <c r="BM291" i="1" s="1"/>
  <c r="AU291" i="1"/>
  <c r="BN291" i="1" s="1"/>
  <c r="AT292" i="1"/>
  <c r="BM292" i="1" s="1"/>
  <c r="AU292" i="1"/>
  <c r="BN292" i="1" s="1"/>
  <c r="AT293" i="1"/>
  <c r="BM293" i="1" s="1"/>
  <c r="AU293" i="1"/>
  <c r="BN293" i="1" s="1"/>
  <c r="AT294" i="1"/>
  <c r="BM294" i="1" s="1"/>
  <c r="AU294" i="1"/>
  <c r="AT295" i="1"/>
  <c r="BM295" i="1" s="1"/>
  <c r="AU295" i="1"/>
  <c r="BN295" i="1" s="1"/>
  <c r="AT296" i="1"/>
  <c r="BM296" i="1" s="1"/>
  <c r="AU296" i="1"/>
  <c r="AT297" i="1"/>
  <c r="BM297" i="1" s="1"/>
  <c r="AU297" i="1"/>
  <c r="BN297" i="1" s="1"/>
  <c r="AT298" i="1"/>
  <c r="BM298" i="1" s="1"/>
  <c r="AU298" i="1"/>
  <c r="AT299" i="1"/>
  <c r="BM299" i="1" s="1"/>
  <c r="AU299" i="1"/>
  <c r="BN299" i="1" s="1"/>
  <c r="O4" i="1"/>
  <c r="AU4" i="1"/>
  <c r="AT4" i="1"/>
  <c r="BM4" i="1" s="1"/>
  <c r="AM5" i="1"/>
  <c r="BH5" i="1" s="1"/>
  <c r="AM6" i="1"/>
  <c r="BH6" i="1" s="1"/>
  <c r="AM7" i="1"/>
  <c r="BH7" i="1" s="1"/>
  <c r="AM8" i="1"/>
  <c r="BH8" i="1" s="1"/>
  <c r="AM9" i="1"/>
  <c r="BH9" i="1" s="1"/>
  <c r="AM10" i="1"/>
  <c r="BH10" i="1" s="1"/>
  <c r="AM11" i="1"/>
  <c r="BH11" i="1" s="1"/>
  <c r="AM12" i="1"/>
  <c r="BH12" i="1" s="1"/>
  <c r="AM13" i="1"/>
  <c r="BH13" i="1" s="1"/>
  <c r="AM14" i="1"/>
  <c r="BH14" i="1" s="1"/>
  <c r="AM15" i="1"/>
  <c r="BH15" i="1" s="1"/>
  <c r="AM16" i="1"/>
  <c r="BH16" i="1" s="1"/>
  <c r="AM17" i="1"/>
  <c r="BH17" i="1" s="1"/>
  <c r="AM18" i="1"/>
  <c r="BH18" i="1" s="1"/>
  <c r="AM19" i="1"/>
  <c r="BH19" i="1" s="1"/>
  <c r="AM20" i="1"/>
  <c r="BH20" i="1" s="1"/>
  <c r="AM21" i="1"/>
  <c r="BH21" i="1" s="1"/>
  <c r="AM22" i="1"/>
  <c r="BH22" i="1" s="1"/>
  <c r="AM23" i="1"/>
  <c r="BH23" i="1" s="1"/>
  <c r="AM24" i="1"/>
  <c r="BH24" i="1" s="1"/>
  <c r="AM25" i="1"/>
  <c r="BH25" i="1" s="1"/>
  <c r="AM26" i="1"/>
  <c r="BH26" i="1" s="1"/>
  <c r="AM27" i="1"/>
  <c r="BH27" i="1" s="1"/>
  <c r="AM28" i="1"/>
  <c r="BH28" i="1" s="1"/>
  <c r="AM29" i="1"/>
  <c r="BH29" i="1" s="1"/>
  <c r="AM30" i="1"/>
  <c r="BH30" i="1" s="1"/>
  <c r="AM31" i="1"/>
  <c r="BH31" i="1" s="1"/>
  <c r="AM32" i="1"/>
  <c r="BH32" i="1" s="1"/>
  <c r="AM33" i="1"/>
  <c r="BH33" i="1" s="1"/>
  <c r="AM34" i="1"/>
  <c r="BH34" i="1" s="1"/>
  <c r="AM35" i="1"/>
  <c r="BH35" i="1" s="1"/>
  <c r="AM36" i="1"/>
  <c r="BH36" i="1" s="1"/>
  <c r="AM37" i="1"/>
  <c r="BH37" i="1" s="1"/>
  <c r="AM38" i="1"/>
  <c r="BH38" i="1" s="1"/>
  <c r="AM39" i="1"/>
  <c r="BH39" i="1" s="1"/>
  <c r="AM40" i="1"/>
  <c r="BH40" i="1" s="1"/>
  <c r="AM41" i="1"/>
  <c r="BH41" i="1" s="1"/>
  <c r="AM42" i="1"/>
  <c r="BH42" i="1" s="1"/>
  <c r="AM43" i="1"/>
  <c r="BH43" i="1" s="1"/>
  <c r="AM44" i="1"/>
  <c r="BH44" i="1" s="1"/>
  <c r="AM45" i="1"/>
  <c r="BH45" i="1" s="1"/>
  <c r="AM46" i="1"/>
  <c r="BH46" i="1" s="1"/>
  <c r="AM47" i="1"/>
  <c r="BH47" i="1" s="1"/>
  <c r="AM48" i="1"/>
  <c r="BH48" i="1" s="1"/>
  <c r="AM49" i="1"/>
  <c r="BH49" i="1" s="1"/>
  <c r="AM50" i="1"/>
  <c r="BH50" i="1" s="1"/>
  <c r="AM51" i="1"/>
  <c r="BH51" i="1" s="1"/>
  <c r="AM52" i="1"/>
  <c r="BH52" i="1" s="1"/>
  <c r="AM53" i="1"/>
  <c r="BH53" i="1" s="1"/>
  <c r="AM54" i="1"/>
  <c r="BH54" i="1" s="1"/>
  <c r="AM55" i="1"/>
  <c r="BH55" i="1" s="1"/>
  <c r="AM56" i="1"/>
  <c r="BH56" i="1" s="1"/>
  <c r="AM57" i="1"/>
  <c r="BH57" i="1" s="1"/>
  <c r="AM58" i="1"/>
  <c r="BH58" i="1" s="1"/>
  <c r="AM59" i="1"/>
  <c r="BH59" i="1" s="1"/>
  <c r="AM60" i="1"/>
  <c r="BH60" i="1" s="1"/>
  <c r="AM61" i="1"/>
  <c r="BH61" i="1" s="1"/>
  <c r="AM62" i="1"/>
  <c r="BH62" i="1" s="1"/>
  <c r="AM63" i="1"/>
  <c r="BH63" i="1" s="1"/>
  <c r="AM64" i="1"/>
  <c r="BH64" i="1" s="1"/>
  <c r="AM65" i="1"/>
  <c r="BH65" i="1" s="1"/>
  <c r="AM66" i="1"/>
  <c r="BH66" i="1" s="1"/>
  <c r="AM67" i="1"/>
  <c r="BH67" i="1" s="1"/>
  <c r="AM68" i="1"/>
  <c r="BH68" i="1" s="1"/>
  <c r="AM69" i="1"/>
  <c r="BH69" i="1" s="1"/>
  <c r="AM70" i="1"/>
  <c r="BH70" i="1" s="1"/>
  <c r="AM71" i="1"/>
  <c r="BH71" i="1" s="1"/>
  <c r="AM72" i="1"/>
  <c r="BH72" i="1" s="1"/>
  <c r="AM73" i="1"/>
  <c r="BH73" i="1" s="1"/>
  <c r="AM74" i="1"/>
  <c r="BH74" i="1" s="1"/>
  <c r="AM75" i="1"/>
  <c r="BH75" i="1" s="1"/>
  <c r="AM76" i="1"/>
  <c r="BH76" i="1" s="1"/>
  <c r="AM77" i="1"/>
  <c r="BH77" i="1" s="1"/>
  <c r="AM78" i="1"/>
  <c r="BH78" i="1" s="1"/>
  <c r="AM79" i="1"/>
  <c r="BH79" i="1" s="1"/>
  <c r="AM80" i="1"/>
  <c r="BH80" i="1" s="1"/>
  <c r="AM81" i="1"/>
  <c r="BH81" i="1" s="1"/>
  <c r="AM82" i="1"/>
  <c r="BH82" i="1" s="1"/>
  <c r="AM83" i="1"/>
  <c r="BH83" i="1" s="1"/>
  <c r="AM84" i="1"/>
  <c r="BH84" i="1" s="1"/>
  <c r="AM85" i="1"/>
  <c r="BH85" i="1" s="1"/>
  <c r="AM86" i="1"/>
  <c r="BH86" i="1" s="1"/>
  <c r="AM87" i="1"/>
  <c r="BH87" i="1" s="1"/>
  <c r="AM88" i="1"/>
  <c r="BH88" i="1" s="1"/>
  <c r="AM89" i="1"/>
  <c r="BH89" i="1" s="1"/>
  <c r="AM90" i="1"/>
  <c r="BH90" i="1" s="1"/>
  <c r="AM91" i="1"/>
  <c r="BH91" i="1" s="1"/>
  <c r="AM92" i="1"/>
  <c r="BH92" i="1" s="1"/>
  <c r="AM93" i="1"/>
  <c r="BH93" i="1" s="1"/>
  <c r="AM94" i="1"/>
  <c r="BH94" i="1" s="1"/>
  <c r="AM95" i="1"/>
  <c r="BH95" i="1" s="1"/>
  <c r="AM96" i="1"/>
  <c r="BH96" i="1" s="1"/>
  <c r="AM97" i="1"/>
  <c r="BH97" i="1" s="1"/>
  <c r="AM98" i="1"/>
  <c r="BH98" i="1" s="1"/>
  <c r="AM99" i="1"/>
  <c r="BH99" i="1" s="1"/>
  <c r="AM100" i="1"/>
  <c r="BH100" i="1" s="1"/>
  <c r="AM101" i="1"/>
  <c r="BH101" i="1" s="1"/>
  <c r="AM102" i="1"/>
  <c r="BH102" i="1" s="1"/>
  <c r="AM103" i="1"/>
  <c r="BH103" i="1" s="1"/>
  <c r="AM104" i="1"/>
  <c r="BH104" i="1" s="1"/>
  <c r="AM105" i="1"/>
  <c r="BH105" i="1" s="1"/>
  <c r="AM106" i="1"/>
  <c r="BH106" i="1" s="1"/>
  <c r="AM107" i="1"/>
  <c r="BH107" i="1" s="1"/>
  <c r="AM108" i="1"/>
  <c r="BH108" i="1" s="1"/>
  <c r="AM109" i="1"/>
  <c r="BH109" i="1" s="1"/>
  <c r="AM110" i="1"/>
  <c r="BH110" i="1" s="1"/>
  <c r="AM111" i="1"/>
  <c r="BH111" i="1" s="1"/>
  <c r="AM112" i="1"/>
  <c r="BH112" i="1" s="1"/>
  <c r="AM113" i="1"/>
  <c r="BH113" i="1" s="1"/>
  <c r="AM114" i="1"/>
  <c r="BH114" i="1" s="1"/>
  <c r="AM115" i="1"/>
  <c r="BH115" i="1" s="1"/>
  <c r="AM116" i="1"/>
  <c r="BH116" i="1" s="1"/>
  <c r="AM117" i="1"/>
  <c r="BH117" i="1" s="1"/>
  <c r="AM118" i="1"/>
  <c r="BH118" i="1" s="1"/>
  <c r="AM119" i="1"/>
  <c r="BH119" i="1" s="1"/>
  <c r="AM120" i="1"/>
  <c r="BH120" i="1" s="1"/>
  <c r="AM121" i="1"/>
  <c r="BH121" i="1" s="1"/>
  <c r="AM122" i="1"/>
  <c r="BH122" i="1" s="1"/>
  <c r="AM123" i="1"/>
  <c r="BH123" i="1" s="1"/>
  <c r="AM124" i="1"/>
  <c r="BH124" i="1" s="1"/>
  <c r="AM125" i="1"/>
  <c r="BH125" i="1" s="1"/>
  <c r="AM126" i="1"/>
  <c r="BH126" i="1" s="1"/>
  <c r="AM127" i="1"/>
  <c r="BH127" i="1" s="1"/>
  <c r="AM128" i="1"/>
  <c r="BH128" i="1" s="1"/>
  <c r="AM129" i="1"/>
  <c r="BH129" i="1" s="1"/>
  <c r="AM130" i="1"/>
  <c r="BH130" i="1" s="1"/>
  <c r="AM131" i="1"/>
  <c r="BH131" i="1" s="1"/>
  <c r="AM132" i="1"/>
  <c r="BH132" i="1" s="1"/>
  <c r="AM133" i="1"/>
  <c r="BH133" i="1" s="1"/>
  <c r="AM134" i="1"/>
  <c r="BH134" i="1" s="1"/>
  <c r="AM135" i="1"/>
  <c r="BH135" i="1" s="1"/>
  <c r="AM136" i="1"/>
  <c r="BH136" i="1" s="1"/>
  <c r="AM137" i="1"/>
  <c r="BH137" i="1" s="1"/>
  <c r="AM138" i="1"/>
  <c r="BH138" i="1" s="1"/>
  <c r="AM139" i="1"/>
  <c r="BH139" i="1" s="1"/>
  <c r="AM140" i="1"/>
  <c r="BH140" i="1" s="1"/>
  <c r="AM141" i="1"/>
  <c r="BH141" i="1" s="1"/>
  <c r="AM142" i="1"/>
  <c r="BH142" i="1" s="1"/>
  <c r="AM143" i="1"/>
  <c r="BH143" i="1" s="1"/>
  <c r="AM144" i="1"/>
  <c r="BH144" i="1" s="1"/>
  <c r="AM145" i="1"/>
  <c r="BH145" i="1" s="1"/>
  <c r="AM146" i="1"/>
  <c r="BH146" i="1" s="1"/>
  <c r="AM147" i="1"/>
  <c r="BH147" i="1" s="1"/>
  <c r="AM148" i="1"/>
  <c r="BH148" i="1" s="1"/>
  <c r="AM149" i="1"/>
  <c r="BH149" i="1" s="1"/>
  <c r="AM150" i="1"/>
  <c r="BH150" i="1" s="1"/>
  <c r="AM151" i="1"/>
  <c r="BH151" i="1" s="1"/>
  <c r="AM152" i="1"/>
  <c r="BH152" i="1" s="1"/>
  <c r="AM153" i="1"/>
  <c r="BH153" i="1" s="1"/>
  <c r="AM154" i="1"/>
  <c r="BH154" i="1" s="1"/>
  <c r="AM155" i="1"/>
  <c r="BH155" i="1" s="1"/>
  <c r="AM156" i="1"/>
  <c r="BH156" i="1" s="1"/>
  <c r="AM157" i="1"/>
  <c r="BH157" i="1" s="1"/>
  <c r="AM158" i="1"/>
  <c r="BH158" i="1" s="1"/>
  <c r="AM159" i="1"/>
  <c r="BH159" i="1" s="1"/>
  <c r="AM160" i="1"/>
  <c r="BH160" i="1" s="1"/>
  <c r="AM161" i="1"/>
  <c r="BH161" i="1" s="1"/>
  <c r="AM162" i="1"/>
  <c r="BH162" i="1" s="1"/>
  <c r="AM163" i="1"/>
  <c r="BH163" i="1" s="1"/>
  <c r="AM164" i="1"/>
  <c r="BH164" i="1" s="1"/>
  <c r="AM165" i="1"/>
  <c r="BH165" i="1" s="1"/>
  <c r="AM166" i="1"/>
  <c r="BH166" i="1" s="1"/>
  <c r="AM167" i="1"/>
  <c r="BH167" i="1" s="1"/>
  <c r="AM168" i="1"/>
  <c r="BH168" i="1" s="1"/>
  <c r="AM169" i="1"/>
  <c r="BH169" i="1" s="1"/>
  <c r="AM170" i="1"/>
  <c r="BH170" i="1" s="1"/>
  <c r="AM171" i="1"/>
  <c r="BH171" i="1" s="1"/>
  <c r="AM172" i="1"/>
  <c r="BH172" i="1" s="1"/>
  <c r="AM173" i="1"/>
  <c r="BH173" i="1" s="1"/>
  <c r="AM174" i="1"/>
  <c r="BH174" i="1" s="1"/>
  <c r="AM175" i="1"/>
  <c r="BH175" i="1" s="1"/>
  <c r="AM176" i="1"/>
  <c r="BH176" i="1" s="1"/>
  <c r="AM177" i="1"/>
  <c r="BH177" i="1" s="1"/>
  <c r="AM178" i="1"/>
  <c r="BH178" i="1" s="1"/>
  <c r="AM179" i="1"/>
  <c r="BH179" i="1" s="1"/>
  <c r="AM180" i="1"/>
  <c r="BH180" i="1" s="1"/>
  <c r="AM181" i="1"/>
  <c r="BH181" i="1" s="1"/>
  <c r="AM182" i="1"/>
  <c r="BH182" i="1" s="1"/>
  <c r="AM183" i="1"/>
  <c r="BH183" i="1" s="1"/>
  <c r="AM184" i="1"/>
  <c r="BH184" i="1" s="1"/>
  <c r="AM185" i="1"/>
  <c r="BH185" i="1" s="1"/>
  <c r="AM186" i="1"/>
  <c r="BH186" i="1" s="1"/>
  <c r="AM187" i="1"/>
  <c r="BH187" i="1" s="1"/>
  <c r="AM188" i="1"/>
  <c r="BH188" i="1" s="1"/>
  <c r="AM189" i="1"/>
  <c r="BH189" i="1" s="1"/>
  <c r="AM190" i="1"/>
  <c r="BH190" i="1" s="1"/>
  <c r="AM191" i="1"/>
  <c r="BH191" i="1" s="1"/>
  <c r="AM192" i="1"/>
  <c r="BH192" i="1" s="1"/>
  <c r="AM193" i="1"/>
  <c r="BH193" i="1" s="1"/>
  <c r="AM194" i="1"/>
  <c r="BH194" i="1" s="1"/>
  <c r="AM195" i="1"/>
  <c r="BH195" i="1" s="1"/>
  <c r="AM196" i="1"/>
  <c r="BH196" i="1" s="1"/>
  <c r="AM197" i="1"/>
  <c r="BH197" i="1" s="1"/>
  <c r="AM198" i="1"/>
  <c r="BH198" i="1" s="1"/>
  <c r="AM199" i="1"/>
  <c r="BH199" i="1" s="1"/>
  <c r="AM200" i="1"/>
  <c r="BH200" i="1" s="1"/>
  <c r="AM201" i="1"/>
  <c r="BH201" i="1" s="1"/>
  <c r="AM202" i="1"/>
  <c r="BH202" i="1" s="1"/>
  <c r="AM203" i="1"/>
  <c r="BH203" i="1" s="1"/>
  <c r="AM204" i="1"/>
  <c r="BH204" i="1" s="1"/>
  <c r="AM205" i="1"/>
  <c r="BH205" i="1" s="1"/>
  <c r="AM206" i="1"/>
  <c r="BH206" i="1" s="1"/>
  <c r="AM207" i="1"/>
  <c r="BH207" i="1" s="1"/>
  <c r="AM208" i="1"/>
  <c r="BH208" i="1" s="1"/>
  <c r="AM209" i="1"/>
  <c r="BH209" i="1" s="1"/>
  <c r="AM210" i="1"/>
  <c r="BH210" i="1" s="1"/>
  <c r="AM211" i="1"/>
  <c r="BH211" i="1" s="1"/>
  <c r="AM212" i="1"/>
  <c r="BH212" i="1" s="1"/>
  <c r="AM213" i="1"/>
  <c r="BH213" i="1" s="1"/>
  <c r="AM214" i="1"/>
  <c r="BH214" i="1" s="1"/>
  <c r="AM215" i="1"/>
  <c r="BH215" i="1" s="1"/>
  <c r="AM216" i="1"/>
  <c r="BH216" i="1" s="1"/>
  <c r="AM217" i="1"/>
  <c r="BH217" i="1" s="1"/>
  <c r="AM218" i="1"/>
  <c r="BH218" i="1" s="1"/>
  <c r="AM219" i="1"/>
  <c r="BH219" i="1" s="1"/>
  <c r="AM220" i="1"/>
  <c r="BH220" i="1" s="1"/>
  <c r="AM221" i="1"/>
  <c r="BH221" i="1" s="1"/>
  <c r="AM222" i="1"/>
  <c r="BH222" i="1" s="1"/>
  <c r="AM223" i="1"/>
  <c r="BH223" i="1" s="1"/>
  <c r="AM224" i="1"/>
  <c r="BH224" i="1" s="1"/>
  <c r="AM225" i="1"/>
  <c r="BH225" i="1" s="1"/>
  <c r="AM226" i="1"/>
  <c r="BH226" i="1" s="1"/>
  <c r="AM227" i="1"/>
  <c r="BH227" i="1" s="1"/>
  <c r="AM228" i="1"/>
  <c r="BH228" i="1" s="1"/>
  <c r="AM229" i="1"/>
  <c r="BH229" i="1" s="1"/>
  <c r="AM230" i="1"/>
  <c r="BH230" i="1" s="1"/>
  <c r="AM231" i="1"/>
  <c r="BH231" i="1" s="1"/>
  <c r="AM232" i="1"/>
  <c r="BH232" i="1" s="1"/>
  <c r="AM233" i="1"/>
  <c r="BH233" i="1" s="1"/>
  <c r="AM234" i="1"/>
  <c r="BH234" i="1" s="1"/>
  <c r="AM235" i="1"/>
  <c r="BH235" i="1" s="1"/>
  <c r="AM236" i="1"/>
  <c r="BH236" i="1" s="1"/>
  <c r="AM237" i="1"/>
  <c r="BH237" i="1" s="1"/>
  <c r="AM238" i="1"/>
  <c r="BH238" i="1" s="1"/>
  <c r="AM239" i="1"/>
  <c r="BH239" i="1" s="1"/>
  <c r="AM240" i="1"/>
  <c r="BH240" i="1" s="1"/>
  <c r="AM241" i="1"/>
  <c r="BH241" i="1" s="1"/>
  <c r="AM242" i="1"/>
  <c r="BH242" i="1" s="1"/>
  <c r="AM243" i="1"/>
  <c r="BH243" i="1" s="1"/>
  <c r="AM244" i="1"/>
  <c r="BH244" i="1" s="1"/>
  <c r="AM245" i="1"/>
  <c r="BH245" i="1" s="1"/>
  <c r="AM246" i="1"/>
  <c r="BH246" i="1" s="1"/>
  <c r="AM247" i="1"/>
  <c r="BH247" i="1" s="1"/>
  <c r="AM248" i="1"/>
  <c r="BH248" i="1" s="1"/>
  <c r="AM249" i="1"/>
  <c r="BH249" i="1" s="1"/>
  <c r="AM250" i="1"/>
  <c r="BH250" i="1" s="1"/>
  <c r="AM251" i="1"/>
  <c r="BH251" i="1" s="1"/>
  <c r="AM252" i="1"/>
  <c r="BH252" i="1" s="1"/>
  <c r="AM253" i="1"/>
  <c r="BH253" i="1" s="1"/>
  <c r="AM254" i="1"/>
  <c r="BH254" i="1" s="1"/>
  <c r="AM255" i="1"/>
  <c r="BH255" i="1" s="1"/>
  <c r="AM256" i="1"/>
  <c r="BH256" i="1" s="1"/>
  <c r="AM257" i="1"/>
  <c r="BH257" i="1" s="1"/>
  <c r="AM258" i="1"/>
  <c r="BH258" i="1" s="1"/>
  <c r="AM259" i="1"/>
  <c r="BH259" i="1" s="1"/>
  <c r="AM260" i="1"/>
  <c r="BH260" i="1" s="1"/>
  <c r="AM261" i="1"/>
  <c r="BH261" i="1" s="1"/>
  <c r="AM262" i="1"/>
  <c r="BH262" i="1" s="1"/>
  <c r="AM263" i="1"/>
  <c r="BH263" i="1" s="1"/>
  <c r="AM264" i="1"/>
  <c r="BH264" i="1" s="1"/>
  <c r="AM265" i="1"/>
  <c r="BH265" i="1" s="1"/>
  <c r="AM266" i="1"/>
  <c r="BH266" i="1" s="1"/>
  <c r="AM267" i="1"/>
  <c r="BH267" i="1" s="1"/>
  <c r="AM268" i="1"/>
  <c r="BH268" i="1" s="1"/>
  <c r="AM269" i="1"/>
  <c r="BH269" i="1" s="1"/>
  <c r="AM270" i="1"/>
  <c r="BH270" i="1" s="1"/>
  <c r="AM271" i="1"/>
  <c r="BH271" i="1" s="1"/>
  <c r="AM272" i="1"/>
  <c r="BH272" i="1" s="1"/>
  <c r="AM273" i="1"/>
  <c r="BH273" i="1" s="1"/>
  <c r="AM274" i="1"/>
  <c r="BH274" i="1" s="1"/>
  <c r="AM275" i="1"/>
  <c r="BH275" i="1" s="1"/>
  <c r="AM276" i="1"/>
  <c r="BH276" i="1" s="1"/>
  <c r="AM277" i="1"/>
  <c r="BH277" i="1" s="1"/>
  <c r="AM278" i="1"/>
  <c r="BH278" i="1" s="1"/>
  <c r="AM279" i="1"/>
  <c r="BH279" i="1" s="1"/>
  <c r="AM280" i="1"/>
  <c r="BH280" i="1" s="1"/>
  <c r="AM281" i="1"/>
  <c r="BH281" i="1" s="1"/>
  <c r="AM282" i="1"/>
  <c r="BH282" i="1" s="1"/>
  <c r="AM283" i="1"/>
  <c r="BH283" i="1" s="1"/>
  <c r="AM284" i="1"/>
  <c r="BH284" i="1" s="1"/>
  <c r="AM285" i="1"/>
  <c r="BH285" i="1" s="1"/>
  <c r="AM286" i="1"/>
  <c r="BH286" i="1" s="1"/>
  <c r="AM287" i="1"/>
  <c r="BH287" i="1" s="1"/>
  <c r="AM288" i="1"/>
  <c r="BH288" i="1" s="1"/>
  <c r="AM289" i="1"/>
  <c r="BH289" i="1" s="1"/>
  <c r="AM290" i="1"/>
  <c r="BH290" i="1" s="1"/>
  <c r="AM291" i="1"/>
  <c r="BH291" i="1" s="1"/>
  <c r="AM292" i="1"/>
  <c r="BH292" i="1" s="1"/>
  <c r="AM293" i="1"/>
  <c r="BH293" i="1" s="1"/>
  <c r="AM294" i="1"/>
  <c r="BH294" i="1" s="1"/>
  <c r="AM295" i="1"/>
  <c r="BH295" i="1" s="1"/>
  <c r="AM296" i="1"/>
  <c r="BH296" i="1" s="1"/>
  <c r="AM297" i="1"/>
  <c r="BH297" i="1" s="1"/>
  <c r="AM298" i="1"/>
  <c r="BH298" i="1" s="1"/>
  <c r="AM299" i="1"/>
  <c r="BH299" i="1" s="1"/>
  <c r="AM4" i="1"/>
  <c r="BH4" i="1" s="1"/>
  <c r="AN5" i="1"/>
  <c r="BI5" i="1" s="1"/>
  <c r="AN6" i="1"/>
  <c r="BI6" i="1" s="1"/>
  <c r="AN7" i="1"/>
  <c r="BI7" i="1" s="1"/>
  <c r="AN8" i="1"/>
  <c r="BI8" i="1" s="1"/>
  <c r="AN9" i="1"/>
  <c r="BI9" i="1" s="1"/>
  <c r="AN10" i="1"/>
  <c r="BI10" i="1" s="1"/>
  <c r="AN11" i="1"/>
  <c r="BI11" i="1" s="1"/>
  <c r="AN12" i="1"/>
  <c r="BI12" i="1" s="1"/>
  <c r="AN13" i="1"/>
  <c r="BI13" i="1" s="1"/>
  <c r="AN14" i="1"/>
  <c r="BI14" i="1" s="1"/>
  <c r="AN15" i="1"/>
  <c r="BI15" i="1" s="1"/>
  <c r="AN16" i="1"/>
  <c r="BI16" i="1" s="1"/>
  <c r="AN17" i="1"/>
  <c r="BI17" i="1" s="1"/>
  <c r="AN18" i="1"/>
  <c r="BI18" i="1" s="1"/>
  <c r="AN19" i="1"/>
  <c r="BI19" i="1" s="1"/>
  <c r="AN20" i="1"/>
  <c r="BI20" i="1" s="1"/>
  <c r="AN21" i="1"/>
  <c r="BI21" i="1" s="1"/>
  <c r="AN22" i="1"/>
  <c r="BI22" i="1" s="1"/>
  <c r="AN23" i="1"/>
  <c r="BI23" i="1" s="1"/>
  <c r="AN24" i="1"/>
  <c r="BI24" i="1" s="1"/>
  <c r="AN25" i="1"/>
  <c r="BI25" i="1" s="1"/>
  <c r="AN26" i="1"/>
  <c r="BI26" i="1" s="1"/>
  <c r="AN27" i="1"/>
  <c r="BI27" i="1" s="1"/>
  <c r="AN28" i="1"/>
  <c r="BI28" i="1" s="1"/>
  <c r="AN29" i="1"/>
  <c r="BI29" i="1" s="1"/>
  <c r="AN30" i="1"/>
  <c r="BI30" i="1" s="1"/>
  <c r="AN31" i="1"/>
  <c r="BI31" i="1" s="1"/>
  <c r="AN32" i="1"/>
  <c r="BI32" i="1" s="1"/>
  <c r="AN33" i="1"/>
  <c r="BI33" i="1" s="1"/>
  <c r="AN34" i="1"/>
  <c r="BI34" i="1" s="1"/>
  <c r="AN35" i="1"/>
  <c r="BI35" i="1" s="1"/>
  <c r="AN36" i="1"/>
  <c r="BI36" i="1" s="1"/>
  <c r="AN37" i="1"/>
  <c r="BI37" i="1" s="1"/>
  <c r="AN38" i="1"/>
  <c r="BI38" i="1" s="1"/>
  <c r="AN39" i="1"/>
  <c r="BI39" i="1" s="1"/>
  <c r="AN40" i="1"/>
  <c r="BI40" i="1" s="1"/>
  <c r="AN41" i="1"/>
  <c r="BI41" i="1" s="1"/>
  <c r="AN42" i="1"/>
  <c r="BI42" i="1" s="1"/>
  <c r="AN43" i="1"/>
  <c r="BI43" i="1" s="1"/>
  <c r="AN44" i="1"/>
  <c r="BI44" i="1" s="1"/>
  <c r="AN45" i="1"/>
  <c r="BI45" i="1" s="1"/>
  <c r="AN46" i="1"/>
  <c r="BI46" i="1" s="1"/>
  <c r="AN47" i="1"/>
  <c r="BI47" i="1" s="1"/>
  <c r="AN48" i="1"/>
  <c r="BI48" i="1" s="1"/>
  <c r="AN49" i="1"/>
  <c r="BI49" i="1" s="1"/>
  <c r="AN50" i="1"/>
  <c r="BI50" i="1" s="1"/>
  <c r="AN51" i="1"/>
  <c r="BI51" i="1" s="1"/>
  <c r="AN52" i="1"/>
  <c r="BI52" i="1" s="1"/>
  <c r="AN53" i="1"/>
  <c r="BI53" i="1" s="1"/>
  <c r="AN54" i="1"/>
  <c r="BI54" i="1" s="1"/>
  <c r="AN55" i="1"/>
  <c r="BI55" i="1" s="1"/>
  <c r="AN56" i="1"/>
  <c r="BI56" i="1" s="1"/>
  <c r="AN57" i="1"/>
  <c r="BI57" i="1" s="1"/>
  <c r="AN58" i="1"/>
  <c r="BI58" i="1" s="1"/>
  <c r="AN59" i="1"/>
  <c r="BI59" i="1" s="1"/>
  <c r="AN60" i="1"/>
  <c r="BI60" i="1" s="1"/>
  <c r="AN61" i="1"/>
  <c r="BI61" i="1" s="1"/>
  <c r="AN62" i="1"/>
  <c r="BI62" i="1" s="1"/>
  <c r="AN63" i="1"/>
  <c r="BI63" i="1" s="1"/>
  <c r="AN64" i="1"/>
  <c r="BI64" i="1" s="1"/>
  <c r="AN65" i="1"/>
  <c r="BI65" i="1" s="1"/>
  <c r="AN66" i="1"/>
  <c r="BI66" i="1" s="1"/>
  <c r="AN67" i="1"/>
  <c r="BI67" i="1" s="1"/>
  <c r="AN68" i="1"/>
  <c r="BI68" i="1" s="1"/>
  <c r="AN69" i="1"/>
  <c r="BI69" i="1" s="1"/>
  <c r="AN70" i="1"/>
  <c r="BI70" i="1" s="1"/>
  <c r="AN71" i="1"/>
  <c r="BI71" i="1" s="1"/>
  <c r="AN72" i="1"/>
  <c r="BI72" i="1" s="1"/>
  <c r="AN73" i="1"/>
  <c r="BI73" i="1" s="1"/>
  <c r="AN74" i="1"/>
  <c r="BI74" i="1" s="1"/>
  <c r="AN75" i="1"/>
  <c r="BI75" i="1" s="1"/>
  <c r="AN76" i="1"/>
  <c r="BI76" i="1" s="1"/>
  <c r="AN77" i="1"/>
  <c r="BI77" i="1" s="1"/>
  <c r="AN78" i="1"/>
  <c r="BI78" i="1" s="1"/>
  <c r="AN79" i="1"/>
  <c r="BI79" i="1" s="1"/>
  <c r="AN80" i="1"/>
  <c r="BI80" i="1" s="1"/>
  <c r="AN81" i="1"/>
  <c r="BI81" i="1" s="1"/>
  <c r="AN82" i="1"/>
  <c r="BI82" i="1" s="1"/>
  <c r="AN83" i="1"/>
  <c r="BI83" i="1" s="1"/>
  <c r="AN84" i="1"/>
  <c r="BI84" i="1" s="1"/>
  <c r="AN85" i="1"/>
  <c r="BI85" i="1" s="1"/>
  <c r="AN86" i="1"/>
  <c r="BI86" i="1" s="1"/>
  <c r="AN87" i="1"/>
  <c r="BI87" i="1" s="1"/>
  <c r="AN88" i="1"/>
  <c r="BI88" i="1" s="1"/>
  <c r="AN89" i="1"/>
  <c r="BI89" i="1" s="1"/>
  <c r="AN90" i="1"/>
  <c r="BI90" i="1" s="1"/>
  <c r="AN91" i="1"/>
  <c r="BI91" i="1" s="1"/>
  <c r="AN92" i="1"/>
  <c r="BI92" i="1" s="1"/>
  <c r="AN93" i="1"/>
  <c r="BI93" i="1" s="1"/>
  <c r="AN94" i="1"/>
  <c r="BI94" i="1" s="1"/>
  <c r="AN95" i="1"/>
  <c r="BI95" i="1" s="1"/>
  <c r="AN96" i="1"/>
  <c r="BI96" i="1" s="1"/>
  <c r="AN97" i="1"/>
  <c r="BI97" i="1" s="1"/>
  <c r="AN98" i="1"/>
  <c r="BI98" i="1" s="1"/>
  <c r="AN99" i="1"/>
  <c r="BI99" i="1" s="1"/>
  <c r="AN100" i="1"/>
  <c r="BI100" i="1" s="1"/>
  <c r="AN101" i="1"/>
  <c r="BI101" i="1" s="1"/>
  <c r="AN102" i="1"/>
  <c r="BI102" i="1" s="1"/>
  <c r="AN103" i="1"/>
  <c r="BI103" i="1" s="1"/>
  <c r="AN104" i="1"/>
  <c r="BI104" i="1" s="1"/>
  <c r="AN105" i="1"/>
  <c r="BI105" i="1" s="1"/>
  <c r="AN106" i="1"/>
  <c r="BI106" i="1" s="1"/>
  <c r="AN107" i="1"/>
  <c r="BI107" i="1" s="1"/>
  <c r="AN108" i="1"/>
  <c r="BI108" i="1" s="1"/>
  <c r="AN109" i="1"/>
  <c r="BI109" i="1" s="1"/>
  <c r="AN110" i="1"/>
  <c r="BI110" i="1" s="1"/>
  <c r="AN111" i="1"/>
  <c r="BI111" i="1" s="1"/>
  <c r="AN112" i="1"/>
  <c r="BI112" i="1" s="1"/>
  <c r="AN113" i="1"/>
  <c r="BI113" i="1" s="1"/>
  <c r="AN114" i="1"/>
  <c r="BI114" i="1" s="1"/>
  <c r="AN115" i="1"/>
  <c r="BI115" i="1" s="1"/>
  <c r="AN116" i="1"/>
  <c r="BI116" i="1" s="1"/>
  <c r="AN117" i="1"/>
  <c r="BI117" i="1" s="1"/>
  <c r="AN118" i="1"/>
  <c r="BI118" i="1" s="1"/>
  <c r="AN119" i="1"/>
  <c r="BI119" i="1" s="1"/>
  <c r="AN120" i="1"/>
  <c r="BI120" i="1" s="1"/>
  <c r="AN121" i="1"/>
  <c r="BI121" i="1" s="1"/>
  <c r="AN122" i="1"/>
  <c r="BI122" i="1" s="1"/>
  <c r="AN123" i="1"/>
  <c r="BI123" i="1" s="1"/>
  <c r="AN124" i="1"/>
  <c r="BI124" i="1" s="1"/>
  <c r="AN125" i="1"/>
  <c r="BI125" i="1" s="1"/>
  <c r="AN126" i="1"/>
  <c r="BI126" i="1" s="1"/>
  <c r="AN127" i="1"/>
  <c r="BI127" i="1" s="1"/>
  <c r="AN128" i="1"/>
  <c r="BI128" i="1" s="1"/>
  <c r="AN129" i="1"/>
  <c r="BI129" i="1" s="1"/>
  <c r="AN130" i="1"/>
  <c r="BI130" i="1" s="1"/>
  <c r="AN131" i="1"/>
  <c r="BI131" i="1" s="1"/>
  <c r="AN132" i="1"/>
  <c r="BI132" i="1" s="1"/>
  <c r="AN133" i="1"/>
  <c r="BI133" i="1" s="1"/>
  <c r="AN134" i="1"/>
  <c r="BI134" i="1" s="1"/>
  <c r="AN135" i="1"/>
  <c r="BI135" i="1" s="1"/>
  <c r="AN136" i="1"/>
  <c r="BI136" i="1" s="1"/>
  <c r="AN137" i="1"/>
  <c r="BI137" i="1" s="1"/>
  <c r="AN138" i="1"/>
  <c r="BI138" i="1" s="1"/>
  <c r="AN139" i="1"/>
  <c r="BI139" i="1" s="1"/>
  <c r="AN140" i="1"/>
  <c r="BI140" i="1" s="1"/>
  <c r="AN141" i="1"/>
  <c r="BI141" i="1" s="1"/>
  <c r="AN142" i="1"/>
  <c r="BI142" i="1" s="1"/>
  <c r="AN143" i="1"/>
  <c r="BI143" i="1" s="1"/>
  <c r="AN144" i="1"/>
  <c r="BI144" i="1" s="1"/>
  <c r="AN145" i="1"/>
  <c r="BI145" i="1" s="1"/>
  <c r="AN146" i="1"/>
  <c r="BI146" i="1" s="1"/>
  <c r="AN147" i="1"/>
  <c r="BI147" i="1" s="1"/>
  <c r="AN148" i="1"/>
  <c r="BI148" i="1" s="1"/>
  <c r="AN149" i="1"/>
  <c r="BI149" i="1" s="1"/>
  <c r="AN150" i="1"/>
  <c r="BI150" i="1" s="1"/>
  <c r="AN151" i="1"/>
  <c r="BI151" i="1" s="1"/>
  <c r="AN152" i="1"/>
  <c r="BI152" i="1" s="1"/>
  <c r="AN153" i="1"/>
  <c r="BI153" i="1" s="1"/>
  <c r="AN154" i="1"/>
  <c r="BI154" i="1" s="1"/>
  <c r="AN155" i="1"/>
  <c r="BI155" i="1" s="1"/>
  <c r="AN156" i="1"/>
  <c r="BI156" i="1" s="1"/>
  <c r="AN157" i="1"/>
  <c r="BI157" i="1" s="1"/>
  <c r="AN158" i="1"/>
  <c r="BI158" i="1" s="1"/>
  <c r="AN159" i="1"/>
  <c r="BI159" i="1" s="1"/>
  <c r="AN160" i="1"/>
  <c r="BI160" i="1" s="1"/>
  <c r="AN161" i="1"/>
  <c r="BI161" i="1" s="1"/>
  <c r="AN162" i="1"/>
  <c r="BI162" i="1" s="1"/>
  <c r="AN163" i="1"/>
  <c r="BI163" i="1" s="1"/>
  <c r="AN164" i="1"/>
  <c r="BI164" i="1" s="1"/>
  <c r="AN165" i="1"/>
  <c r="BI165" i="1" s="1"/>
  <c r="AN166" i="1"/>
  <c r="BI166" i="1" s="1"/>
  <c r="AN167" i="1"/>
  <c r="BI167" i="1" s="1"/>
  <c r="AN168" i="1"/>
  <c r="BI168" i="1" s="1"/>
  <c r="AN169" i="1"/>
  <c r="BI169" i="1" s="1"/>
  <c r="AN170" i="1"/>
  <c r="BI170" i="1" s="1"/>
  <c r="AN171" i="1"/>
  <c r="BI171" i="1" s="1"/>
  <c r="AN172" i="1"/>
  <c r="BI172" i="1" s="1"/>
  <c r="AN173" i="1"/>
  <c r="BI173" i="1" s="1"/>
  <c r="AN174" i="1"/>
  <c r="BI174" i="1" s="1"/>
  <c r="AN175" i="1"/>
  <c r="BI175" i="1" s="1"/>
  <c r="AN176" i="1"/>
  <c r="BI176" i="1" s="1"/>
  <c r="AN177" i="1"/>
  <c r="BI177" i="1" s="1"/>
  <c r="AN178" i="1"/>
  <c r="BI178" i="1" s="1"/>
  <c r="AN179" i="1"/>
  <c r="BI179" i="1" s="1"/>
  <c r="AN180" i="1"/>
  <c r="BI180" i="1" s="1"/>
  <c r="AN181" i="1"/>
  <c r="BI181" i="1" s="1"/>
  <c r="AN182" i="1"/>
  <c r="BI182" i="1" s="1"/>
  <c r="AN183" i="1"/>
  <c r="BI183" i="1" s="1"/>
  <c r="AN184" i="1"/>
  <c r="BI184" i="1" s="1"/>
  <c r="AN185" i="1"/>
  <c r="BI185" i="1" s="1"/>
  <c r="AN186" i="1"/>
  <c r="BI186" i="1" s="1"/>
  <c r="AN187" i="1"/>
  <c r="BI187" i="1" s="1"/>
  <c r="AN188" i="1"/>
  <c r="BI188" i="1" s="1"/>
  <c r="AN189" i="1"/>
  <c r="BI189" i="1" s="1"/>
  <c r="AN190" i="1"/>
  <c r="BI190" i="1" s="1"/>
  <c r="AN191" i="1"/>
  <c r="BI191" i="1" s="1"/>
  <c r="AN192" i="1"/>
  <c r="BI192" i="1" s="1"/>
  <c r="AN193" i="1"/>
  <c r="BI193" i="1" s="1"/>
  <c r="AN194" i="1"/>
  <c r="BI194" i="1" s="1"/>
  <c r="AN195" i="1"/>
  <c r="BI195" i="1" s="1"/>
  <c r="AN196" i="1"/>
  <c r="BI196" i="1" s="1"/>
  <c r="AN197" i="1"/>
  <c r="BI197" i="1" s="1"/>
  <c r="AN198" i="1"/>
  <c r="BI198" i="1" s="1"/>
  <c r="AN199" i="1"/>
  <c r="BI199" i="1" s="1"/>
  <c r="AN200" i="1"/>
  <c r="BI200" i="1" s="1"/>
  <c r="AN201" i="1"/>
  <c r="BI201" i="1" s="1"/>
  <c r="AN202" i="1"/>
  <c r="BI202" i="1" s="1"/>
  <c r="AN203" i="1"/>
  <c r="BI203" i="1" s="1"/>
  <c r="AN204" i="1"/>
  <c r="BI204" i="1" s="1"/>
  <c r="AN205" i="1"/>
  <c r="BI205" i="1" s="1"/>
  <c r="AN206" i="1"/>
  <c r="BI206" i="1" s="1"/>
  <c r="AN207" i="1"/>
  <c r="BI207" i="1" s="1"/>
  <c r="AN208" i="1"/>
  <c r="BI208" i="1" s="1"/>
  <c r="AN209" i="1"/>
  <c r="BI209" i="1" s="1"/>
  <c r="AN210" i="1"/>
  <c r="BI210" i="1" s="1"/>
  <c r="AN211" i="1"/>
  <c r="BI211" i="1" s="1"/>
  <c r="AN212" i="1"/>
  <c r="BI212" i="1" s="1"/>
  <c r="AN213" i="1"/>
  <c r="BI213" i="1" s="1"/>
  <c r="AN214" i="1"/>
  <c r="BI214" i="1" s="1"/>
  <c r="AN215" i="1"/>
  <c r="BI215" i="1" s="1"/>
  <c r="AN216" i="1"/>
  <c r="BI216" i="1" s="1"/>
  <c r="AN217" i="1"/>
  <c r="BI217" i="1" s="1"/>
  <c r="AN218" i="1"/>
  <c r="BI218" i="1" s="1"/>
  <c r="AN219" i="1"/>
  <c r="BI219" i="1" s="1"/>
  <c r="AN220" i="1"/>
  <c r="BI220" i="1" s="1"/>
  <c r="AN221" i="1"/>
  <c r="BI221" i="1" s="1"/>
  <c r="AN222" i="1"/>
  <c r="BI222" i="1" s="1"/>
  <c r="AN223" i="1"/>
  <c r="BI223" i="1" s="1"/>
  <c r="AN224" i="1"/>
  <c r="BI224" i="1" s="1"/>
  <c r="AN225" i="1"/>
  <c r="BI225" i="1" s="1"/>
  <c r="AN226" i="1"/>
  <c r="BI226" i="1" s="1"/>
  <c r="AN227" i="1"/>
  <c r="BI227" i="1" s="1"/>
  <c r="AN228" i="1"/>
  <c r="BI228" i="1" s="1"/>
  <c r="AN229" i="1"/>
  <c r="BI229" i="1" s="1"/>
  <c r="AN230" i="1"/>
  <c r="BI230" i="1" s="1"/>
  <c r="AN231" i="1"/>
  <c r="BI231" i="1" s="1"/>
  <c r="AN232" i="1"/>
  <c r="BI232" i="1" s="1"/>
  <c r="AN233" i="1"/>
  <c r="BI233" i="1" s="1"/>
  <c r="AN234" i="1"/>
  <c r="BI234" i="1" s="1"/>
  <c r="AN235" i="1"/>
  <c r="BI235" i="1" s="1"/>
  <c r="AN236" i="1"/>
  <c r="BI236" i="1" s="1"/>
  <c r="AN237" i="1"/>
  <c r="BI237" i="1" s="1"/>
  <c r="AN238" i="1"/>
  <c r="BI238" i="1" s="1"/>
  <c r="AN239" i="1"/>
  <c r="BI239" i="1" s="1"/>
  <c r="AN240" i="1"/>
  <c r="BI240" i="1" s="1"/>
  <c r="AN241" i="1"/>
  <c r="BI241" i="1" s="1"/>
  <c r="AN242" i="1"/>
  <c r="BI242" i="1" s="1"/>
  <c r="AN243" i="1"/>
  <c r="BI243" i="1" s="1"/>
  <c r="AN244" i="1"/>
  <c r="BI244" i="1" s="1"/>
  <c r="AN245" i="1"/>
  <c r="BI245" i="1" s="1"/>
  <c r="AN246" i="1"/>
  <c r="BI246" i="1" s="1"/>
  <c r="AN247" i="1"/>
  <c r="BI247" i="1" s="1"/>
  <c r="AN248" i="1"/>
  <c r="BI248" i="1" s="1"/>
  <c r="AN249" i="1"/>
  <c r="BI249" i="1" s="1"/>
  <c r="AN250" i="1"/>
  <c r="BI250" i="1" s="1"/>
  <c r="AN251" i="1"/>
  <c r="BI251" i="1" s="1"/>
  <c r="AN252" i="1"/>
  <c r="BI252" i="1" s="1"/>
  <c r="AN253" i="1"/>
  <c r="BI253" i="1" s="1"/>
  <c r="AN254" i="1"/>
  <c r="BI254" i="1" s="1"/>
  <c r="AN255" i="1"/>
  <c r="BI255" i="1" s="1"/>
  <c r="AN256" i="1"/>
  <c r="BI256" i="1" s="1"/>
  <c r="AN257" i="1"/>
  <c r="BI257" i="1" s="1"/>
  <c r="AN258" i="1"/>
  <c r="BI258" i="1" s="1"/>
  <c r="AN259" i="1"/>
  <c r="BI259" i="1" s="1"/>
  <c r="AN260" i="1"/>
  <c r="BI260" i="1" s="1"/>
  <c r="AN261" i="1"/>
  <c r="BI261" i="1" s="1"/>
  <c r="AN262" i="1"/>
  <c r="BI262" i="1" s="1"/>
  <c r="AN263" i="1"/>
  <c r="BI263" i="1" s="1"/>
  <c r="AN264" i="1"/>
  <c r="BI264" i="1" s="1"/>
  <c r="AN265" i="1"/>
  <c r="BI265" i="1" s="1"/>
  <c r="AN266" i="1"/>
  <c r="BI266" i="1" s="1"/>
  <c r="AN267" i="1"/>
  <c r="BI267" i="1" s="1"/>
  <c r="AN268" i="1"/>
  <c r="BI268" i="1" s="1"/>
  <c r="AN269" i="1"/>
  <c r="BI269" i="1" s="1"/>
  <c r="AN270" i="1"/>
  <c r="BI270" i="1" s="1"/>
  <c r="AN271" i="1"/>
  <c r="BI271" i="1" s="1"/>
  <c r="AN272" i="1"/>
  <c r="BI272" i="1" s="1"/>
  <c r="AN273" i="1"/>
  <c r="BI273" i="1" s="1"/>
  <c r="AN274" i="1"/>
  <c r="BI274" i="1" s="1"/>
  <c r="AN275" i="1"/>
  <c r="BI275" i="1" s="1"/>
  <c r="AN276" i="1"/>
  <c r="BI276" i="1" s="1"/>
  <c r="AN277" i="1"/>
  <c r="BI277" i="1" s="1"/>
  <c r="AN278" i="1"/>
  <c r="BI278" i="1" s="1"/>
  <c r="AN279" i="1"/>
  <c r="BI279" i="1" s="1"/>
  <c r="AN280" i="1"/>
  <c r="BI280" i="1" s="1"/>
  <c r="AN281" i="1"/>
  <c r="BI281" i="1" s="1"/>
  <c r="AN282" i="1"/>
  <c r="BI282" i="1" s="1"/>
  <c r="AN283" i="1"/>
  <c r="BI283" i="1" s="1"/>
  <c r="AN284" i="1"/>
  <c r="BI284" i="1" s="1"/>
  <c r="AN285" i="1"/>
  <c r="BI285" i="1" s="1"/>
  <c r="AN286" i="1"/>
  <c r="BI286" i="1" s="1"/>
  <c r="AN287" i="1"/>
  <c r="BI287" i="1" s="1"/>
  <c r="AN288" i="1"/>
  <c r="BI288" i="1" s="1"/>
  <c r="AN289" i="1"/>
  <c r="BI289" i="1" s="1"/>
  <c r="AN290" i="1"/>
  <c r="BI290" i="1" s="1"/>
  <c r="AN291" i="1"/>
  <c r="BI291" i="1" s="1"/>
  <c r="AN292" i="1"/>
  <c r="BI292" i="1" s="1"/>
  <c r="AN293" i="1"/>
  <c r="BI293" i="1" s="1"/>
  <c r="AN294" i="1"/>
  <c r="BI294" i="1" s="1"/>
  <c r="AN295" i="1"/>
  <c r="BI295" i="1" s="1"/>
  <c r="AN296" i="1"/>
  <c r="BI296" i="1" s="1"/>
  <c r="AN297" i="1"/>
  <c r="BI297" i="1" s="1"/>
  <c r="AN298" i="1"/>
  <c r="BI298" i="1" s="1"/>
  <c r="AN299" i="1"/>
  <c r="BI299" i="1" s="1"/>
  <c r="AN4" i="1"/>
  <c r="BI4" i="1" s="1"/>
  <c r="AE54" i="1"/>
  <c r="AZ54" i="1" s="1"/>
  <c r="AF54" i="1"/>
  <c r="BA54" i="1" s="1"/>
  <c r="AI54" i="1"/>
  <c r="BD54" i="1" s="1"/>
  <c r="BL54" i="1"/>
  <c r="AE55" i="1"/>
  <c r="AZ55" i="1" s="1"/>
  <c r="AF55" i="1"/>
  <c r="BO55" i="1" s="1"/>
  <c r="AI55" i="1"/>
  <c r="BD55" i="1" s="1"/>
  <c r="BL55" i="1"/>
  <c r="AE56" i="1"/>
  <c r="AZ56" i="1" s="1"/>
  <c r="AF56" i="1"/>
  <c r="BA56" i="1" s="1"/>
  <c r="AI56" i="1"/>
  <c r="BD56" i="1" s="1"/>
  <c r="BL56" i="1"/>
  <c r="AE57" i="1"/>
  <c r="AZ57" i="1" s="1"/>
  <c r="AF57" i="1"/>
  <c r="BO57" i="1" s="1"/>
  <c r="AI57" i="1"/>
  <c r="BD57" i="1" s="1"/>
  <c r="BL57" i="1"/>
  <c r="AE58" i="1"/>
  <c r="AZ58" i="1" s="1"/>
  <c r="AF58" i="1"/>
  <c r="BA58" i="1" s="1"/>
  <c r="AI58" i="1"/>
  <c r="BD58" i="1" s="1"/>
  <c r="BL58" i="1"/>
  <c r="AE59" i="1"/>
  <c r="AZ59" i="1" s="1"/>
  <c r="AF59" i="1"/>
  <c r="BO59" i="1" s="1"/>
  <c r="AI59" i="1"/>
  <c r="BD59" i="1" s="1"/>
  <c r="BL59" i="1"/>
  <c r="AE60" i="1"/>
  <c r="AZ60" i="1" s="1"/>
  <c r="AF60" i="1"/>
  <c r="BA60" i="1" s="1"/>
  <c r="AI60" i="1"/>
  <c r="BD60" i="1" s="1"/>
  <c r="BL60" i="1"/>
  <c r="AE61" i="1"/>
  <c r="AZ61" i="1" s="1"/>
  <c r="AF61" i="1"/>
  <c r="BA61" i="1" s="1"/>
  <c r="AI61" i="1"/>
  <c r="BD61" i="1" s="1"/>
  <c r="BL61" i="1"/>
  <c r="AE62" i="1"/>
  <c r="AZ62" i="1" s="1"/>
  <c r="AF62" i="1"/>
  <c r="BO62" i="1" s="1"/>
  <c r="AI62" i="1"/>
  <c r="BD62" i="1" s="1"/>
  <c r="BL62" i="1"/>
  <c r="AE63" i="1"/>
  <c r="AZ63" i="1" s="1"/>
  <c r="AF63" i="1"/>
  <c r="BO63" i="1" s="1"/>
  <c r="AI63" i="1"/>
  <c r="BD63" i="1" s="1"/>
  <c r="BL63" i="1"/>
  <c r="AE64" i="1"/>
  <c r="AZ64" i="1" s="1"/>
  <c r="AF64" i="1"/>
  <c r="BA64" i="1" s="1"/>
  <c r="AI64" i="1"/>
  <c r="BD64" i="1" s="1"/>
  <c r="BL64" i="1"/>
  <c r="AE65" i="1"/>
  <c r="AZ65" i="1" s="1"/>
  <c r="AF65" i="1"/>
  <c r="BA65" i="1" s="1"/>
  <c r="AI65" i="1"/>
  <c r="BD65" i="1" s="1"/>
  <c r="BL65" i="1"/>
  <c r="AE66" i="1"/>
  <c r="AZ66" i="1" s="1"/>
  <c r="AF66" i="1"/>
  <c r="BO66" i="1" s="1"/>
  <c r="AI66" i="1"/>
  <c r="BD66" i="1" s="1"/>
  <c r="BL66" i="1"/>
  <c r="AE67" i="1"/>
  <c r="AZ67" i="1" s="1"/>
  <c r="AF67" i="1"/>
  <c r="BA67" i="1" s="1"/>
  <c r="AI67" i="1"/>
  <c r="BD67" i="1" s="1"/>
  <c r="BL67" i="1"/>
  <c r="AE68" i="1"/>
  <c r="AZ68" i="1" s="1"/>
  <c r="AF68" i="1"/>
  <c r="BA68" i="1" s="1"/>
  <c r="AI68" i="1"/>
  <c r="BD68" i="1" s="1"/>
  <c r="BL68" i="1"/>
  <c r="AE69" i="1"/>
  <c r="AZ69" i="1" s="1"/>
  <c r="AF69" i="1"/>
  <c r="BO69" i="1" s="1"/>
  <c r="AI69" i="1"/>
  <c r="BD69" i="1" s="1"/>
  <c r="BL69" i="1"/>
  <c r="AE70" i="1"/>
  <c r="AZ70" i="1" s="1"/>
  <c r="AF70" i="1"/>
  <c r="BA70" i="1" s="1"/>
  <c r="AI70" i="1"/>
  <c r="BD70" i="1" s="1"/>
  <c r="BL70" i="1"/>
  <c r="AE71" i="1"/>
  <c r="AZ71" i="1" s="1"/>
  <c r="AF71" i="1"/>
  <c r="BO71" i="1" s="1"/>
  <c r="AI71" i="1"/>
  <c r="BD71" i="1" s="1"/>
  <c r="BL71" i="1"/>
  <c r="AE72" i="1"/>
  <c r="AZ72" i="1" s="1"/>
  <c r="AF72" i="1"/>
  <c r="BO72" i="1" s="1"/>
  <c r="AI72" i="1"/>
  <c r="BD72" i="1" s="1"/>
  <c r="BL72" i="1"/>
  <c r="BM72" i="1"/>
  <c r="AE73" i="1"/>
  <c r="AZ73" i="1" s="1"/>
  <c r="AF73" i="1"/>
  <c r="BO73" i="1" s="1"/>
  <c r="AI73" i="1"/>
  <c r="BD73" i="1" s="1"/>
  <c r="BL73" i="1"/>
  <c r="AE74" i="1"/>
  <c r="AZ74" i="1" s="1"/>
  <c r="AF74" i="1"/>
  <c r="BA74" i="1" s="1"/>
  <c r="AI74" i="1"/>
  <c r="BD74" i="1" s="1"/>
  <c r="BL74" i="1"/>
  <c r="AE75" i="1"/>
  <c r="AZ75" i="1" s="1"/>
  <c r="AF75" i="1"/>
  <c r="BA75" i="1" s="1"/>
  <c r="AI75" i="1"/>
  <c r="BD75" i="1" s="1"/>
  <c r="BL75" i="1"/>
  <c r="AE76" i="1"/>
  <c r="AZ76" i="1" s="1"/>
  <c r="AF76" i="1"/>
  <c r="BO76" i="1" s="1"/>
  <c r="AI76" i="1"/>
  <c r="BD76" i="1" s="1"/>
  <c r="BL76" i="1"/>
  <c r="BM76" i="1"/>
  <c r="AE77" i="1"/>
  <c r="AZ77" i="1" s="1"/>
  <c r="AF77" i="1"/>
  <c r="BA77" i="1" s="1"/>
  <c r="AI77" i="1"/>
  <c r="BD77" i="1" s="1"/>
  <c r="BL77" i="1"/>
  <c r="AE78" i="1"/>
  <c r="AZ78" i="1" s="1"/>
  <c r="AF78" i="1"/>
  <c r="BA78" i="1" s="1"/>
  <c r="AI78" i="1"/>
  <c r="BD78" i="1" s="1"/>
  <c r="BL78" i="1"/>
  <c r="AE79" i="1"/>
  <c r="AZ79" i="1" s="1"/>
  <c r="AF79" i="1"/>
  <c r="BA79" i="1" s="1"/>
  <c r="AI79" i="1"/>
  <c r="BD79" i="1" s="1"/>
  <c r="BL79" i="1"/>
  <c r="AE80" i="1"/>
  <c r="AZ80" i="1" s="1"/>
  <c r="AF80" i="1"/>
  <c r="BA80" i="1" s="1"/>
  <c r="AI80" i="1"/>
  <c r="BD80" i="1" s="1"/>
  <c r="BL80" i="1"/>
  <c r="AE81" i="1"/>
  <c r="AZ81" i="1" s="1"/>
  <c r="AF81" i="1"/>
  <c r="BO81" i="1" s="1"/>
  <c r="AI81" i="1"/>
  <c r="BD81" i="1" s="1"/>
  <c r="BL81" i="1"/>
  <c r="AE82" i="1"/>
  <c r="AZ82" i="1" s="1"/>
  <c r="AF82" i="1"/>
  <c r="BA82" i="1" s="1"/>
  <c r="AI82" i="1"/>
  <c r="BD82" i="1" s="1"/>
  <c r="BL82" i="1"/>
  <c r="AE83" i="1"/>
  <c r="AZ83" i="1" s="1"/>
  <c r="AF83" i="1"/>
  <c r="BO83" i="1" s="1"/>
  <c r="AI83" i="1"/>
  <c r="BD83" i="1" s="1"/>
  <c r="BL83" i="1"/>
  <c r="AE84" i="1"/>
  <c r="AZ84" i="1" s="1"/>
  <c r="AF84" i="1"/>
  <c r="BA84" i="1" s="1"/>
  <c r="AI84" i="1"/>
  <c r="BD84" i="1" s="1"/>
  <c r="BL84" i="1"/>
  <c r="AE85" i="1"/>
  <c r="AZ85" i="1" s="1"/>
  <c r="AF85" i="1"/>
  <c r="BA85" i="1" s="1"/>
  <c r="AI85" i="1"/>
  <c r="BD85" i="1" s="1"/>
  <c r="BL85" i="1"/>
  <c r="AE86" i="1"/>
  <c r="AZ86" i="1" s="1"/>
  <c r="AF86" i="1"/>
  <c r="BO86" i="1" s="1"/>
  <c r="AI86" i="1"/>
  <c r="BD86" i="1" s="1"/>
  <c r="BL86" i="1"/>
  <c r="AE87" i="1"/>
  <c r="AZ87" i="1" s="1"/>
  <c r="AF87" i="1"/>
  <c r="BA87" i="1" s="1"/>
  <c r="AI87" i="1"/>
  <c r="BD87" i="1" s="1"/>
  <c r="BL87" i="1"/>
  <c r="AE88" i="1"/>
  <c r="AZ88" i="1" s="1"/>
  <c r="AF88" i="1"/>
  <c r="BA88" i="1" s="1"/>
  <c r="AI88" i="1"/>
  <c r="BD88" i="1" s="1"/>
  <c r="BL88" i="1"/>
  <c r="AE89" i="1"/>
  <c r="AZ89" i="1" s="1"/>
  <c r="AF89" i="1"/>
  <c r="BA89" i="1" s="1"/>
  <c r="AI89" i="1"/>
  <c r="BD89" i="1" s="1"/>
  <c r="BL89" i="1"/>
  <c r="AE90" i="1"/>
  <c r="AZ90" i="1" s="1"/>
  <c r="AF90" i="1"/>
  <c r="BA90" i="1" s="1"/>
  <c r="AI90" i="1"/>
  <c r="BD90" i="1" s="1"/>
  <c r="BL90" i="1"/>
  <c r="BN90" i="1"/>
  <c r="AE91" i="1"/>
  <c r="AZ91" i="1" s="1"/>
  <c r="AF91" i="1"/>
  <c r="BO91" i="1" s="1"/>
  <c r="AI91" i="1"/>
  <c r="BD91" i="1" s="1"/>
  <c r="BL91" i="1"/>
  <c r="AE92" i="1"/>
  <c r="AZ92" i="1" s="1"/>
  <c r="AF92" i="1"/>
  <c r="BA92" i="1" s="1"/>
  <c r="AI92" i="1"/>
  <c r="BD92" i="1" s="1"/>
  <c r="BL92" i="1"/>
  <c r="AE93" i="1"/>
  <c r="AZ93" i="1" s="1"/>
  <c r="AF93" i="1"/>
  <c r="BO93" i="1" s="1"/>
  <c r="AI93" i="1"/>
  <c r="BD93" i="1" s="1"/>
  <c r="BL93" i="1"/>
  <c r="AE94" i="1"/>
  <c r="AZ94" i="1" s="1"/>
  <c r="AF94" i="1"/>
  <c r="BA94" i="1" s="1"/>
  <c r="AI94" i="1"/>
  <c r="BD94" i="1" s="1"/>
  <c r="BL94" i="1"/>
  <c r="AE95" i="1"/>
  <c r="AZ95" i="1" s="1"/>
  <c r="AF95" i="1"/>
  <c r="BA95" i="1" s="1"/>
  <c r="AI95" i="1"/>
  <c r="BD95" i="1" s="1"/>
  <c r="BL95" i="1"/>
  <c r="AE96" i="1"/>
  <c r="AZ96" i="1" s="1"/>
  <c r="AF96" i="1"/>
  <c r="BO96" i="1" s="1"/>
  <c r="AI96" i="1"/>
  <c r="BD96" i="1" s="1"/>
  <c r="BL96" i="1"/>
  <c r="AE97" i="1"/>
  <c r="AZ97" i="1" s="1"/>
  <c r="AF97" i="1"/>
  <c r="BO97" i="1" s="1"/>
  <c r="AI97" i="1"/>
  <c r="BD97" i="1" s="1"/>
  <c r="BL97" i="1"/>
  <c r="AE98" i="1"/>
  <c r="AZ98" i="1" s="1"/>
  <c r="AF98" i="1"/>
  <c r="BO98" i="1" s="1"/>
  <c r="AI98" i="1"/>
  <c r="BD98" i="1" s="1"/>
  <c r="BL98" i="1"/>
  <c r="AE99" i="1"/>
  <c r="AZ99" i="1" s="1"/>
  <c r="AF99" i="1"/>
  <c r="BA99" i="1" s="1"/>
  <c r="AI99" i="1"/>
  <c r="BD99" i="1" s="1"/>
  <c r="BL99" i="1"/>
  <c r="AE100" i="1"/>
  <c r="AZ100" i="1" s="1"/>
  <c r="AF100" i="1"/>
  <c r="BA100" i="1" s="1"/>
  <c r="AI100" i="1"/>
  <c r="BD100" i="1" s="1"/>
  <c r="BL100" i="1"/>
  <c r="AE101" i="1"/>
  <c r="AZ101" i="1" s="1"/>
  <c r="AF101" i="1"/>
  <c r="BA101" i="1" s="1"/>
  <c r="AI101" i="1"/>
  <c r="BD101" i="1" s="1"/>
  <c r="BL101" i="1"/>
  <c r="AE102" i="1"/>
  <c r="AZ102" i="1" s="1"/>
  <c r="AF102" i="1"/>
  <c r="BA102" i="1" s="1"/>
  <c r="AI102" i="1"/>
  <c r="BD102" i="1" s="1"/>
  <c r="BL102" i="1"/>
  <c r="AE103" i="1"/>
  <c r="AZ103" i="1" s="1"/>
  <c r="AF103" i="1"/>
  <c r="BO103" i="1" s="1"/>
  <c r="AI103" i="1"/>
  <c r="BD103" i="1" s="1"/>
  <c r="BL103" i="1"/>
  <c r="AE104" i="1"/>
  <c r="AZ104" i="1" s="1"/>
  <c r="AF104" i="1"/>
  <c r="BA104" i="1" s="1"/>
  <c r="AI104" i="1"/>
  <c r="BD104" i="1" s="1"/>
  <c r="BL104" i="1"/>
  <c r="AE105" i="1"/>
  <c r="AZ105" i="1" s="1"/>
  <c r="AF105" i="1"/>
  <c r="BO105" i="1" s="1"/>
  <c r="AI105" i="1"/>
  <c r="BD105" i="1" s="1"/>
  <c r="BL105" i="1"/>
  <c r="AE106" i="1"/>
  <c r="AZ106" i="1" s="1"/>
  <c r="AF106" i="1"/>
  <c r="BA106" i="1" s="1"/>
  <c r="AI106" i="1"/>
  <c r="BD106" i="1" s="1"/>
  <c r="BL106" i="1"/>
  <c r="AE107" i="1"/>
  <c r="AZ107" i="1" s="1"/>
  <c r="AF107" i="1"/>
  <c r="BO107" i="1" s="1"/>
  <c r="AI107" i="1"/>
  <c r="BD107" i="1" s="1"/>
  <c r="BL107" i="1"/>
  <c r="AE108" i="1"/>
  <c r="AZ108" i="1" s="1"/>
  <c r="AF108" i="1"/>
  <c r="BO108" i="1" s="1"/>
  <c r="AI108" i="1"/>
  <c r="BD108" i="1" s="1"/>
  <c r="BL108" i="1"/>
  <c r="AE109" i="1"/>
  <c r="AZ109" i="1" s="1"/>
  <c r="AF109" i="1"/>
  <c r="BO109" i="1" s="1"/>
  <c r="AI109" i="1"/>
  <c r="BD109" i="1" s="1"/>
  <c r="BL109" i="1"/>
  <c r="AE110" i="1"/>
  <c r="AZ110" i="1" s="1"/>
  <c r="AF110" i="1"/>
  <c r="BO110" i="1" s="1"/>
  <c r="AI110" i="1"/>
  <c r="BD110" i="1" s="1"/>
  <c r="BL110" i="1"/>
  <c r="AE111" i="1"/>
  <c r="AZ111" i="1" s="1"/>
  <c r="AF111" i="1"/>
  <c r="BA111" i="1" s="1"/>
  <c r="AI111" i="1"/>
  <c r="BD111" i="1" s="1"/>
  <c r="BL111" i="1"/>
  <c r="AE112" i="1"/>
  <c r="AZ112" i="1" s="1"/>
  <c r="AF112" i="1"/>
  <c r="BA112" i="1" s="1"/>
  <c r="AI112" i="1"/>
  <c r="BD112" i="1" s="1"/>
  <c r="BL112" i="1"/>
  <c r="AE113" i="1"/>
  <c r="AZ113" i="1" s="1"/>
  <c r="AF113" i="1"/>
  <c r="BA113" i="1" s="1"/>
  <c r="AI113" i="1"/>
  <c r="BD113" i="1" s="1"/>
  <c r="BL113" i="1"/>
  <c r="AE114" i="1"/>
  <c r="AZ114" i="1" s="1"/>
  <c r="AF114" i="1"/>
  <c r="BA114" i="1" s="1"/>
  <c r="AI114" i="1"/>
  <c r="BD114" i="1" s="1"/>
  <c r="BL114" i="1"/>
  <c r="AE115" i="1"/>
  <c r="AZ115" i="1" s="1"/>
  <c r="AF115" i="1"/>
  <c r="BO115" i="1" s="1"/>
  <c r="AI115" i="1"/>
  <c r="BD115" i="1" s="1"/>
  <c r="BL115" i="1"/>
  <c r="AE116" i="1"/>
  <c r="AZ116" i="1" s="1"/>
  <c r="AF116" i="1"/>
  <c r="BA116" i="1" s="1"/>
  <c r="AI116" i="1"/>
  <c r="BD116" i="1" s="1"/>
  <c r="BL116" i="1"/>
  <c r="AE117" i="1"/>
  <c r="AZ117" i="1" s="1"/>
  <c r="AF117" i="1"/>
  <c r="BO117" i="1" s="1"/>
  <c r="AI117" i="1"/>
  <c r="BD117" i="1" s="1"/>
  <c r="BL117" i="1"/>
  <c r="AE118" i="1"/>
  <c r="AZ118" i="1" s="1"/>
  <c r="AF118" i="1"/>
  <c r="BA118" i="1" s="1"/>
  <c r="AI118" i="1"/>
  <c r="BD118" i="1" s="1"/>
  <c r="BL118" i="1"/>
  <c r="AE119" i="1"/>
  <c r="AZ119" i="1" s="1"/>
  <c r="AF119" i="1"/>
  <c r="BA119" i="1" s="1"/>
  <c r="AI119" i="1"/>
  <c r="BD119" i="1" s="1"/>
  <c r="BL119" i="1"/>
  <c r="AE120" i="1"/>
  <c r="AZ120" i="1" s="1"/>
  <c r="AF120" i="1"/>
  <c r="BO120" i="1" s="1"/>
  <c r="AI120" i="1"/>
  <c r="BD120" i="1" s="1"/>
  <c r="BL120" i="1"/>
  <c r="AE121" i="1"/>
  <c r="AZ121" i="1" s="1"/>
  <c r="AF121" i="1"/>
  <c r="BO121" i="1" s="1"/>
  <c r="AI121" i="1"/>
  <c r="BD121" i="1" s="1"/>
  <c r="BL121" i="1"/>
  <c r="AE122" i="1"/>
  <c r="AZ122" i="1" s="1"/>
  <c r="AF122" i="1"/>
  <c r="BO122" i="1" s="1"/>
  <c r="AI122" i="1"/>
  <c r="BD122" i="1" s="1"/>
  <c r="BL122" i="1"/>
  <c r="AE123" i="1"/>
  <c r="AZ123" i="1" s="1"/>
  <c r="AF123" i="1"/>
  <c r="BA123" i="1" s="1"/>
  <c r="AI123" i="1"/>
  <c r="BD123" i="1" s="1"/>
  <c r="BL123" i="1"/>
  <c r="AE124" i="1"/>
  <c r="AZ124" i="1" s="1"/>
  <c r="AF124" i="1"/>
  <c r="BA124" i="1" s="1"/>
  <c r="AI124" i="1"/>
  <c r="BD124" i="1" s="1"/>
  <c r="BL124" i="1"/>
  <c r="AE125" i="1"/>
  <c r="AZ125" i="1" s="1"/>
  <c r="AF125" i="1"/>
  <c r="BA125" i="1" s="1"/>
  <c r="AI125" i="1"/>
  <c r="BD125" i="1" s="1"/>
  <c r="BL125" i="1"/>
  <c r="AE126" i="1"/>
  <c r="AZ126" i="1" s="1"/>
  <c r="AF126" i="1"/>
  <c r="BO126" i="1" s="1"/>
  <c r="AI126" i="1"/>
  <c r="BD126" i="1" s="1"/>
  <c r="BL126" i="1"/>
  <c r="AE127" i="1"/>
  <c r="AZ127" i="1" s="1"/>
  <c r="AF127" i="1"/>
  <c r="BO127" i="1" s="1"/>
  <c r="AI127" i="1"/>
  <c r="BD127" i="1" s="1"/>
  <c r="BL127" i="1"/>
  <c r="AE128" i="1"/>
  <c r="AZ128" i="1" s="1"/>
  <c r="AF128" i="1"/>
  <c r="BA128" i="1" s="1"/>
  <c r="AI128" i="1"/>
  <c r="BD128" i="1" s="1"/>
  <c r="BL128" i="1"/>
  <c r="AE129" i="1"/>
  <c r="AZ129" i="1" s="1"/>
  <c r="AF129" i="1"/>
  <c r="BO129" i="1" s="1"/>
  <c r="AI129" i="1"/>
  <c r="BD129" i="1" s="1"/>
  <c r="BL129" i="1"/>
  <c r="AE130" i="1"/>
  <c r="AZ130" i="1" s="1"/>
  <c r="AF130" i="1"/>
  <c r="BA130" i="1" s="1"/>
  <c r="AI130" i="1"/>
  <c r="BD130" i="1" s="1"/>
  <c r="BL130" i="1"/>
  <c r="BN130" i="1"/>
  <c r="AE131" i="1"/>
  <c r="AZ131" i="1" s="1"/>
  <c r="AF131" i="1"/>
  <c r="BO131" i="1" s="1"/>
  <c r="AI131" i="1"/>
  <c r="BD131" i="1" s="1"/>
  <c r="BL131" i="1"/>
  <c r="AE132" i="1"/>
  <c r="AZ132" i="1" s="1"/>
  <c r="AF132" i="1"/>
  <c r="BO132" i="1" s="1"/>
  <c r="AI132" i="1"/>
  <c r="BD132" i="1" s="1"/>
  <c r="BL132" i="1"/>
  <c r="AE133" i="1"/>
  <c r="AZ133" i="1" s="1"/>
  <c r="AF133" i="1"/>
  <c r="BO133" i="1" s="1"/>
  <c r="AI133" i="1"/>
  <c r="BD133" i="1" s="1"/>
  <c r="BL133" i="1"/>
  <c r="AE134" i="1"/>
  <c r="AZ134" i="1" s="1"/>
  <c r="AF134" i="1"/>
  <c r="BA134" i="1" s="1"/>
  <c r="AI134" i="1"/>
  <c r="BD134" i="1" s="1"/>
  <c r="BL134" i="1"/>
  <c r="AE135" i="1"/>
  <c r="AZ135" i="1" s="1"/>
  <c r="AF135" i="1"/>
  <c r="BA135" i="1" s="1"/>
  <c r="AI135" i="1"/>
  <c r="BD135" i="1" s="1"/>
  <c r="BL135" i="1"/>
  <c r="AE136" i="1"/>
  <c r="AZ136" i="1" s="1"/>
  <c r="AF136" i="1"/>
  <c r="BO136" i="1" s="1"/>
  <c r="AI136" i="1"/>
  <c r="BD136" i="1" s="1"/>
  <c r="BL136" i="1"/>
  <c r="AE137" i="1"/>
  <c r="AZ137" i="1" s="1"/>
  <c r="AF137" i="1"/>
  <c r="BA137" i="1" s="1"/>
  <c r="AI137" i="1"/>
  <c r="BD137" i="1" s="1"/>
  <c r="BL137" i="1"/>
  <c r="AE138" i="1"/>
  <c r="AZ138" i="1" s="1"/>
  <c r="AF138" i="1"/>
  <c r="BA138" i="1" s="1"/>
  <c r="AI138" i="1"/>
  <c r="BD138" i="1" s="1"/>
  <c r="BL138" i="1"/>
  <c r="AE139" i="1"/>
  <c r="AZ139" i="1" s="1"/>
  <c r="AF139" i="1"/>
  <c r="BO139" i="1" s="1"/>
  <c r="AI139" i="1"/>
  <c r="BD139" i="1" s="1"/>
  <c r="BL139" i="1"/>
  <c r="AE140" i="1"/>
  <c r="AZ140" i="1" s="1"/>
  <c r="AF140" i="1"/>
  <c r="BA140" i="1" s="1"/>
  <c r="AI140" i="1"/>
  <c r="BD140" i="1" s="1"/>
  <c r="BL140" i="1"/>
  <c r="AE141" i="1"/>
  <c r="AZ141" i="1" s="1"/>
  <c r="AF141" i="1"/>
  <c r="BO141" i="1" s="1"/>
  <c r="AI141" i="1"/>
  <c r="BD141" i="1" s="1"/>
  <c r="BL141" i="1"/>
  <c r="AE142" i="1"/>
  <c r="AZ142" i="1" s="1"/>
  <c r="AF142" i="1"/>
  <c r="BA142" i="1" s="1"/>
  <c r="AI142" i="1"/>
  <c r="BD142" i="1" s="1"/>
  <c r="BL142" i="1"/>
  <c r="AE143" i="1"/>
  <c r="AZ143" i="1" s="1"/>
  <c r="AF143" i="1"/>
  <c r="BA143" i="1" s="1"/>
  <c r="AI143" i="1"/>
  <c r="BD143" i="1" s="1"/>
  <c r="BL143" i="1"/>
  <c r="AE144" i="1"/>
  <c r="AZ144" i="1" s="1"/>
  <c r="AF144" i="1"/>
  <c r="BO144" i="1" s="1"/>
  <c r="AI144" i="1"/>
  <c r="BD144" i="1" s="1"/>
  <c r="BL144" i="1"/>
  <c r="AE145" i="1"/>
  <c r="AZ145" i="1" s="1"/>
  <c r="AF145" i="1"/>
  <c r="BO145" i="1" s="1"/>
  <c r="AI145" i="1"/>
  <c r="BD145" i="1" s="1"/>
  <c r="BL145" i="1"/>
  <c r="AE146" i="1"/>
  <c r="AZ146" i="1" s="1"/>
  <c r="AF146" i="1"/>
  <c r="BA146" i="1" s="1"/>
  <c r="AI146" i="1"/>
  <c r="BD146" i="1" s="1"/>
  <c r="BL146" i="1"/>
  <c r="BN146" i="1"/>
  <c r="AE147" i="1"/>
  <c r="AZ147" i="1" s="1"/>
  <c r="AF147" i="1"/>
  <c r="BA147" i="1" s="1"/>
  <c r="AI147" i="1"/>
  <c r="BD147" i="1" s="1"/>
  <c r="BL147" i="1"/>
  <c r="AE148" i="1"/>
  <c r="AZ148" i="1" s="1"/>
  <c r="AF148" i="1"/>
  <c r="BA148" i="1" s="1"/>
  <c r="AI148" i="1"/>
  <c r="BD148" i="1" s="1"/>
  <c r="BL148" i="1"/>
  <c r="AE149" i="1"/>
  <c r="AZ149" i="1" s="1"/>
  <c r="AF149" i="1"/>
  <c r="BA149" i="1" s="1"/>
  <c r="AI149" i="1"/>
  <c r="BD149" i="1" s="1"/>
  <c r="BL149" i="1"/>
  <c r="AE150" i="1"/>
  <c r="AZ150" i="1" s="1"/>
  <c r="AF150" i="1"/>
  <c r="BA150" i="1" s="1"/>
  <c r="AI150" i="1"/>
  <c r="BD150" i="1" s="1"/>
  <c r="BL150" i="1"/>
  <c r="AE151" i="1"/>
  <c r="AZ151" i="1" s="1"/>
  <c r="AF151" i="1"/>
  <c r="BO151" i="1" s="1"/>
  <c r="AI151" i="1"/>
  <c r="BD151" i="1" s="1"/>
  <c r="BL151" i="1"/>
  <c r="AE152" i="1"/>
  <c r="AZ152" i="1" s="1"/>
  <c r="AF152" i="1"/>
  <c r="BA152" i="1" s="1"/>
  <c r="AI152" i="1"/>
  <c r="BD152" i="1" s="1"/>
  <c r="BL152" i="1"/>
  <c r="AE153" i="1"/>
  <c r="AZ153" i="1" s="1"/>
  <c r="AF153" i="1"/>
  <c r="BO153" i="1" s="1"/>
  <c r="AI153" i="1"/>
  <c r="BD153" i="1" s="1"/>
  <c r="BL153" i="1"/>
  <c r="AE154" i="1"/>
  <c r="AZ154" i="1" s="1"/>
  <c r="AF154" i="1"/>
  <c r="BA154" i="1" s="1"/>
  <c r="AI154" i="1"/>
  <c r="BD154" i="1" s="1"/>
  <c r="BL154" i="1"/>
  <c r="AE155" i="1"/>
  <c r="AZ155" i="1" s="1"/>
  <c r="AF155" i="1"/>
  <c r="BO155" i="1" s="1"/>
  <c r="AI155" i="1"/>
  <c r="BD155" i="1" s="1"/>
  <c r="BL155" i="1"/>
  <c r="AE156" i="1"/>
  <c r="AZ156" i="1" s="1"/>
  <c r="AF156" i="1"/>
  <c r="BA156" i="1" s="1"/>
  <c r="AI156" i="1"/>
  <c r="BD156" i="1" s="1"/>
  <c r="BL156" i="1"/>
  <c r="AE157" i="1"/>
  <c r="AZ157" i="1" s="1"/>
  <c r="AF157" i="1"/>
  <c r="BO157" i="1" s="1"/>
  <c r="AI157" i="1"/>
  <c r="BD157" i="1" s="1"/>
  <c r="BL157" i="1"/>
  <c r="AE158" i="1"/>
  <c r="AZ158" i="1" s="1"/>
  <c r="AF158" i="1"/>
  <c r="BA158" i="1" s="1"/>
  <c r="AI158" i="1"/>
  <c r="BD158" i="1" s="1"/>
  <c r="BL158" i="1"/>
  <c r="AE159" i="1"/>
  <c r="AZ159" i="1" s="1"/>
  <c r="AF159" i="1"/>
  <c r="BA159" i="1" s="1"/>
  <c r="AI159" i="1"/>
  <c r="BD159" i="1" s="1"/>
  <c r="BL159" i="1"/>
  <c r="AE160" i="1"/>
  <c r="AZ160" i="1" s="1"/>
  <c r="AF160" i="1"/>
  <c r="BA160" i="1" s="1"/>
  <c r="AI160" i="1"/>
  <c r="BD160" i="1" s="1"/>
  <c r="BL160" i="1"/>
  <c r="AE161" i="1"/>
  <c r="AZ161" i="1" s="1"/>
  <c r="AF161" i="1"/>
  <c r="BA161" i="1" s="1"/>
  <c r="AI161" i="1"/>
  <c r="BD161" i="1" s="1"/>
  <c r="BL161" i="1"/>
  <c r="AE162" i="1"/>
  <c r="AZ162" i="1" s="1"/>
  <c r="AF162" i="1"/>
  <c r="BA162" i="1" s="1"/>
  <c r="AI162" i="1"/>
  <c r="BD162" i="1" s="1"/>
  <c r="BL162" i="1"/>
  <c r="BN162" i="1"/>
  <c r="AE163" i="1"/>
  <c r="AZ163" i="1" s="1"/>
  <c r="AF163" i="1"/>
  <c r="BA163" i="1" s="1"/>
  <c r="AI163" i="1"/>
  <c r="BD163" i="1" s="1"/>
  <c r="BL163" i="1"/>
  <c r="BN163" i="1"/>
  <c r="AE164" i="1"/>
  <c r="AZ164" i="1" s="1"/>
  <c r="AF164" i="1"/>
  <c r="BA164" i="1" s="1"/>
  <c r="AI164" i="1"/>
  <c r="BD164" i="1" s="1"/>
  <c r="BL164" i="1"/>
  <c r="AE165" i="1"/>
  <c r="AZ165" i="1" s="1"/>
  <c r="AF165" i="1"/>
  <c r="BA165" i="1" s="1"/>
  <c r="AI165" i="1"/>
  <c r="BD165" i="1" s="1"/>
  <c r="BL165" i="1"/>
  <c r="AE166" i="1"/>
  <c r="AZ166" i="1" s="1"/>
  <c r="AF166" i="1"/>
  <c r="BA166" i="1" s="1"/>
  <c r="AI166" i="1"/>
  <c r="BD166" i="1" s="1"/>
  <c r="BL166" i="1"/>
  <c r="AE167" i="1"/>
  <c r="AZ167" i="1" s="1"/>
  <c r="AF167" i="1"/>
  <c r="BO167" i="1" s="1"/>
  <c r="AI167" i="1"/>
  <c r="BD167" i="1" s="1"/>
  <c r="BL167" i="1"/>
  <c r="AE168" i="1"/>
  <c r="AZ168" i="1" s="1"/>
  <c r="AF168" i="1"/>
  <c r="BA168" i="1" s="1"/>
  <c r="AI168" i="1"/>
  <c r="BD168" i="1" s="1"/>
  <c r="BL168" i="1"/>
  <c r="AE169" i="1"/>
  <c r="AZ169" i="1" s="1"/>
  <c r="AF169" i="1"/>
  <c r="BA169" i="1" s="1"/>
  <c r="AI169" i="1"/>
  <c r="BD169" i="1" s="1"/>
  <c r="BL169" i="1"/>
  <c r="BN169" i="1"/>
  <c r="AE170" i="1"/>
  <c r="AZ170" i="1" s="1"/>
  <c r="AF170" i="1"/>
  <c r="BO170" i="1" s="1"/>
  <c r="AI170" i="1"/>
  <c r="BD170" i="1" s="1"/>
  <c r="BL170" i="1"/>
  <c r="AE171" i="1"/>
  <c r="AZ171" i="1" s="1"/>
  <c r="AF171" i="1"/>
  <c r="BA171" i="1" s="1"/>
  <c r="AI171" i="1"/>
  <c r="BD171" i="1" s="1"/>
  <c r="BL171" i="1"/>
  <c r="AE172" i="1"/>
  <c r="AZ172" i="1" s="1"/>
  <c r="AF172" i="1"/>
  <c r="BA172" i="1" s="1"/>
  <c r="AI172" i="1"/>
  <c r="BD172" i="1" s="1"/>
  <c r="BL172" i="1"/>
  <c r="AE173" i="1"/>
  <c r="AZ173" i="1" s="1"/>
  <c r="AF173" i="1"/>
  <c r="BA173" i="1" s="1"/>
  <c r="AI173" i="1"/>
  <c r="BD173" i="1" s="1"/>
  <c r="BL173" i="1"/>
  <c r="AE174" i="1"/>
  <c r="AZ174" i="1" s="1"/>
  <c r="AF174" i="1"/>
  <c r="BO174" i="1" s="1"/>
  <c r="AI174" i="1"/>
  <c r="BD174" i="1" s="1"/>
  <c r="BL174" i="1"/>
  <c r="BN174" i="1"/>
  <c r="AE175" i="1"/>
  <c r="AZ175" i="1" s="1"/>
  <c r="AF175" i="1"/>
  <c r="BA175" i="1" s="1"/>
  <c r="AI175" i="1"/>
  <c r="BD175" i="1" s="1"/>
  <c r="BL175" i="1"/>
  <c r="AE176" i="1"/>
  <c r="AZ176" i="1" s="1"/>
  <c r="AF176" i="1"/>
  <c r="BA176" i="1" s="1"/>
  <c r="AI176" i="1"/>
  <c r="BD176" i="1" s="1"/>
  <c r="BL176" i="1"/>
  <c r="AE177" i="1"/>
  <c r="AZ177" i="1" s="1"/>
  <c r="AF177" i="1"/>
  <c r="BA177" i="1" s="1"/>
  <c r="AI177" i="1"/>
  <c r="BD177" i="1" s="1"/>
  <c r="BL177" i="1"/>
  <c r="AE178" i="1"/>
  <c r="AZ178" i="1" s="1"/>
  <c r="AF178" i="1"/>
  <c r="BO178" i="1" s="1"/>
  <c r="AI178" i="1"/>
  <c r="BD178" i="1" s="1"/>
  <c r="BL178" i="1"/>
  <c r="AE179" i="1"/>
  <c r="AZ179" i="1" s="1"/>
  <c r="AF179" i="1"/>
  <c r="BO179" i="1" s="1"/>
  <c r="AI179" i="1"/>
  <c r="BD179" i="1" s="1"/>
  <c r="BL179" i="1"/>
  <c r="AE180" i="1"/>
  <c r="AZ180" i="1" s="1"/>
  <c r="AF180" i="1"/>
  <c r="BA180" i="1" s="1"/>
  <c r="AI180" i="1"/>
  <c r="BD180" i="1" s="1"/>
  <c r="BL180" i="1"/>
  <c r="BN180" i="1"/>
  <c r="AE181" i="1"/>
  <c r="AZ181" i="1" s="1"/>
  <c r="AF181" i="1"/>
  <c r="BO181" i="1" s="1"/>
  <c r="AI181" i="1"/>
  <c r="BD181" i="1" s="1"/>
  <c r="BL181" i="1"/>
  <c r="AE182" i="1"/>
  <c r="AZ182" i="1" s="1"/>
  <c r="AF182" i="1"/>
  <c r="BO182" i="1" s="1"/>
  <c r="AI182" i="1"/>
  <c r="BD182" i="1" s="1"/>
  <c r="BL182" i="1"/>
  <c r="AE183" i="1"/>
  <c r="AZ183" i="1" s="1"/>
  <c r="AF183" i="1"/>
  <c r="BO183" i="1" s="1"/>
  <c r="AI183" i="1"/>
  <c r="BD183" i="1" s="1"/>
  <c r="BL183" i="1"/>
  <c r="AE184" i="1"/>
  <c r="AZ184" i="1" s="1"/>
  <c r="AF184" i="1"/>
  <c r="BA184" i="1" s="1"/>
  <c r="AI184" i="1"/>
  <c r="BD184" i="1" s="1"/>
  <c r="BL184" i="1"/>
  <c r="AE185" i="1"/>
  <c r="AZ185" i="1" s="1"/>
  <c r="AF185" i="1"/>
  <c r="BA185" i="1" s="1"/>
  <c r="AI185" i="1"/>
  <c r="BD185" i="1" s="1"/>
  <c r="BL185" i="1"/>
  <c r="AE186" i="1"/>
  <c r="AZ186" i="1" s="1"/>
  <c r="AF186" i="1"/>
  <c r="BA186" i="1" s="1"/>
  <c r="AI186" i="1"/>
  <c r="BD186" i="1" s="1"/>
  <c r="BL186" i="1"/>
  <c r="AE187" i="1"/>
  <c r="AZ187" i="1" s="1"/>
  <c r="AF187" i="1"/>
  <c r="BA187" i="1" s="1"/>
  <c r="AI187" i="1"/>
  <c r="BD187" i="1" s="1"/>
  <c r="BL187" i="1"/>
  <c r="AE188" i="1"/>
  <c r="AZ188" i="1" s="1"/>
  <c r="AF188" i="1"/>
  <c r="BA188" i="1" s="1"/>
  <c r="AI188" i="1"/>
  <c r="BD188" i="1" s="1"/>
  <c r="BL188" i="1"/>
  <c r="AE189" i="1"/>
  <c r="AZ189" i="1" s="1"/>
  <c r="AF189" i="1"/>
  <c r="BO189" i="1" s="1"/>
  <c r="AI189" i="1"/>
  <c r="BD189" i="1" s="1"/>
  <c r="BL189" i="1"/>
  <c r="AE190" i="1"/>
  <c r="AZ190" i="1" s="1"/>
  <c r="AF190" i="1"/>
  <c r="BO190" i="1" s="1"/>
  <c r="AI190" i="1"/>
  <c r="BD190" i="1" s="1"/>
  <c r="BL190" i="1"/>
  <c r="AE191" i="1"/>
  <c r="AZ191" i="1" s="1"/>
  <c r="AF191" i="1"/>
  <c r="BA191" i="1" s="1"/>
  <c r="AI191" i="1"/>
  <c r="BD191" i="1" s="1"/>
  <c r="BL191" i="1"/>
  <c r="AE192" i="1"/>
  <c r="AZ192" i="1" s="1"/>
  <c r="AF192" i="1"/>
  <c r="BA192" i="1" s="1"/>
  <c r="AI192" i="1"/>
  <c r="BD192" i="1" s="1"/>
  <c r="BL192" i="1"/>
  <c r="AE193" i="1"/>
  <c r="AZ193" i="1" s="1"/>
  <c r="AF193" i="1"/>
  <c r="BO193" i="1" s="1"/>
  <c r="AI193" i="1"/>
  <c r="BD193" i="1" s="1"/>
  <c r="BL193" i="1"/>
  <c r="AE194" i="1"/>
  <c r="AZ194" i="1" s="1"/>
  <c r="AF194" i="1"/>
  <c r="BO194" i="1" s="1"/>
  <c r="AI194" i="1"/>
  <c r="BD194" i="1" s="1"/>
  <c r="BL194" i="1"/>
  <c r="AE195" i="1"/>
  <c r="AZ195" i="1" s="1"/>
  <c r="AF195" i="1"/>
  <c r="BO195" i="1" s="1"/>
  <c r="AI195" i="1"/>
  <c r="BD195" i="1" s="1"/>
  <c r="BL195" i="1"/>
  <c r="AE196" i="1"/>
  <c r="AZ196" i="1" s="1"/>
  <c r="AF196" i="1"/>
  <c r="BA196" i="1" s="1"/>
  <c r="AI196" i="1"/>
  <c r="BD196" i="1" s="1"/>
  <c r="BL196" i="1"/>
  <c r="AE197" i="1"/>
  <c r="AZ197" i="1" s="1"/>
  <c r="AF197" i="1"/>
  <c r="BA197" i="1" s="1"/>
  <c r="AI197" i="1"/>
  <c r="BD197" i="1" s="1"/>
  <c r="BL197" i="1"/>
  <c r="AE198" i="1"/>
  <c r="AZ198" i="1" s="1"/>
  <c r="AF198" i="1"/>
  <c r="BA198" i="1" s="1"/>
  <c r="AI198" i="1"/>
  <c r="BD198" i="1" s="1"/>
  <c r="BL198" i="1"/>
  <c r="AE199" i="1"/>
  <c r="AZ199" i="1" s="1"/>
  <c r="AF199" i="1"/>
  <c r="BA199" i="1" s="1"/>
  <c r="AI199" i="1"/>
  <c r="BD199" i="1" s="1"/>
  <c r="BL199" i="1"/>
  <c r="AE200" i="1"/>
  <c r="AZ200" i="1" s="1"/>
  <c r="AF200" i="1"/>
  <c r="BA200" i="1" s="1"/>
  <c r="AI200" i="1"/>
  <c r="BD200" i="1" s="1"/>
  <c r="BL200" i="1"/>
  <c r="AE201" i="1"/>
  <c r="AZ201" i="1" s="1"/>
  <c r="AF201" i="1"/>
  <c r="BO201" i="1" s="1"/>
  <c r="AI201" i="1"/>
  <c r="BD201" i="1" s="1"/>
  <c r="BL201" i="1"/>
  <c r="AE202" i="1"/>
  <c r="AZ202" i="1" s="1"/>
  <c r="AF202" i="1"/>
  <c r="BO202" i="1" s="1"/>
  <c r="AI202" i="1"/>
  <c r="BD202" i="1" s="1"/>
  <c r="BL202" i="1"/>
  <c r="AE203" i="1"/>
  <c r="AZ203" i="1" s="1"/>
  <c r="AF203" i="1"/>
  <c r="BA203" i="1" s="1"/>
  <c r="AI203" i="1"/>
  <c r="BD203" i="1" s="1"/>
  <c r="BL203" i="1"/>
  <c r="AE204" i="1"/>
  <c r="AZ204" i="1" s="1"/>
  <c r="AF204" i="1"/>
  <c r="BA204" i="1" s="1"/>
  <c r="AI204" i="1"/>
  <c r="BD204" i="1" s="1"/>
  <c r="BL204" i="1"/>
  <c r="BN204" i="1"/>
  <c r="AE205" i="1"/>
  <c r="AZ205" i="1" s="1"/>
  <c r="AF205" i="1"/>
  <c r="BA205" i="1" s="1"/>
  <c r="AI205" i="1"/>
  <c r="BD205" i="1" s="1"/>
  <c r="BL205" i="1"/>
  <c r="AE206" i="1"/>
  <c r="AZ206" i="1" s="1"/>
  <c r="AF206" i="1"/>
  <c r="BO206" i="1" s="1"/>
  <c r="AI206" i="1"/>
  <c r="BD206" i="1" s="1"/>
  <c r="BL206" i="1"/>
  <c r="AE207" i="1"/>
  <c r="AZ207" i="1" s="1"/>
  <c r="AF207" i="1"/>
  <c r="BA207" i="1" s="1"/>
  <c r="AI207" i="1"/>
  <c r="BD207" i="1" s="1"/>
  <c r="BL207" i="1"/>
  <c r="AE208" i="1"/>
  <c r="AZ208" i="1" s="1"/>
  <c r="AF208" i="1"/>
  <c r="BA208" i="1" s="1"/>
  <c r="AI208" i="1"/>
  <c r="BD208" i="1" s="1"/>
  <c r="BL208" i="1"/>
  <c r="AE209" i="1"/>
  <c r="AZ209" i="1" s="1"/>
  <c r="AF209" i="1"/>
  <c r="BO209" i="1" s="1"/>
  <c r="AI209" i="1"/>
  <c r="BD209" i="1" s="1"/>
  <c r="BL209" i="1"/>
  <c r="AE210" i="1"/>
  <c r="AZ210" i="1" s="1"/>
  <c r="AF210" i="1"/>
  <c r="BA210" i="1" s="1"/>
  <c r="AI210" i="1"/>
  <c r="BD210" i="1" s="1"/>
  <c r="BL210" i="1"/>
  <c r="BN210" i="1"/>
  <c r="AE211" i="1"/>
  <c r="AZ211" i="1" s="1"/>
  <c r="AF211" i="1"/>
  <c r="BA211" i="1" s="1"/>
  <c r="AI211" i="1"/>
  <c r="BD211" i="1" s="1"/>
  <c r="BL211" i="1"/>
  <c r="BN211" i="1"/>
  <c r="AE212" i="1"/>
  <c r="AZ212" i="1" s="1"/>
  <c r="AF212" i="1"/>
  <c r="BA212" i="1" s="1"/>
  <c r="AI212" i="1"/>
  <c r="BD212" i="1" s="1"/>
  <c r="BL212" i="1"/>
  <c r="AE213" i="1"/>
  <c r="AZ213" i="1" s="1"/>
  <c r="AF213" i="1"/>
  <c r="BA213" i="1" s="1"/>
  <c r="AI213" i="1"/>
  <c r="BD213" i="1" s="1"/>
  <c r="BL213" i="1"/>
  <c r="AE214" i="1"/>
  <c r="AZ214" i="1" s="1"/>
  <c r="AF214" i="1"/>
  <c r="BO214" i="1" s="1"/>
  <c r="AI214" i="1"/>
  <c r="BD214" i="1" s="1"/>
  <c r="BL214" i="1"/>
  <c r="AE215" i="1"/>
  <c r="AZ215" i="1" s="1"/>
  <c r="AF215" i="1"/>
  <c r="BA215" i="1" s="1"/>
  <c r="AI215" i="1"/>
  <c r="BD215" i="1" s="1"/>
  <c r="BL215" i="1"/>
  <c r="AE216" i="1"/>
  <c r="AZ216" i="1" s="1"/>
  <c r="AF216" i="1"/>
  <c r="BA216" i="1" s="1"/>
  <c r="AI216" i="1"/>
  <c r="BD216" i="1" s="1"/>
  <c r="BL216" i="1"/>
  <c r="AE217" i="1"/>
  <c r="AZ217" i="1" s="1"/>
  <c r="AF217" i="1"/>
  <c r="BO217" i="1" s="1"/>
  <c r="AI217" i="1"/>
  <c r="BD217" i="1" s="1"/>
  <c r="BL217" i="1"/>
  <c r="AE218" i="1"/>
  <c r="AZ218" i="1" s="1"/>
  <c r="AF218" i="1"/>
  <c r="BA218" i="1" s="1"/>
  <c r="AI218" i="1"/>
  <c r="BD218" i="1" s="1"/>
  <c r="BL218" i="1"/>
  <c r="AE219" i="1"/>
  <c r="AZ219" i="1" s="1"/>
  <c r="AF219" i="1"/>
  <c r="BA219" i="1" s="1"/>
  <c r="AI219" i="1"/>
  <c r="BD219" i="1" s="1"/>
  <c r="BL219" i="1"/>
  <c r="AE220" i="1"/>
  <c r="AZ220" i="1" s="1"/>
  <c r="AF220" i="1"/>
  <c r="BO220" i="1" s="1"/>
  <c r="AI220" i="1"/>
  <c r="BD220" i="1" s="1"/>
  <c r="BL220" i="1"/>
  <c r="AE221" i="1"/>
  <c r="AZ221" i="1" s="1"/>
  <c r="AF221" i="1"/>
  <c r="BA221" i="1" s="1"/>
  <c r="AI221" i="1"/>
  <c r="BD221" i="1" s="1"/>
  <c r="BL221" i="1"/>
  <c r="BN221" i="1"/>
  <c r="AE222" i="1"/>
  <c r="AZ222" i="1" s="1"/>
  <c r="AF222" i="1"/>
  <c r="BA222" i="1" s="1"/>
  <c r="AI222" i="1"/>
  <c r="BD222" i="1" s="1"/>
  <c r="BL222" i="1"/>
  <c r="BN222" i="1"/>
  <c r="AE223" i="1"/>
  <c r="AZ223" i="1" s="1"/>
  <c r="AF223" i="1"/>
  <c r="BA223" i="1" s="1"/>
  <c r="AI223" i="1"/>
  <c r="BD223" i="1" s="1"/>
  <c r="BL223" i="1"/>
  <c r="AE224" i="1"/>
  <c r="AZ224" i="1" s="1"/>
  <c r="AF224" i="1"/>
  <c r="BA224" i="1" s="1"/>
  <c r="AI224" i="1"/>
  <c r="BD224" i="1" s="1"/>
  <c r="BL224" i="1"/>
  <c r="AE225" i="1"/>
  <c r="AZ225" i="1" s="1"/>
  <c r="AF225" i="1"/>
  <c r="BO225" i="1" s="1"/>
  <c r="AI225" i="1"/>
  <c r="BD225" i="1" s="1"/>
  <c r="BL225" i="1"/>
  <c r="AE226" i="1"/>
  <c r="AZ226" i="1" s="1"/>
  <c r="AF226" i="1"/>
  <c r="BA226" i="1" s="1"/>
  <c r="AI226" i="1"/>
  <c r="BD226" i="1" s="1"/>
  <c r="BL226" i="1"/>
  <c r="AE227" i="1"/>
  <c r="AZ227" i="1" s="1"/>
  <c r="AF227" i="1"/>
  <c r="BO227" i="1" s="1"/>
  <c r="AI227" i="1"/>
  <c r="BD227" i="1" s="1"/>
  <c r="BL227" i="1"/>
  <c r="AE228" i="1"/>
  <c r="AZ228" i="1" s="1"/>
  <c r="AF228" i="1"/>
  <c r="BA228" i="1" s="1"/>
  <c r="AI228" i="1"/>
  <c r="BD228" i="1" s="1"/>
  <c r="BL228" i="1"/>
  <c r="BN228" i="1"/>
  <c r="AE229" i="1"/>
  <c r="AZ229" i="1" s="1"/>
  <c r="AF229" i="1"/>
  <c r="BA229" i="1" s="1"/>
  <c r="AI229" i="1"/>
  <c r="BD229" i="1" s="1"/>
  <c r="BL229" i="1"/>
  <c r="BN229" i="1"/>
  <c r="AE230" i="1"/>
  <c r="AZ230" i="1" s="1"/>
  <c r="AF230" i="1"/>
  <c r="BO230" i="1" s="1"/>
  <c r="AI230" i="1"/>
  <c r="BD230" i="1" s="1"/>
  <c r="BL230" i="1"/>
  <c r="AE231" i="1"/>
  <c r="AZ231" i="1" s="1"/>
  <c r="AF231" i="1"/>
  <c r="BO231" i="1" s="1"/>
  <c r="AI231" i="1"/>
  <c r="BD231" i="1" s="1"/>
  <c r="BL231" i="1"/>
  <c r="AE232" i="1"/>
  <c r="AZ232" i="1" s="1"/>
  <c r="AF232" i="1"/>
  <c r="BO232" i="1" s="1"/>
  <c r="AI232" i="1"/>
  <c r="BD232" i="1" s="1"/>
  <c r="BL232" i="1"/>
  <c r="AE233" i="1"/>
  <c r="AZ233" i="1" s="1"/>
  <c r="AF233" i="1"/>
  <c r="BA233" i="1" s="1"/>
  <c r="AI233" i="1"/>
  <c r="BD233" i="1" s="1"/>
  <c r="BL233" i="1"/>
  <c r="AE234" i="1"/>
  <c r="AZ234" i="1" s="1"/>
  <c r="AF234" i="1"/>
  <c r="BA234" i="1" s="1"/>
  <c r="AI234" i="1"/>
  <c r="BD234" i="1" s="1"/>
  <c r="BL234" i="1"/>
  <c r="AE235" i="1"/>
  <c r="AZ235" i="1" s="1"/>
  <c r="AF235" i="1"/>
  <c r="BA235" i="1" s="1"/>
  <c r="AI235" i="1"/>
  <c r="BD235" i="1" s="1"/>
  <c r="BL235" i="1"/>
  <c r="AE236" i="1"/>
  <c r="AZ236" i="1" s="1"/>
  <c r="AF236" i="1"/>
  <c r="BA236" i="1" s="1"/>
  <c r="AI236" i="1"/>
  <c r="BD236" i="1" s="1"/>
  <c r="BL236" i="1"/>
  <c r="AE237" i="1"/>
  <c r="AZ237" i="1" s="1"/>
  <c r="AF237" i="1"/>
  <c r="BO237" i="1" s="1"/>
  <c r="AI237" i="1"/>
  <c r="BD237" i="1" s="1"/>
  <c r="BL237" i="1"/>
  <c r="AE238" i="1"/>
  <c r="AZ238" i="1" s="1"/>
  <c r="AF238" i="1"/>
  <c r="BA238" i="1" s="1"/>
  <c r="AI238" i="1"/>
  <c r="BD238" i="1" s="1"/>
  <c r="BL238" i="1"/>
  <c r="AE239" i="1"/>
  <c r="AZ239" i="1" s="1"/>
  <c r="AF239" i="1"/>
  <c r="BO239" i="1" s="1"/>
  <c r="AI239" i="1"/>
  <c r="BD239" i="1" s="1"/>
  <c r="BL239" i="1"/>
  <c r="AE240" i="1"/>
  <c r="AZ240" i="1" s="1"/>
  <c r="AF240" i="1"/>
  <c r="BA240" i="1" s="1"/>
  <c r="AI240" i="1"/>
  <c r="BD240" i="1" s="1"/>
  <c r="BL240" i="1"/>
  <c r="BN240" i="1"/>
  <c r="AE241" i="1"/>
  <c r="AZ241" i="1" s="1"/>
  <c r="AF241" i="1"/>
  <c r="BA241" i="1" s="1"/>
  <c r="AI241" i="1"/>
  <c r="BD241" i="1" s="1"/>
  <c r="BL241" i="1"/>
  <c r="AE242" i="1"/>
  <c r="AZ242" i="1" s="1"/>
  <c r="AF242" i="1"/>
  <c r="BO242" i="1" s="1"/>
  <c r="AI242" i="1"/>
  <c r="BD242" i="1" s="1"/>
  <c r="BL242" i="1"/>
  <c r="AE243" i="1"/>
  <c r="AZ243" i="1" s="1"/>
  <c r="AF243" i="1"/>
  <c r="BO243" i="1" s="1"/>
  <c r="AI243" i="1"/>
  <c r="BD243" i="1" s="1"/>
  <c r="BL243" i="1"/>
  <c r="AE244" i="1"/>
  <c r="AZ244" i="1" s="1"/>
  <c r="AF244" i="1"/>
  <c r="BA244" i="1" s="1"/>
  <c r="AI244" i="1"/>
  <c r="BD244" i="1" s="1"/>
  <c r="BL244" i="1"/>
  <c r="AE245" i="1"/>
  <c r="AZ245" i="1" s="1"/>
  <c r="AF245" i="1"/>
  <c r="BA245" i="1" s="1"/>
  <c r="AI245" i="1"/>
  <c r="BD245" i="1" s="1"/>
  <c r="BL245" i="1"/>
  <c r="AE246" i="1"/>
  <c r="AZ246" i="1" s="1"/>
  <c r="AF246" i="1"/>
  <c r="BO246" i="1" s="1"/>
  <c r="AI246" i="1"/>
  <c r="BD246" i="1" s="1"/>
  <c r="BL246" i="1"/>
  <c r="BN246" i="1"/>
  <c r="AE247" i="1"/>
  <c r="AZ247" i="1" s="1"/>
  <c r="AF247" i="1"/>
  <c r="BA247" i="1" s="1"/>
  <c r="AI247" i="1"/>
  <c r="BD247" i="1" s="1"/>
  <c r="BL247" i="1"/>
  <c r="AE248" i="1"/>
  <c r="AZ248" i="1" s="1"/>
  <c r="AF248" i="1"/>
  <c r="BA248" i="1" s="1"/>
  <c r="AI248" i="1"/>
  <c r="BD248" i="1" s="1"/>
  <c r="BL248" i="1"/>
  <c r="AE249" i="1"/>
  <c r="AZ249" i="1" s="1"/>
  <c r="AF249" i="1"/>
  <c r="BO249" i="1" s="1"/>
  <c r="AI249" i="1"/>
  <c r="BD249" i="1" s="1"/>
  <c r="BL249" i="1"/>
  <c r="AE250" i="1"/>
  <c r="AZ250" i="1" s="1"/>
  <c r="AF250" i="1"/>
  <c r="BA250" i="1" s="1"/>
  <c r="AI250" i="1"/>
  <c r="BD250" i="1" s="1"/>
  <c r="BL250" i="1"/>
  <c r="BN250" i="1"/>
  <c r="AE251" i="1"/>
  <c r="AZ251" i="1" s="1"/>
  <c r="AF251" i="1"/>
  <c r="BA251" i="1" s="1"/>
  <c r="AI251" i="1"/>
  <c r="BD251" i="1" s="1"/>
  <c r="BL251" i="1"/>
  <c r="BN251" i="1"/>
  <c r="AE252" i="1"/>
  <c r="AZ252" i="1" s="1"/>
  <c r="AF252" i="1"/>
  <c r="BA252" i="1" s="1"/>
  <c r="AI252" i="1"/>
  <c r="BD252" i="1" s="1"/>
  <c r="BL252" i="1"/>
  <c r="AE253" i="1"/>
  <c r="AZ253" i="1" s="1"/>
  <c r="AF253" i="1"/>
  <c r="BA253" i="1" s="1"/>
  <c r="AI253" i="1"/>
  <c r="BD253" i="1" s="1"/>
  <c r="BL253" i="1"/>
  <c r="BM253" i="1"/>
  <c r="AE254" i="1"/>
  <c r="AZ254" i="1" s="1"/>
  <c r="AF254" i="1"/>
  <c r="BO254" i="1" s="1"/>
  <c r="AI254" i="1"/>
  <c r="BD254" i="1" s="1"/>
  <c r="BL254" i="1"/>
  <c r="AE255" i="1"/>
  <c r="AZ255" i="1" s="1"/>
  <c r="AF255" i="1"/>
  <c r="BA255" i="1" s="1"/>
  <c r="AI255" i="1"/>
  <c r="BD255" i="1" s="1"/>
  <c r="BL255" i="1"/>
  <c r="AE256" i="1"/>
  <c r="AZ256" i="1" s="1"/>
  <c r="AF256" i="1"/>
  <c r="BA256" i="1" s="1"/>
  <c r="AI256" i="1"/>
  <c r="BD256" i="1" s="1"/>
  <c r="BL256" i="1"/>
  <c r="AE257" i="1"/>
  <c r="AZ257" i="1" s="1"/>
  <c r="AF257" i="1"/>
  <c r="BA257" i="1" s="1"/>
  <c r="AI257" i="1"/>
  <c r="BD257" i="1" s="1"/>
  <c r="BL257" i="1"/>
  <c r="AE258" i="1"/>
  <c r="AZ258" i="1" s="1"/>
  <c r="AF258" i="1"/>
  <c r="BA258" i="1" s="1"/>
  <c r="AI258" i="1"/>
  <c r="BD258" i="1" s="1"/>
  <c r="BL258" i="1"/>
  <c r="AE259" i="1"/>
  <c r="AZ259" i="1" s="1"/>
  <c r="AF259" i="1"/>
  <c r="BA259" i="1" s="1"/>
  <c r="AI259" i="1"/>
  <c r="BD259" i="1" s="1"/>
  <c r="BL259" i="1"/>
  <c r="AE260" i="1"/>
  <c r="AZ260" i="1" s="1"/>
  <c r="AF260" i="1"/>
  <c r="BA260" i="1" s="1"/>
  <c r="AI260" i="1"/>
  <c r="BD260" i="1" s="1"/>
  <c r="BL260" i="1"/>
  <c r="AE261" i="1"/>
  <c r="AZ261" i="1" s="1"/>
  <c r="AF261" i="1"/>
  <c r="BO261" i="1" s="1"/>
  <c r="AI261" i="1"/>
  <c r="BD261" i="1" s="1"/>
  <c r="BL261" i="1"/>
  <c r="AE262" i="1"/>
  <c r="AZ262" i="1" s="1"/>
  <c r="AF262" i="1"/>
  <c r="BA262" i="1" s="1"/>
  <c r="AI262" i="1"/>
  <c r="BD262" i="1" s="1"/>
  <c r="BL262" i="1"/>
  <c r="AE263" i="1"/>
  <c r="AZ263" i="1" s="1"/>
  <c r="AF263" i="1"/>
  <c r="BA263" i="1" s="1"/>
  <c r="AI263" i="1"/>
  <c r="BD263" i="1" s="1"/>
  <c r="BL263" i="1"/>
  <c r="AE264" i="1"/>
  <c r="AZ264" i="1" s="1"/>
  <c r="AF264" i="1"/>
  <c r="BA264" i="1" s="1"/>
  <c r="AI264" i="1"/>
  <c r="BD264" i="1" s="1"/>
  <c r="BL264" i="1"/>
  <c r="AE265" i="1"/>
  <c r="AZ265" i="1" s="1"/>
  <c r="AF265" i="1"/>
  <c r="BA265" i="1" s="1"/>
  <c r="AI265" i="1"/>
  <c r="BD265" i="1" s="1"/>
  <c r="BL265" i="1"/>
  <c r="AE266" i="1"/>
  <c r="AZ266" i="1" s="1"/>
  <c r="AF266" i="1"/>
  <c r="BO266" i="1" s="1"/>
  <c r="AI266" i="1"/>
  <c r="BD266" i="1" s="1"/>
  <c r="BL266" i="1"/>
  <c r="AE267" i="1"/>
  <c r="AZ267" i="1" s="1"/>
  <c r="AF267" i="1"/>
  <c r="BA267" i="1" s="1"/>
  <c r="AI267" i="1"/>
  <c r="BD267" i="1" s="1"/>
  <c r="BL267" i="1"/>
  <c r="AE268" i="1"/>
  <c r="AZ268" i="1" s="1"/>
  <c r="AF268" i="1"/>
  <c r="BO268" i="1" s="1"/>
  <c r="AI268" i="1"/>
  <c r="BD268" i="1" s="1"/>
  <c r="BL268" i="1"/>
  <c r="AE269" i="1"/>
  <c r="AZ269" i="1" s="1"/>
  <c r="AF269" i="1"/>
  <c r="BA269" i="1" s="1"/>
  <c r="AI269" i="1"/>
  <c r="BD269" i="1" s="1"/>
  <c r="BL269" i="1"/>
  <c r="AE270" i="1"/>
  <c r="AZ270" i="1" s="1"/>
  <c r="AF270" i="1"/>
  <c r="BA270" i="1" s="1"/>
  <c r="AI270" i="1"/>
  <c r="BD270" i="1" s="1"/>
  <c r="BL270" i="1"/>
  <c r="BN270" i="1"/>
  <c r="AE271" i="1"/>
  <c r="AZ271" i="1" s="1"/>
  <c r="AF271" i="1"/>
  <c r="BA271" i="1" s="1"/>
  <c r="AI271" i="1"/>
  <c r="BD271" i="1" s="1"/>
  <c r="BL271" i="1"/>
  <c r="AE272" i="1"/>
  <c r="AZ272" i="1" s="1"/>
  <c r="AF272" i="1"/>
  <c r="BO272" i="1" s="1"/>
  <c r="AI272" i="1"/>
  <c r="BD272" i="1" s="1"/>
  <c r="BL272" i="1"/>
  <c r="AE273" i="1"/>
  <c r="AZ273" i="1" s="1"/>
  <c r="AF273" i="1"/>
  <c r="BO273" i="1" s="1"/>
  <c r="AI273" i="1"/>
  <c r="BD273" i="1" s="1"/>
  <c r="BL273" i="1"/>
  <c r="AE274" i="1"/>
  <c r="AZ274" i="1" s="1"/>
  <c r="AF274" i="1"/>
  <c r="BO274" i="1" s="1"/>
  <c r="AI274" i="1"/>
  <c r="BD274" i="1" s="1"/>
  <c r="BL274" i="1"/>
  <c r="AE275" i="1"/>
  <c r="AZ275" i="1" s="1"/>
  <c r="AF275" i="1"/>
  <c r="BA275" i="1" s="1"/>
  <c r="AI275" i="1"/>
  <c r="BD275" i="1" s="1"/>
  <c r="BL275" i="1"/>
  <c r="AE276" i="1"/>
  <c r="AZ276" i="1" s="1"/>
  <c r="AF276" i="1"/>
  <c r="BA276" i="1" s="1"/>
  <c r="AI276" i="1"/>
  <c r="BD276" i="1" s="1"/>
  <c r="BL276" i="1"/>
  <c r="BN276" i="1"/>
  <c r="AE277" i="1"/>
  <c r="AZ277" i="1" s="1"/>
  <c r="AF277" i="1"/>
  <c r="BA277" i="1" s="1"/>
  <c r="AI277" i="1"/>
  <c r="BD277" i="1" s="1"/>
  <c r="BL277" i="1"/>
  <c r="AE278" i="1"/>
  <c r="AZ278" i="1" s="1"/>
  <c r="AF278" i="1"/>
  <c r="BA278" i="1" s="1"/>
  <c r="AI278" i="1"/>
  <c r="BD278" i="1" s="1"/>
  <c r="BL278" i="1"/>
  <c r="BN278" i="1"/>
  <c r="AE279" i="1"/>
  <c r="AZ279" i="1" s="1"/>
  <c r="AF279" i="1"/>
  <c r="BA279" i="1" s="1"/>
  <c r="AI279" i="1"/>
  <c r="BD279" i="1" s="1"/>
  <c r="BL279" i="1"/>
  <c r="AE280" i="1"/>
  <c r="AZ280" i="1" s="1"/>
  <c r="AF280" i="1"/>
  <c r="BA280" i="1" s="1"/>
  <c r="AI280" i="1"/>
  <c r="BD280" i="1" s="1"/>
  <c r="BL280" i="1"/>
  <c r="AE281" i="1"/>
  <c r="AZ281" i="1" s="1"/>
  <c r="AF281" i="1"/>
  <c r="BA281" i="1" s="1"/>
  <c r="AI281" i="1"/>
  <c r="BD281" i="1" s="1"/>
  <c r="BL281" i="1"/>
  <c r="AE282" i="1"/>
  <c r="AZ282" i="1" s="1"/>
  <c r="AF282" i="1"/>
  <c r="BA282" i="1" s="1"/>
  <c r="AI282" i="1"/>
  <c r="BD282" i="1" s="1"/>
  <c r="BL282" i="1"/>
  <c r="BN282" i="1"/>
  <c r="AE283" i="1"/>
  <c r="AZ283" i="1" s="1"/>
  <c r="AF283" i="1"/>
  <c r="BA283" i="1" s="1"/>
  <c r="AI283" i="1"/>
  <c r="BD283" i="1" s="1"/>
  <c r="BL283" i="1"/>
  <c r="AE284" i="1"/>
  <c r="AZ284" i="1" s="1"/>
  <c r="AF284" i="1"/>
  <c r="BA284" i="1" s="1"/>
  <c r="AI284" i="1"/>
  <c r="BD284" i="1" s="1"/>
  <c r="BL284" i="1"/>
  <c r="AE285" i="1"/>
  <c r="AZ285" i="1" s="1"/>
  <c r="AF285" i="1"/>
  <c r="BA285" i="1" s="1"/>
  <c r="AI285" i="1"/>
  <c r="BD285" i="1" s="1"/>
  <c r="BL285" i="1"/>
  <c r="AE286" i="1"/>
  <c r="AZ286" i="1" s="1"/>
  <c r="AF286" i="1"/>
  <c r="BA286" i="1" s="1"/>
  <c r="AI286" i="1"/>
  <c r="BD286" i="1" s="1"/>
  <c r="BL286" i="1"/>
  <c r="AE287" i="1"/>
  <c r="AZ287" i="1" s="1"/>
  <c r="AF287" i="1"/>
  <c r="BA287" i="1" s="1"/>
  <c r="AI287" i="1"/>
  <c r="BD287" i="1" s="1"/>
  <c r="BL287" i="1"/>
  <c r="AE288" i="1"/>
  <c r="AZ288" i="1" s="1"/>
  <c r="AF288" i="1"/>
  <c r="BA288" i="1" s="1"/>
  <c r="AI288" i="1"/>
  <c r="BD288" i="1" s="1"/>
  <c r="BL288" i="1"/>
  <c r="AE289" i="1"/>
  <c r="AZ289" i="1" s="1"/>
  <c r="AF289" i="1"/>
  <c r="BA289" i="1" s="1"/>
  <c r="AI289" i="1"/>
  <c r="BD289" i="1" s="1"/>
  <c r="BL289" i="1"/>
  <c r="AE290" i="1"/>
  <c r="AZ290" i="1" s="1"/>
  <c r="AF290" i="1"/>
  <c r="BA290" i="1" s="1"/>
  <c r="AI290" i="1"/>
  <c r="BD290" i="1" s="1"/>
  <c r="BL290" i="1"/>
  <c r="AE291" i="1"/>
  <c r="AZ291" i="1" s="1"/>
  <c r="AF291" i="1"/>
  <c r="BA291" i="1" s="1"/>
  <c r="AI291" i="1"/>
  <c r="BD291" i="1" s="1"/>
  <c r="BL291" i="1"/>
  <c r="AE292" i="1"/>
  <c r="AZ292" i="1" s="1"/>
  <c r="AF292" i="1"/>
  <c r="BA292" i="1" s="1"/>
  <c r="AI292" i="1"/>
  <c r="BD292" i="1" s="1"/>
  <c r="BL292" i="1"/>
  <c r="AE293" i="1"/>
  <c r="AZ293" i="1" s="1"/>
  <c r="AF293" i="1"/>
  <c r="BO293" i="1" s="1"/>
  <c r="AI293" i="1"/>
  <c r="BD293" i="1" s="1"/>
  <c r="BL293" i="1"/>
  <c r="AE294" i="1"/>
  <c r="AZ294" i="1" s="1"/>
  <c r="AF294" i="1"/>
  <c r="BA294" i="1" s="1"/>
  <c r="AI294" i="1"/>
  <c r="BD294" i="1" s="1"/>
  <c r="BL294" i="1"/>
  <c r="BN294" i="1"/>
  <c r="AE295" i="1"/>
  <c r="AZ295" i="1" s="1"/>
  <c r="AF295" i="1"/>
  <c r="BA295" i="1" s="1"/>
  <c r="AI295" i="1"/>
  <c r="BD295" i="1" s="1"/>
  <c r="BL295" i="1"/>
  <c r="AE296" i="1"/>
  <c r="AZ296" i="1" s="1"/>
  <c r="AF296" i="1"/>
  <c r="BA296" i="1" s="1"/>
  <c r="AI296" i="1"/>
  <c r="BD296" i="1" s="1"/>
  <c r="BL296" i="1"/>
  <c r="BN296" i="1"/>
  <c r="AE297" i="1"/>
  <c r="AZ297" i="1" s="1"/>
  <c r="AF297" i="1"/>
  <c r="BA297" i="1" s="1"/>
  <c r="AI297" i="1"/>
  <c r="BD297" i="1" s="1"/>
  <c r="BL297" i="1"/>
  <c r="AE298" i="1"/>
  <c r="AZ298" i="1" s="1"/>
  <c r="AF298" i="1"/>
  <c r="BA298" i="1" s="1"/>
  <c r="AI298" i="1"/>
  <c r="BD298" i="1" s="1"/>
  <c r="BL298" i="1"/>
  <c r="BN298" i="1"/>
  <c r="AE299" i="1"/>
  <c r="AZ299" i="1" s="1"/>
  <c r="AF299" i="1"/>
  <c r="BA299" i="1" s="1"/>
  <c r="AI299" i="1"/>
  <c r="BD299" i="1" s="1"/>
  <c r="BL299" i="1"/>
  <c r="D41" i="4"/>
  <c r="D40" i="4"/>
  <c r="D38" i="4"/>
  <c r="D37" i="4"/>
  <c r="D34" i="4"/>
  <c r="D33" i="4"/>
  <c r="D32" i="4"/>
  <c r="D31" i="4"/>
  <c r="BO65" i="1"/>
  <c r="BO187" i="1"/>
  <c r="BO101" i="1"/>
  <c r="BA107" i="1"/>
  <c r="BA120" i="1"/>
  <c r="BA167" i="1"/>
  <c r="BA127" i="1"/>
  <c r="BO226" i="1"/>
  <c r="BO165" i="1"/>
  <c r="D27" i="4"/>
  <c r="C28" i="4"/>
  <c r="C29" i="4"/>
  <c r="C30" i="4"/>
  <c r="C31" i="4"/>
  <c r="C32" i="4"/>
  <c r="C33" i="4"/>
  <c r="C34" i="4"/>
  <c r="C35" i="4"/>
  <c r="C36" i="4"/>
  <c r="C37" i="4"/>
  <c r="C38" i="4"/>
  <c r="C39" i="4"/>
  <c r="C40" i="4"/>
  <c r="C41" i="4"/>
  <c r="C27" i="4"/>
  <c r="D39" i="4"/>
  <c r="D30" i="4"/>
  <c r="D29" i="4"/>
  <c r="D28" i="4"/>
  <c r="D35" i="4"/>
  <c r="D15" i="4"/>
  <c r="D36" i="4" s="1"/>
  <c r="BN7" i="1"/>
  <c r="AE52" i="1"/>
  <c r="AZ52" i="1" s="1"/>
  <c r="AE16" i="1"/>
  <c r="AZ16" i="1" s="1"/>
  <c r="AE17" i="1"/>
  <c r="AZ17" i="1" s="1"/>
  <c r="AE18" i="1"/>
  <c r="AZ18" i="1" s="1"/>
  <c r="AE19" i="1"/>
  <c r="AZ19" i="1" s="1"/>
  <c r="AE20" i="1"/>
  <c r="AZ20" i="1" s="1"/>
  <c r="AE21" i="1"/>
  <c r="AZ21" i="1" s="1"/>
  <c r="AE22" i="1"/>
  <c r="AZ22" i="1" s="1"/>
  <c r="AE23" i="1"/>
  <c r="AZ23" i="1" s="1"/>
  <c r="AE24" i="1"/>
  <c r="AZ24" i="1" s="1"/>
  <c r="AE25" i="1"/>
  <c r="AZ25" i="1" s="1"/>
  <c r="AE26" i="1"/>
  <c r="AZ26" i="1" s="1"/>
  <c r="AE27" i="1"/>
  <c r="AZ27" i="1" s="1"/>
  <c r="AE28" i="1"/>
  <c r="AZ28" i="1" s="1"/>
  <c r="AE29" i="1"/>
  <c r="AZ29" i="1" s="1"/>
  <c r="AE30" i="1"/>
  <c r="AZ30" i="1" s="1"/>
  <c r="AE31" i="1"/>
  <c r="AZ31" i="1" s="1"/>
  <c r="AE32" i="1"/>
  <c r="AZ32" i="1" s="1"/>
  <c r="AE33" i="1"/>
  <c r="AZ33" i="1" s="1"/>
  <c r="AE34" i="1"/>
  <c r="AZ34" i="1" s="1"/>
  <c r="AE35" i="1"/>
  <c r="AZ35" i="1" s="1"/>
  <c r="AE36" i="1"/>
  <c r="AZ36" i="1" s="1"/>
  <c r="AE37" i="1"/>
  <c r="AZ37" i="1" s="1"/>
  <c r="AE38" i="1"/>
  <c r="AZ38" i="1" s="1"/>
  <c r="AE39" i="1"/>
  <c r="AZ39" i="1" s="1"/>
  <c r="AE40" i="1"/>
  <c r="AZ40" i="1" s="1"/>
  <c r="AE41" i="1"/>
  <c r="AZ41" i="1" s="1"/>
  <c r="AE42" i="1"/>
  <c r="AZ42" i="1" s="1"/>
  <c r="AE43" i="1"/>
  <c r="AZ43" i="1" s="1"/>
  <c r="AE44" i="1"/>
  <c r="AZ44" i="1" s="1"/>
  <c r="AE45" i="1"/>
  <c r="AZ45" i="1" s="1"/>
  <c r="AE46" i="1"/>
  <c r="AZ46" i="1" s="1"/>
  <c r="AE47" i="1"/>
  <c r="AZ47" i="1" s="1"/>
  <c r="AE48" i="1"/>
  <c r="AZ48" i="1" s="1"/>
  <c r="AE49" i="1"/>
  <c r="AZ49" i="1" s="1"/>
  <c r="AE50" i="1"/>
  <c r="AZ50" i="1" s="1"/>
  <c r="AE51" i="1"/>
  <c r="AZ51" i="1" s="1"/>
  <c r="AE53" i="1"/>
  <c r="AZ53" i="1" s="1"/>
  <c r="BN11" i="1"/>
  <c r="BN12" i="1"/>
  <c r="BN15" i="1"/>
  <c r="BN16" i="1"/>
  <c r="BN18" i="1"/>
  <c r="BN19" i="1"/>
  <c r="BN23" i="1"/>
  <c r="BN24" i="1"/>
  <c r="BM31" i="1"/>
  <c r="BN31" i="1"/>
  <c r="BN35" i="1"/>
  <c r="BN43" i="1"/>
  <c r="BN44" i="1"/>
  <c r="BM48" i="1"/>
  <c r="BM52" i="1"/>
  <c r="BN4" i="1"/>
  <c r="AF5" i="1"/>
  <c r="BA5" i="1" s="1"/>
  <c r="AF6" i="1"/>
  <c r="BA6" i="1" s="1"/>
  <c r="AF7" i="1"/>
  <c r="BA7" i="1" s="1"/>
  <c r="AI7" i="1"/>
  <c r="BD7" i="1" s="1"/>
  <c r="AF8" i="1"/>
  <c r="BO8" i="1" s="1"/>
  <c r="AI8" i="1"/>
  <c r="BD8" i="1" s="1"/>
  <c r="AF9" i="1"/>
  <c r="BA9" i="1" s="1"/>
  <c r="AI9" i="1"/>
  <c r="BD9" i="1" s="1"/>
  <c r="AF10" i="1"/>
  <c r="BA10" i="1" s="1"/>
  <c r="AI10" i="1"/>
  <c r="BD10" i="1" s="1"/>
  <c r="AF11" i="1"/>
  <c r="BA11" i="1" s="1"/>
  <c r="AI11" i="1"/>
  <c r="BD11" i="1" s="1"/>
  <c r="AF12" i="1"/>
  <c r="BA12" i="1" s="1"/>
  <c r="AI12" i="1"/>
  <c r="BD12" i="1" s="1"/>
  <c r="AF13" i="1"/>
  <c r="BA13" i="1" s="1"/>
  <c r="AI13" i="1"/>
  <c r="BD13" i="1" s="1"/>
  <c r="AF14" i="1"/>
  <c r="BO14" i="1" s="1"/>
  <c r="AI14" i="1"/>
  <c r="BD14" i="1" s="1"/>
  <c r="AF15" i="1"/>
  <c r="BA15" i="1" s="1"/>
  <c r="AI15" i="1"/>
  <c r="BD15" i="1" s="1"/>
  <c r="AF16" i="1"/>
  <c r="BA16" i="1" s="1"/>
  <c r="AI16" i="1"/>
  <c r="BD16" i="1" s="1"/>
  <c r="AF17" i="1"/>
  <c r="BO17" i="1" s="1"/>
  <c r="AI17" i="1"/>
  <c r="BD17" i="1" s="1"/>
  <c r="AF18" i="1"/>
  <c r="BO18" i="1" s="1"/>
  <c r="AI18" i="1"/>
  <c r="BD18" i="1" s="1"/>
  <c r="AF19" i="1"/>
  <c r="BA19" i="1" s="1"/>
  <c r="AI19" i="1"/>
  <c r="BD19" i="1" s="1"/>
  <c r="AF20" i="1"/>
  <c r="BO20" i="1" s="1"/>
  <c r="AI20" i="1"/>
  <c r="BD20" i="1" s="1"/>
  <c r="AF21" i="1"/>
  <c r="BA21" i="1" s="1"/>
  <c r="AI21" i="1"/>
  <c r="BD21" i="1" s="1"/>
  <c r="AF22" i="1"/>
  <c r="BA22" i="1" s="1"/>
  <c r="AI22" i="1"/>
  <c r="BD22" i="1" s="1"/>
  <c r="AF23" i="1"/>
  <c r="BA23" i="1" s="1"/>
  <c r="AI23" i="1"/>
  <c r="BD23" i="1" s="1"/>
  <c r="AF24" i="1"/>
  <c r="BA24" i="1" s="1"/>
  <c r="AI24" i="1"/>
  <c r="BD24" i="1" s="1"/>
  <c r="AF25" i="1"/>
  <c r="BO25" i="1" s="1"/>
  <c r="AI25" i="1"/>
  <c r="BD25" i="1" s="1"/>
  <c r="AF26" i="1"/>
  <c r="BA26" i="1" s="1"/>
  <c r="AI26" i="1"/>
  <c r="BD26" i="1" s="1"/>
  <c r="AF27" i="1"/>
  <c r="BO27" i="1" s="1"/>
  <c r="AI27" i="1"/>
  <c r="BD27" i="1" s="1"/>
  <c r="AF28" i="1"/>
  <c r="BA28" i="1" s="1"/>
  <c r="AI28" i="1"/>
  <c r="BD28" i="1" s="1"/>
  <c r="AF29" i="1"/>
  <c r="BA29" i="1" s="1"/>
  <c r="AI29" i="1"/>
  <c r="BD29" i="1" s="1"/>
  <c r="AF30" i="1"/>
  <c r="BA30" i="1" s="1"/>
  <c r="AI30" i="1"/>
  <c r="BD30" i="1" s="1"/>
  <c r="AF31" i="1"/>
  <c r="BO31" i="1" s="1"/>
  <c r="AI31" i="1"/>
  <c r="BD31" i="1" s="1"/>
  <c r="AF32" i="1"/>
  <c r="BA32" i="1" s="1"/>
  <c r="AI32" i="1"/>
  <c r="BD32" i="1" s="1"/>
  <c r="AF33" i="1"/>
  <c r="BA33" i="1" s="1"/>
  <c r="AI33" i="1"/>
  <c r="BD33" i="1" s="1"/>
  <c r="AF34" i="1"/>
  <c r="BA34" i="1" s="1"/>
  <c r="AI34" i="1"/>
  <c r="BD34" i="1" s="1"/>
  <c r="AF35" i="1"/>
  <c r="BA35" i="1" s="1"/>
  <c r="AI35" i="1"/>
  <c r="BD35" i="1" s="1"/>
  <c r="AF36" i="1"/>
  <c r="BA36" i="1" s="1"/>
  <c r="AI36" i="1"/>
  <c r="BD36" i="1" s="1"/>
  <c r="AF37" i="1"/>
  <c r="BA37" i="1" s="1"/>
  <c r="AI37" i="1"/>
  <c r="BD37" i="1" s="1"/>
  <c r="AF38" i="1"/>
  <c r="BA38" i="1" s="1"/>
  <c r="AI38" i="1"/>
  <c r="BD38" i="1" s="1"/>
  <c r="AF39" i="1"/>
  <c r="BA39" i="1" s="1"/>
  <c r="AI39" i="1"/>
  <c r="BD39" i="1" s="1"/>
  <c r="AF40" i="1"/>
  <c r="BA40" i="1" s="1"/>
  <c r="AI40" i="1"/>
  <c r="BD40" i="1" s="1"/>
  <c r="AF41" i="1"/>
  <c r="BA41" i="1" s="1"/>
  <c r="AI41" i="1"/>
  <c r="BD41" i="1" s="1"/>
  <c r="AF42" i="1"/>
  <c r="BO42" i="1" s="1"/>
  <c r="AI42" i="1"/>
  <c r="BD42" i="1" s="1"/>
  <c r="AF43" i="1"/>
  <c r="BA43" i="1" s="1"/>
  <c r="AI43" i="1"/>
  <c r="BD43" i="1" s="1"/>
  <c r="AF44" i="1"/>
  <c r="BA44" i="1" s="1"/>
  <c r="AI44" i="1"/>
  <c r="BD44" i="1" s="1"/>
  <c r="AF45" i="1"/>
  <c r="BA45" i="1" s="1"/>
  <c r="AI45" i="1"/>
  <c r="BD45" i="1" s="1"/>
  <c r="AF46" i="1"/>
  <c r="BO46" i="1" s="1"/>
  <c r="AI46" i="1"/>
  <c r="BD46" i="1" s="1"/>
  <c r="AF47" i="1"/>
  <c r="BA47" i="1" s="1"/>
  <c r="AI47" i="1"/>
  <c r="BD47" i="1" s="1"/>
  <c r="AF48" i="1"/>
  <c r="BA48" i="1" s="1"/>
  <c r="AI48" i="1"/>
  <c r="BD48" i="1" s="1"/>
  <c r="AF49" i="1"/>
  <c r="BA49" i="1" s="1"/>
  <c r="AI49" i="1"/>
  <c r="BD49" i="1" s="1"/>
  <c r="AF50" i="1"/>
  <c r="BO50" i="1" s="1"/>
  <c r="AI50" i="1"/>
  <c r="BD50" i="1" s="1"/>
  <c r="AF51" i="1"/>
  <c r="BA51" i="1" s="1"/>
  <c r="AI51" i="1"/>
  <c r="BD51" i="1" s="1"/>
  <c r="AF52" i="1"/>
  <c r="BA52" i="1" s="1"/>
  <c r="AI52" i="1"/>
  <c r="BD52" i="1" s="1"/>
  <c r="AF53" i="1"/>
  <c r="BA53" i="1" s="1"/>
  <c r="AI53" i="1"/>
  <c r="BD53" i="1" s="1"/>
  <c r="BL53" i="1"/>
  <c r="AI4" i="1"/>
  <c r="BD4" i="1" s="1"/>
  <c r="AF4" i="1"/>
  <c r="BO4" i="1" s="1"/>
  <c r="BL43" i="1"/>
  <c r="BL33" i="1"/>
  <c r="BL22" i="1"/>
  <c r="BL11" i="1"/>
  <c r="BL48" i="1"/>
  <c r="BL38" i="1"/>
  <c r="BL27" i="1"/>
  <c r="BL16" i="1"/>
  <c r="BL50" i="1"/>
  <c r="BL18" i="1"/>
  <c r="BL36" i="1"/>
  <c r="BL25" i="1"/>
  <c r="BL14" i="1"/>
  <c r="BL6" i="1"/>
  <c r="BL51" i="1"/>
  <c r="BL40" i="1"/>
  <c r="BL19" i="1"/>
  <c r="BL7" i="1"/>
  <c r="BL31" i="1"/>
  <c r="BL44" i="1"/>
  <c r="BL34" i="1"/>
  <c r="BL23" i="1"/>
  <c r="BL12" i="1"/>
  <c r="BL21" i="1"/>
  <c r="BL49" i="1"/>
  <c r="BL39" i="1"/>
  <c r="BL28" i="1"/>
  <c r="BL17" i="1"/>
  <c r="BL9" i="1"/>
  <c r="BL42" i="1"/>
  <c r="BL32" i="1"/>
  <c r="BL10" i="1"/>
  <c r="BL5" i="1"/>
  <c r="BL47" i="1"/>
  <c r="BL37" i="1"/>
  <c r="BL26" i="1"/>
  <c r="BL15" i="1"/>
  <c r="BL29" i="1"/>
  <c r="BL41" i="1"/>
  <c r="BL52" i="1"/>
  <c r="BL30" i="1"/>
  <c r="BL20" i="1"/>
  <c r="BL8" i="1"/>
  <c r="BL46" i="1"/>
  <c r="BL45" i="1"/>
  <c r="BL35" i="1"/>
  <c r="BL24" i="1"/>
  <c r="BL13" i="1"/>
  <c r="BL4" i="1"/>
  <c r="BR100" i="1" l="1"/>
  <c r="BR92" i="1"/>
  <c r="BR99" i="1"/>
  <c r="BR91" i="1"/>
  <c r="BR98" i="1"/>
  <c r="BR97" i="1"/>
  <c r="BR96" i="1"/>
  <c r="BR95" i="1"/>
  <c r="BR94" i="1"/>
  <c r="BR93" i="1"/>
  <c r="BR77" i="1"/>
  <c r="BR53" i="1"/>
  <c r="BR41" i="1"/>
  <c r="BR86" i="1"/>
  <c r="BK85" i="1"/>
  <c r="BK83" i="1"/>
  <c r="BK81" i="1"/>
  <c r="BK77" i="1"/>
  <c r="BK75" i="1"/>
  <c r="BK73" i="1"/>
  <c r="BR73" i="1" s="1"/>
  <c r="BK69" i="1"/>
  <c r="BK67" i="1"/>
  <c r="BK65" i="1"/>
  <c r="BR65" i="1" s="1"/>
  <c r="BK61" i="1"/>
  <c r="BK59" i="1"/>
  <c r="BK57" i="1"/>
  <c r="BK53" i="1"/>
  <c r="BK51" i="1"/>
  <c r="BK49" i="1"/>
  <c r="BK45" i="1"/>
  <c r="BR45" i="1" s="1"/>
  <c r="BK9" i="1"/>
  <c r="BK72" i="1"/>
  <c r="BK86" i="1"/>
  <c r="BK80" i="1"/>
  <c r="BK78" i="1"/>
  <c r="BK62" i="1"/>
  <c r="BR62" i="1" s="1"/>
  <c r="BK56" i="1"/>
  <c r="BK54" i="1"/>
  <c r="BK48" i="1"/>
  <c r="BK46" i="1"/>
  <c r="BK84" i="1"/>
  <c r="BK82" i="1"/>
  <c r="BK76" i="1"/>
  <c r="BK74" i="1"/>
  <c r="BK68" i="1"/>
  <c r="BR68" i="1" s="1"/>
  <c r="BK66" i="1"/>
  <c r="BK60" i="1"/>
  <c r="BK58" i="1"/>
  <c r="BK52" i="1"/>
  <c r="BK50" i="1"/>
  <c r="BK44" i="1"/>
  <c r="BK12" i="1"/>
  <c r="BK8" i="1"/>
  <c r="BK6" i="1"/>
  <c r="BK41" i="1"/>
  <c r="BK11" i="1"/>
  <c r="BK87" i="1"/>
  <c r="BK79" i="1"/>
  <c r="BK71" i="1"/>
  <c r="BR71" i="1" s="1"/>
  <c r="BK63" i="1"/>
  <c r="BK55" i="1"/>
  <c r="BR55" i="1" s="1"/>
  <c r="BK47" i="1"/>
  <c r="BR47" i="1" s="1"/>
  <c r="BK39" i="1"/>
  <c r="BK31" i="1"/>
  <c r="BK29" i="1"/>
  <c r="BK25" i="1"/>
  <c r="BK23" i="1"/>
  <c r="BK21" i="1"/>
  <c r="BK15" i="1"/>
  <c r="BK5" i="1"/>
  <c r="BK37" i="1"/>
  <c r="BK36" i="1"/>
  <c r="BK24" i="1"/>
  <c r="BK20" i="1"/>
  <c r="BK42" i="1"/>
  <c r="BK34" i="1"/>
  <c r="BR34" i="1" s="1"/>
  <c r="BK32" i="1"/>
  <c r="BR32" i="1" s="1"/>
  <c r="BK28" i="1"/>
  <c r="BK10" i="1"/>
  <c r="BK43" i="1"/>
  <c r="BK40" i="1"/>
  <c r="BK38" i="1"/>
  <c r="BK35" i="1"/>
  <c r="BR35" i="1" s="1"/>
  <c r="BK33" i="1"/>
  <c r="BK30" i="1"/>
  <c r="BK27" i="1"/>
  <c r="BK26" i="1"/>
  <c r="BK22" i="1"/>
  <c r="BK19" i="1"/>
  <c r="BK18" i="1"/>
  <c r="BK17" i="1"/>
  <c r="BK16" i="1"/>
  <c r="BK14" i="1"/>
  <c r="BK13" i="1"/>
  <c r="BK7" i="1"/>
  <c r="BO211" i="1"/>
  <c r="BO67" i="1"/>
  <c r="BR67" i="1" s="1"/>
  <c r="BA57" i="1"/>
  <c r="BR57" i="1" s="1"/>
  <c r="BO78" i="1"/>
  <c r="BR78" i="1" s="1"/>
  <c r="BA145" i="1"/>
  <c r="BO150" i="1"/>
  <c r="BO191" i="1"/>
  <c r="BO156" i="1"/>
  <c r="BO89" i="1"/>
  <c r="BR89" i="1" s="1"/>
  <c r="BA122" i="1"/>
  <c r="BO192" i="1"/>
  <c r="BO90" i="1"/>
  <c r="BR90" i="1" s="1"/>
  <c r="BA83" i="1"/>
  <c r="BO95" i="1"/>
  <c r="BO204" i="1"/>
  <c r="BA209" i="1"/>
  <c r="BO203" i="1"/>
  <c r="BO102" i="1"/>
  <c r="BA261" i="1"/>
  <c r="BO77" i="1"/>
  <c r="BO70" i="1"/>
  <c r="BR70" i="1" s="1"/>
  <c r="BO143" i="1"/>
  <c r="BO168" i="1"/>
  <c r="BO175" i="1"/>
  <c r="BO79" i="1"/>
  <c r="BR79" i="1" s="1"/>
  <c r="BO82" i="1"/>
  <c r="BR82" i="1" s="1"/>
  <c r="BA139" i="1"/>
  <c r="BA136" i="1"/>
  <c r="BA96" i="1"/>
  <c r="BA182" i="1"/>
  <c r="BO162" i="1"/>
  <c r="BO219" i="1"/>
  <c r="BO218" i="1"/>
  <c r="BO221" i="1"/>
  <c r="BA243" i="1"/>
  <c r="BO208" i="1"/>
  <c r="BA117" i="1"/>
  <c r="BA193" i="1"/>
  <c r="BO140" i="1"/>
  <c r="BO251" i="1"/>
  <c r="BA93" i="1"/>
  <c r="BO124" i="1"/>
  <c r="BO134" i="1"/>
  <c r="BA190" i="1"/>
  <c r="BA194" i="1"/>
  <c r="BO199" i="1"/>
  <c r="BO118" i="1"/>
  <c r="BO257" i="1"/>
  <c r="BO128" i="1"/>
  <c r="BO119" i="1"/>
  <c r="BO286" i="1"/>
  <c r="BA73" i="1"/>
  <c r="BA121" i="1"/>
  <c r="BO177" i="1"/>
  <c r="BO58" i="1"/>
  <c r="BR58" i="1" s="1"/>
  <c r="BA126" i="1"/>
  <c r="BO164" i="1"/>
  <c r="BA103" i="1"/>
  <c r="BO163" i="1"/>
  <c r="BO238" i="1"/>
  <c r="BA133" i="1"/>
  <c r="BA220" i="1"/>
  <c r="BA178" i="1"/>
  <c r="BO106" i="1"/>
  <c r="BO166" i="1"/>
  <c r="BO276" i="1"/>
  <c r="BA217" i="1"/>
  <c r="BO114" i="1"/>
  <c r="BO197" i="1"/>
  <c r="BA181" i="1"/>
  <c r="BA98" i="1"/>
  <c r="BO186" i="1"/>
  <c r="BA81" i="1"/>
  <c r="BR81" i="1" s="1"/>
  <c r="BO92" i="1"/>
  <c r="BO88" i="1"/>
  <c r="BR88" i="1" s="1"/>
  <c r="BO146" i="1"/>
  <c r="BO64" i="1"/>
  <c r="BR64" i="1" s="1"/>
  <c r="BA237" i="1"/>
  <c r="BO210" i="1"/>
  <c r="BO200" i="1"/>
  <c r="BO152" i="1"/>
  <c r="BA115" i="1"/>
  <c r="BA206" i="1"/>
  <c r="BO158" i="1"/>
  <c r="BO171" i="1"/>
  <c r="BA157" i="1"/>
  <c r="BO258" i="1"/>
  <c r="BO207" i="1"/>
  <c r="BO130" i="1"/>
  <c r="BA151" i="1"/>
  <c r="BO56" i="1"/>
  <c r="BA132" i="1"/>
  <c r="BO116" i="1"/>
  <c r="BA66" i="1"/>
  <c r="BR66" i="1" s="1"/>
  <c r="BO161" i="1"/>
  <c r="BO213" i="1"/>
  <c r="BO198" i="1"/>
  <c r="BO180" i="1"/>
  <c r="BO185" i="1"/>
  <c r="BO111" i="1"/>
  <c r="BO94" i="1"/>
  <c r="BA91" i="1"/>
  <c r="BO215" i="1"/>
  <c r="BA108" i="1"/>
  <c r="BA59" i="1"/>
  <c r="BR59" i="1" s="1"/>
  <c r="BA97" i="1"/>
  <c r="BA86" i="1"/>
  <c r="BA272" i="1"/>
  <c r="BO123" i="1"/>
  <c r="BO135" i="1"/>
  <c r="BO216" i="1"/>
  <c r="BA131" i="1"/>
  <c r="BO265" i="1"/>
  <c r="BO270" i="1"/>
  <c r="BO271" i="1"/>
  <c r="BA189" i="1"/>
  <c r="BO205" i="1"/>
  <c r="BO84" i="1"/>
  <c r="BR84" i="1" s="1"/>
  <c r="BO224" i="1"/>
  <c r="BO222" i="1"/>
  <c r="BO264" i="1"/>
  <c r="BO100" i="1"/>
  <c r="BA72" i="1"/>
  <c r="BO260" i="1"/>
  <c r="BO176" i="1"/>
  <c r="BO241" i="1"/>
  <c r="BO196" i="1"/>
  <c r="BA230" i="1"/>
  <c r="BO184" i="1"/>
  <c r="BA201" i="1"/>
  <c r="BA239" i="1"/>
  <c r="BO294" i="1"/>
  <c r="BO142" i="1"/>
  <c r="BA170" i="1"/>
  <c r="BA183" i="1"/>
  <c r="BO235" i="1"/>
  <c r="BO290" i="1"/>
  <c r="BO297" i="1"/>
  <c r="BO154" i="1"/>
  <c r="BA174" i="1"/>
  <c r="BO104" i="1"/>
  <c r="BO112" i="1"/>
  <c r="BA155" i="1"/>
  <c r="BO169" i="1"/>
  <c r="BA129" i="1"/>
  <c r="BA109" i="1"/>
  <c r="BO113" i="1"/>
  <c r="BO125" i="1"/>
  <c r="BO148" i="1"/>
  <c r="BO248" i="1"/>
  <c r="BO284" i="1"/>
  <c r="BO137" i="1"/>
  <c r="BA231" i="1"/>
  <c r="BO188" i="1"/>
  <c r="BO263" i="1"/>
  <c r="BO262" i="1"/>
  <c r="BO223" i="1"/>
  <c r="BO288" i="1"/>
  <c r="BA214" i="1"/>
  <c r="BO240" i="1"/>
  <c r="BA141" i="1"/>
  <c r="BO172" i="1"/>
  <c r="BO234" i="1"/>
  <c r="BO99" i="1"/>
  <c r="BA105" i="1"/>
  <c r="BA179" i="1"/>
  <c r="BO292" i="1"/>
  <c r="BA274" i="1"/>
  <c r="BA4" i="1"/>
  <c r="BO60" i="1"/>
  <c r="BO275" i="1"/>
  <c r="BA225" i="1"/>
  <c r="BO250" i="1"/>
  <c r="BO281" i="1"/>
  <c r="BO138" i="1"/>
  <c r="BA249" i="1"/>
  <c r="BO228" i="1"/>
  <c r="BO244" i="1"/>
  <c r="BO247" i="1"/>
  <c r="BO80" i="1"/>
  <c r="BR80" i="1" s="1"/>
  <c r="BO269" i="1"/>
  <c r="BO291" i="1"/>
  <c r="BA153" i="1"/>
  <c r="BA195" i="1"/>
  <c r="BO285" i="1"/>
  <c r="BO147" i="1"/>
  <c r="BO233" i="1"/>
  <c r="BO68" i="1"/>
  <c r="BO75" i="1"/>
  <c r="BR75" i="1" s="1"/>
  <c r="BO85" i="1"/>
  <c r="BR85" i="1" s="1"/>
  <c r="BO74" i="1"/>
  <c r="BR74" i="1" s="1"/>
  <c r="BO245" i="1"/>
  <c r="BO229" i="1"/>
  <c r="BA144" i="1"/>
  <c r="BA246" i="1"/>
  <c r="BO173" i="1"/>
  <c r="BA202" i="1"/>
  <c r="BO160" i="1"/>
  <c r="BA273" i="1"/>
  <c r="BO267" i="1"/>
  <c r="BA266" i="1"/>
  <c r="BO212" i="1"/>
  <c r="BA254" i="1"/>
  <c r="BO252" i="1"/>
  <c r="BO149" i="1"/>
  <c r="BA110" i="1"/>
  <c r="BO159" i="1"/>
  <c r="BO277" i="1"/>
  <c r="BO289" i="1"/>
  <c r="BO295" i="1"/>
  <c r="BO255" i="1"/>
  <c r="BA232" i="1"/>
  <c r="BO278" i="1"/>
  <c r="BO283" i="1"/>
  <c r="BO280" i="1"/>
  <c r="BA293" i="1"/>
  <c r="BO287" i="1"/>
  <c r="BO259" i="1"/>
  <c r="BA227" i="1"/>
  <c r="BA242" i="1"/>
  <c r="BO282" i="1"/>
  <c r="BO253" i="1"/>
  <c r="BO236" i="1"/>
  <c r="BO87" i="1"/>
  <c r="BR87" i="1" s="1"/>
  <c r="BA76" i="1"/>
  <c r="BR76" i="1" s="1"/>
  <c r="BA71" i="1"/>
  <c r="BA69" i="1"/>
  <c r="BA63" i="1"/>
  <c r="BR63" i="1" s="1"/>
  <c r="BA62" i="1"/>
  <c r="BO61" i="1"/>
  <c r="BR61" i="1" s="1"/>
  <c r="BA55" i="1"/>
  <c r="BO279" i="1"/>
  <c r="BO299" i="1"/>
  <c r="BO256" i="1"/>
  <c r="BO298" i="1"/>
  <c r="BO296" i="1"/>
  <c r="BA268" i="1"/>
  <c r="BO29" i="1"/>
  <c r="BR29" i="1" s="1"/>
  <c r="BA20" i="1"/>
  <c r="BR20" i="1" s="1"/>
  <c r="BO11" i="1"/>
  <c r="BR11" i="1" s="1"/>
  <c r="BO5" i="1"/>
  <c r="BR5" i="1" s="1"/>
  <c r="BO44" i="1"/>
  <c r="BR44" i="1" s="1"/>
  <c r="BO49" i="1"/>
  <c r="BO32" i="1"/>
  <c r="BO43" i="1"/>
  <c r="BO28" i="1"/>
  <c r="BR28" i="1" s="1"/>
  <c r="BO26" i="1"/>
  <c r="BR26" i="1" s="1"/>
  <c r="BO39" i="1"/>
  <c r="BR39" i="1" s="1"/>
  <c r="BA14" i="1"/>
  <c r="BR14" i="1" s="1"/>
  <c r="BO53" i="1"/>
  <c r="BO22" i="1"/>
  <c r="BA8" i="1"/>
  <c r="BA50" i="1"/>
  <c r="BR50" i="1" s="1"/>
  <c r="BO9" i="1"/>
  <c r="BR9" i="1" s="1"/>
  <c r="BO47" i="1"/>
  <c r="BO16" i="1"/>
  <c r="BR16" i="1" s="1"/>
  <c r="BO21" i="1"/>
  <c r="BR21" i="1" s="1"/>
  <c r="BO23" i="1"/>
  <c r="BR23" i="1" s="1"/>
  <c r="BO40" i="1"/>
  <c r="BR40" i="1" s="1"/>
  <c r="BO36" i="1"/>
  <c r="BR36" i="1" s="1"/>
  <c r="BO48" i="1"/>
  <c r="BR48" i="1" s="1"/>
  <c r="BA42" i="1"/>
  <c r="BR42" i="1" s="1"/>
  <c r="BO52" i="1"/>
  <c r="BR52" i="1" s="1"/>
  <c r="BA46" i="1"/>
  <c r="BR46" i="1" s="1"/>
  <c r="BO54" i="1"/>
  <c r="BR54" i="1" s="1"/>
  <c r="BO34" i="1"/>
  <c r="BO51" i="1"/>
  <c r="BR51" i="1" s="1"/>
  <c r="BO10" i="1"/>
  <c r="BR10" i="1" s="1"/>
  <c r="BA31" i="1"/>
  <c r="BO12" i="1"/>
  <c r="BR12" i="1" s="1"/>
  <c r="BO45" i="1"/>
  <c r="BO35" i="1"/>
  <c r="BO7" i="1"/>
  <c r="BR7" i="1" s="1"/>
  <c r="BO19" i="1"/>
  <c r="BR19" i="1" s="1"/>
  <c r="BA18" i="1"/>
  <c r="BR18" i="1" s="1"/>
  <c r="BO30" i="1"/>
  <c r="BO38" i="1"/>
  <c r="BR38" i="1" s="1"/>
  <c r="BO24" i="1"/>
  <c r="BR24" i="1" s="1"/>
  <c r="BO15" i="1"/>
  <c r="BR15" i="1" s="1"/>
  <c r="BO41" i="1"/>
  <c r="BO13" i="1"/>
  <c r="BR13" i="1" s="1"/>
  <c r="BA17" i="1"/>
  <c r="BR17" i="1" s="1"/>
  <c r="BO6" i="1"/>
  <c r="BR6" i="1" s="1"/>
  <c r="BO37" i="1"/>
  <c r="BR37" i="1" s="1"/>
  <c r="BA27" i="1"/>
  <c r="BR27" i="1" s="1"/>
  <c r="BA25" i="1"/>
  <c r="BR25" i="1" s="1"/>
  <c r="BO33" i="1"/>
  <c r="BR33" i="1" s="1"/>
  <c r="BR31" i="1" l="1"/>
  <c r="BR43" i="1"/>
  <c r="BR83" i="1"/>
  <c r="BR30" i="1"/>
  <c r="BR8" i="1"/>
  <c r="BR22" i="1"/>
  <c r="BR49" i="1"/>
  <c r="BR69" i="1"/>
  <c r="BR72" i="1"/>
  <c r="BR56" i="1"/>
  <c r="BR6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tc={25754854-317A-432C-A94E-79BAA21B6231}</author>
    <author>tc={90ADF3E1-711F-4B1E-AD6D-050B8FF33D74}</author>
    <author>tc={12B7E9D5-3056-480D-ABB4-D4E7112C04FB}</author>
    <author>tc={879B212F-8810-48ED-8598-E1315A7FDCD5}</author>
    <author>tc={5216D83A-0B87-46BF-8795-AB2EA538D78D}</author>
    <author>tc={BEB54C8F-2943-46D4-A377-9A7090513034}</author>
    <author>tc={86E065D2-0ECF-40EC-B02B-AB7A6DDEE8EF}</author>
    <author>tc={2D4EBA1A-CDAF-40DF-9FA7-57F4F5A67B55}</author>
    <author>tc={1BB135C2-7C8F-4763-8369-CA8F36BF6A38}</author>
    <author>tc={E120F1C1-F335-4A0F-95DA-145F08178DC8}</author>
    <author>tc={ECF9A729-A0EE-401C-A000-8998F12538EF}</author>
    <author>tc={5497937D-D8EC-46DA-ACB9-CB7D0CBE37F0}</author>
    <author>tc={9CC2D784-41BA-4CB4-B995-41CB981F535B}</author>
    <author>tc={1DF38124-A0B5-4547-AF10-647D8EDEBB32}</author>
    <author>tc={4AE4CC67-6640-42EC-A4CC-674921D0CD8B}</author>
    <author>tc={11E35A56-6424-4BA5-945A-19AD024998AE}</author>
    <author>tc={5A06785B-9C45-40F0-9D2A-58339E0EDDDE}</author>
    <author>tc={43A28E22-CC94-411F-B800-D6BDA553CE53}</author>
    <author>tc={CBC0868C-DB63-48B2-846F-449682F86EBA}</author>
  </authors>
  <commentList>
    <comment ref="E3" authorId="0" shapeId="0" xr:uid="{25754854-317A-432C-A94E-79BAA21B6231}">
      <text>
        <t>[Threaded comment]
Your version of Excel allows you to read this threaded comment; however, any edits to it will get removed if the file is opened in a newer version of Excel. Learn more: https://go.microsoft.com/fwlink/?linkid=870924
Comment:
    Pick from the dropdown</t>
      </text>
    </comment>
    <comment ref="F3" authorId="1" shapeId="0" xr:uid="{90ADF3E1-711F-4B1E-AD6D-050B8FF33D74}">
      <text>
        <t>[Threaded comment]
Your version of Excel allows you to read this threaded comment; however, any edits to it will get removed if the file is opened in a newer version of Excel. Learn more: https://go.microsoft.com/fwlink/?linkid=870924
Comment:
    This is for multiple competition bulk uploads</t>
      </text>
    </comment>
    <comment ref="G3" authorId="2" shapeId="0" xr:uid="{12B7E9D5-3056-480D-ABB4-D4E7112C04FB}">
      <text>
        <t>[Threaded comment]
Your version of Excel allows you to read this threaded comment; however, any edits to it will get removed if the file is opened in a newer version of Excel. Learn more: https://go.microsoft.com/fwlink/?linkid=870924
Comment:
    Randomise me</t>
      </text>
    </comment>
    <comment ref="H3" authorId="3" shapeId="0" xr:uid="{879B212F-8810-48ED-8598-E1315A7FDCD5}">
      <text>
        <t>[Threaded comment]
Your version of Excel allows you to read this threaded comment; however, any edits to it will get removed if the file is opened in a newer version of Excel. Learn more: https://go.microsoft.com/fwlink/?linkid=870924
Comment:
    Only input data in this column if you have split first and surnames</t>
      </text>
    </comment>
    <comment ref="I3" authorId="4" shapeId="0" xr:uid="{5216D83A-0B87-46BF-8795-AB2EA538D78D}">
      <text>
        <t>[Threaded comment]
Your version of Excel allows you to read this threaded comment; however, any edits to it will get removed if the file is opened in a newer version of Excel. Learn more: https://go.microsoft.com/fwlink/?linkid=870924
Comment:
    If you have first name and surname split, put just the surname here. IF you have combined first and surnames, put the whole name here AND LEAVE COLUMN H BLANK</t>
      </text>
    </comment>
    <comment ref="J3" authorId="5" shapeId="0" xr:uid="{BEB54C8F-2943-46D4-A377-9A7090513034}">
      <text>
        <t>[Threaded comment]
Your version of Excel allows you to read this threaded comment; however, any edits to it will get removed if the file is opened in a newer version of Excel. Learn more: https://go.microsoft.com/fwlink/?linkid=870924
Comment:
    Leave blank if not required. 2-4 letters usually</t>
      </text>
    </comment>
    <comment ref="K3" authorId="6" shapeId="0" xr:uid="{86E065D2-0ECF-40EC-B02B-AB7A6DDEE8EF}">
      <text>
        <t>[Threaded comment]
Your version of Excel allows you to read this threaded comment; however, any edits to it will get removed if the file is opened in a newer version of Excel. Learn more: https://go.microsoft.com/fwlink/?linkid=870924
Comment:
    Self explanatory.
Providing full DOB was unnecessary and meant we were collecting identifiable data form lifters. Just the year</t>
      </text>
    </comment>
    <comment ref="L3" authorId="7" shapeId="0" xr:uid="{2D4EBA1A-CDAF-40DF-9FA7-57F4F5A67B55}">
      <text>
        <t>[Threaded comment]
Your version of Excel allows you to read this threaded comment; however, any edits to it will get removed if the file is opened in a newer version of Excel. Learn more: https://go.microsoft.com/fwlink/?linkid=870924
Comment:
    For IPF:
CL - Classic
EQ - Equipped
Others:
CR - Classic Raw
SP - Single Ply
MP - Multi Ply
SO - Special Olympics
AD - Adaptive</t>
      </text>
    </comment>
    <comment ref="M3" authorId="8" shapeId="0" xr:uid="{1BB135C2-7C8F-4763-8369-CA8F36BF6A38}">
      <text>
        <t>[Threaded comment]
Your version of Excel allows you to read this threaded comment; however, any edits to it will get removed if the file is opened in a newer version of Excel. Learn more: https://go.microsoft.com/fwlink/?linkid=870924
Comment:
    PL - 3 lift
BP - Bench Only
PP - Push Pull (Bench/Dead)
SQ/BP/DL - single lift
SB - Squat / Bench (is this a thing?)
SD - Squat / Dead</t>
      </text>
    </comment>
    <comment ref="N3" authorId="9" shapeId="0" xr:uid="{E120F1C1-F335-4A0F-95DA-145F08178DC8}">
      <text>
        <t>[Threaded comment]
Your version of Excel allows you to read this threaded comment; however, any edits to it will get removed if the file is opened in a newer version of Excel. Learn more: https://go.microsoft.com/fwlink/?linkid=870924
Comment:
    F/M - used for IPF and Glos points calculation, weight classes, and for live stream information.
X (for Mx) is a third option. The software only supports one character right now. It will use Male weight classes &amp; points calculators</t>
      </text>
    </comment>
    <comment ref="O3" authorId="10" shapeId="0" xr:uid="{ECF9A729-A0EE-401C-A000-8998F12538EF}">
      <text>
        <t>[Threaded comment]
Your version of Excel allows you to read this threaded comment; however, any edits to it will get removed if the file is opened in a newer version of Excel. Learn more: https://go.microsoft.com/fwlink/?linkid=870924
Comment:
    Auto calculated based on year of birth - it doesn't do anything but will help fact check</t>
      </text>
    </comment>
    <comment ref="P3" authorId="11" shapeId="0" xr:uid="{5497937D-D8EC-46DA-ACB9-CB7D0CBE37F0}">
      <text>
        <t>[Threaded comment]
Your version of Excel allows you to read this threaded comment; however, any edits to it will get removed if the file is opened in a newer version of Excel. Learn more: https://go.microsoft.com/fwlink/?linkid=870924
Comment:
    Blank</t>
      </text>
    </comment>
    <comment ref="Q3" authorId="12" shapeId="0" xr:uid="{9CC2D784-41BA-4CB4-B995-41CB981F535B}">
      <text>
        <t xml:space="preserve">[Threaded comment]
Your version of Excel allows you to read this threaded comment; however, any edits to it will get removed if the file is opened in a newer version of Excel. Learn more: https://go.microsoft.com/fwlink/?linkid=870924
Comment:
    Flight / group. Used interchangably. </t>
      </text>
    </comment>
    <comment ref="W3" authorId="13" shapeId="0" xr:uid="{1DF38124-A0B5-4547-AF10-647D8EDEBB32}">
      <text>
        <t>[Threaded comment]
Your version of Excel allows you to read this threaded comment; however, any edits to it will get removed if the file is opened in a newer version of Excel. Learn more: https://go.microsoft.com/fwlink/?linkid=870924
Comment:
    Bodyweight - if you're using this prior to weigh in and will use simpleLifter for weigh in, type in the nominated weight class here.
If you're putting in weight classes andd the lifter is a SHW, just add a kg. eg. 
84+ -&gt; 85
120+ -&gt; 121
etc</t>
      </text>
    </comment>
    <comment ref="X3" authorId="14" shapeId="0" xr:uid="{4AE4CC67-6640-42EC-A4CC-674921D0CD8B}">
      <text>
        <t xml:space="preserve">[Threaded comment]
Your version of Excel allows you to read this threaded comment; however, any edits to it will get removed if the file is opened in a newer version of Excel. Learn more: https://go.microsoft.com/fwlink/?linkid=870924
Comment:
    Squat Rack Height
</t>
      </text>
    </comment>
    <comment ref="Y3" authorId="15" shapeId="0" xr:uid="{11E35A56-6424-4BA5-945A-19AD024998AE}">
      <text>
        <t>[Threaded comment]
Your version of Excel allows you to read this threaded comment; however, any edits to it will get removed if the file is opened in a newer version of Excel. Learn more: https://go.microsoft.com/fwlink/?linkid=870924
Comment:
    Bench / Safety rack height. Note this is free text to input what you want how you want.
Eg. 5/5, 5E, 5.5, etc they're all fine</t>
      </text>
    </comment>
    <comment ref="Z3" authorId="16" shapeId="0" xr:uid="{5A06785B-9C45-40F0-9D2A-58339E0EDDDE}">
      <text>
        <t>[Threaded comment]
Your version of Excel allows you to read this threaded comment; however, any edits to it will get removed if the file is opened in a newer version of Excel. Learn more: https://go.microsoft.com/fwlink/?linkid=870924
Comment:
    Opening squat</t>
      </text>
    </comment>
    <comment ref="AA3" authorId="17" shapeId="0" xr:uid="{43A28E22-CC94-411F-B800-D6BDA553CE53}">
      <text>
        <t>[Threaded comment]
Your version of Excel allows you to read this threaded comment; however, any edits to it will get removed if the file is opened in a newer version of Excel. Learn more: https://go.microsoft.com/fwlink/?linkid=870924
Comment:
    Opening Bench</t>
      </text>
    </comment>
    <comment ref="AB3" authorId="18" shapeId="0" xr:uid="{CBC0868C-DB63-48B2-846F-449682F86EBA}">
      <text>
        <t>[Threaded comment]
Your version of Excel allows you to read this threaded comment; however, any edits to it will get removed if the file is opened in a newer version of Excel. Learn more: https://go.microsoft.com/fwlink/?linkid=870924
Comment:
    Opening deadlift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8" saveData="1">
    <webPr xl2000="1" url="http://cotf.zapto.org/getcomps.php" htmlTables="1" htmlFormat="all"/>
  </connection>
  <connection id="2" xr16:uid="{00000000-0015-0000-FFFF-FFFF01000000}" name="Connection1" type="4" refreshedVersion="8" saveData="1">
    <webPr xl2000="1" url="http://cotf.zapto.org/getcomps.php" htmlTables="1" htmlFormat="all"/>
  </connection>
  <connection id="3" xr16:uid="{00000000-0015-0000-FFFF-FFFF02000000}" name="Connection10" type="4" refreshedVersion="8" saveData="1">
    <webPr xl2000="1" url="http://cotf.zapto.org/getcomps.php" htmlTables="1" htmlFormat="all"/>
  </connection>
  <connection id="4" xr16:uid="{00000000-0015-0000-FFFF-FFFF03000000}" name="Connection100" type="4" refreshedVersion="8" saveData="1">
    <webPr xl2000="1" url="http://cotf.zapto.org/simpleLifter/integrate/saveload.php?s=excel&amp;q=setup&amp;comp=AAD&amp;pwd=AAD" htmlTables="1" htmlFormat="all"/>
  </connection>
  <connection id="5" xr16:uid="{00000000-0015-0000-FFFF-FFFF04000000}" name="Connection101" type="4" refreshedVersion="8" saveData="1">
    <webPr xl2000="1" url="http://cotf.zapto.org/simpleLifter/integrate/saveload.php?s=excel&amp;q=lifters&amp;comp=ADJ&amp;pwd=ADJ" post="excel=}" htmlTables="1" htmlFormat="all"/>
  </connection>
  <connection id="6" xr16:uid="{00000000-0015-0000-FFFF-FFFF05000000}" name="Connection102" type="4" refreshedVersion="8" saveData="1">
    <webPr xl2000="1" url="http://cotf.zapto.org/simpleLifter/integrate/saveload.php?s=excel&amp;q=setup&amp;comp=ADJ&amp;pwd=ADJ" htmlTables="1" htmlFormat="all"/>
  </connection>
  <connection id="7" xr16:uid="{00000000-0015-0000-FFFF-FFFF06000000}" name="Connection103" type="4" refreshedVersion="8" saveData="1">
    <webPr xl2000="1" url="http://cotf.zapto.org/simpleLifter/integrate/saveload.php?s=excel&amp;q=lifters&amp;comp=ADL&amp;pwd=ADL" post="excel=}" htmlTables="1" htmlFormat="all"/>
  </connection>
  <connection id="8" xr16:uid="{00000000-0015-0000-FFFF-FFFF07000000}" name="Connection104" type="4" refreshedVersion="8" saveData="1">
    <webPr xl2000="1" url="http://cotf.zapto.org/simpleLifter/integrate/saveload.php?s=excel&amp;q=setup&amp;comp=ADL&amp;pwd=ADL" htmlTables="1" htmlFormat="all"/>
  </connection>
  <connection id="9" xr16:uid="{00000000-0015-0000-FFFF-FFFF08000000}" name="Connection105" type="4" refreshedVersion="8" saveData="1">
    <webPr xl2000="1" url="http://cotf.zapto.org/simpleLifter/integrate/saveload.php?s=excel&amp;q=lifters&amp;comp=ADM&amp;pwd=ADM" post="excel=}" htmlTables="1" htmlFormat="all"/>
  </connection>
  <connection id="10" xr16:uid="{00000000-0015-0000-FFFF-FFFF09000000}" name="Connection106" type="4" refreshedVersion="8" saveData="1">
    <webPr xl2000="1" url="http://cotf.zapto.org/simpleLifter/integrate/saveload.php?s=excel&amp;q=setup&amp;comp=ADM&amp;pwd=ADM" htmlTables="1" htmlFormat="all"/>
  </connection>
  <connection id="11" xr16:uid="{00000000-0015-0000-FFFF-FFFF0A000000}" name="Connection107" type="4" refreshedVersion="8" saveData="1">
    <webPr xl2000="1" url="http://cotf.zapto.org/simpleLifter/integrate/saveload.php?s=excel&amp;q=lifters&amp;comp=ADN&amp;pwd=ADN" post="excel=}" htmlTables="1" htmlFormat="all"/>
  </connection>
  <connection id="12" xr16:uid="{00000000-0015-0000-FFFF-FFFF0B000000}" name="Connection108" type="4" refreshedVersion="8" saveData="1">
    <webPr xl2000="1" url="http://cotf.zapto.org/simpleLifter/integrate/saveload.php?s=excel&amp;q=setup&amp;comp=ADN&amp;pwd=ADN" htmlTables="1" htmlFormat="all"/>
  </connection>
  <connection id="13" xr16:uid="{00000000-0015-0000-FFFF-FFFF0C000000}" name="Connection109" type="4" refreshedVersion="8" saveData="1">
    <webPr xl2000="1" url="http://cotf.zapto.org/getcomps.php" htmlTables="1" htmlFormat="all"/>
  </connection>
  <connection id="14" xr16:uid="{00000000-0015-0000-FFFF-FFFF0D000000}" name="Connection11" type="4" refreshedVersion="8" saveData="1">
    <webPr xl2000="1" url="http://cotf.zapto.org/getcomps.php" htmlTables="1" htmlFormat="all"/>
  </connection>
  <connection id="15" xr16:uid="{00000000-0015-0000-FFFF-FFFF0E000000}" name="Connection110" type="4" refreshedVersion="8" saveData="1">
    <webPr xl2000="1" url="http://cotf.zapto.org/getcomps.php" htmlTables="1" htmlFormat="all"/>
  </connection>
  <connection id="16" xr16:uid="{00000000-0015-0000-FFFF-FFFF0F000000}" name="Connection111" type="4" refreshedVersion="8" saveData="1">
    <webPr xl2000="1" url="http://cotf.zapto.org/getcomps.php" htmlTables="1" htmlFormat="all"/>
  </connection>
  <connection id="17" xr16:uid="{00000000-0015-0000-FFFF-FFFF10000000}" name="Connection112" type="4" refreshedVersion="8" saveData="1">
    <webPr xl2000="1" url="http://cotf.zapto.org/simpleLifter/integrate/saveload.php?s=excel&amp;q=lifters&amp;comp=AAD&amp;pwd=" post="excel=}" htmlTables="1" htmlFormat="all"/>
  </connection>
  <connection id="18" xr16:uid="{00000000-0015-0000-FFFF-FFFF11000000}" name="Connection113" type="4" refreshedVersion="8" saveData="1">
    <webPr xl2000="1" url="http://cotf.zapto.org/simpleLifter/integrate/saveload.php?s=excel&amp;q=setup&amp;comp=AAD&amp;pwd=" htmlTables="1" htmlFormat="all"/>
  </connection>
  <connection id="19" xr16:uid="{00000000-0015-0000-FFFF-FFFF12000000}" name="Connection114"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15&quot;,&quot;name&quot;:&quot;Chelsea Smith&quot;,&quot;team&quot;:&quot;VIC&quot;,&quot;year&quot;:&quot;2002&quot;,&quot;division&quot;:&quot;F-CL-PL&quot;,&quot;bw&quot;:&quot;55&quot;,&quot;idx&quot;:&quot;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3&quot;,&quot;name&quot;:&quot;Chrissy Athanasopoulos&quot;,&quot;team&quot;:&quot;VIC&quot;,&quot;year&quot;:&quot;1996&quot;,&quot;division&quot;:&quot;F-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9&quot;,&quot;name&quot;:&quot;Shien Ting Lim&quot;,&quot;team&quot;:&quot;VIC&quot;,&quot;year&quot;:&quot;1997&quot;,&quot;division&quot;:&quot;F-CL-PL&quot;,&quot;bw&quot;:&quot;55&quot;,&quot;idx&quot;:&quot;1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13&quot;,&quot;name&quot;:&quot;Ethan Lim&quot;,&quot;team&quot;:&quot;VIC&quot;,&quot;year&quot;:&quot;2002&quot;,&quot;division&quot;:&quot;M-CL-PL&quot;,&quot;bw&quot;:&quot;55&quot;,&quot;idx&quot;:&quot;1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8&quot;,&quot;name&quot;:&quot;Avin Pham&quot;,&quot;team&quot;:&quot;VIC&quot;,&quot;year&quot;:&quot;2001&quot;,&quot;division&quot;:&quot;M-CL-PL&quot;,&quot;bw&quot;:&quot;55&quot;,&quot;idx&quot;:&quot;1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Savith Mudunkotuwa&quot;,&quot;team&quot;:&quot;VIC&quot;,&quot;year&quot;:&quot;2001&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9&quot;,&quot;name&quot;:&quot;Brian Ong&quot;,&quot;team&quot;:&quot;VIC&quot;,&quot;year&quot;:&quot;1999&quot;,&quot;division&quot;:&quot;M-CL-PL&quot;,&quot;bw&quot;:&quot;55&quot;,&quot;idx&quot;:&quot;14&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1&quot;,&quot;name&quot;:&quot;Jeremy Sharpe&quot;,&quot;team&quot;:&quot;VIC&quot;,&quot;year&quot;:&quot;2006&quot;,&quot;division&quot;:&quot;M-CL-PL&quot;,&quot;bw&quot;:&quot;55&quot;,&quot;idx&quot;:&quot;15&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6&quot;,&quot;name&quot;:&quot;Vivian Dally&quot;,&quot;team&quot;:&quot;VIC&quot;,&quot;year&quot;:&quot;2005&quot;,&quot;division&quot;:&quot;M-CL-PL&quot;,&quot;bw&quot;:&quot;55&quot;,&quot;idx&quot;:&quot;16&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quot;,&quot;name&quot;:&quot;Izaak Conquest-Hope&quot;,&quot;team&quot;:&quot;VIC&quot;,&quot;year&quot;:&quot;2008&quot;,&quot;division&quot;:&quot;M-CL-PL&quot;,&quot;bw&quot;:&quot;55&quot;,&quot;idx&quot;:&quot;17&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James King&quot;,&quot;team&quot;:&quot;VIC&quot;,&quot;year&quot;:&quot;2005&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4&quot;,&quot;name&quot;:&quot;Ari Chenhall&quot;,&quot;team&quot;:&quot;VIC&quot;,&quot;year&quot;:&quot;2006&quot;,&quot;division&quot;:&quot;M-CL-PL&quot;,&quot;bw&quot;:&quot;55&quot;,&quot;idx&quot;:&quot;19&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4&quot;,&quot;name&quot;:&quot;Brodie Palmieri&quot;,&quot;team&quot;:&quot;VIC&quot;,&quot;year&quot;:&quot;2004&quot;,&quot;division&quot;:&quot;M-CL-PL&quot;,&quot;bw&quot;:&quot;55&quot;,&quot;idx&quot;:&quot;2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2&quot;,&quot;name&quot;:&quot;Ethan Rowles&quot;,&quot;team&quot;:&quot;VIC&quot;,&quot;year&quot;:&quot;2004&quot;,&quot;division&quot;:&quot;M-CL-PL&quot;,&quot;bw&quot;:&quot;55&quot;,&quot;idx&quot;:&quot;2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 xr16:uid="{00000000-0015-0000-FFFF-FFFF13000000}" name="Connection115" type="4" refreshedVersion="8" saveData="1">
    <webPr xl2000="1" url="http://cotf.zapto.org/simpleLifter/integrate/saveload.php?s=excel&amp;q=setup&amp;comp=ADL&amp;pwd=In2SS" htmlTables="1" htmlFormat="all"/>
  </connection>
  <connection id="21" xr16:uid="{00000000-0015-0000-FFFF-FFFF14000000}" name="Connection116"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2" xr16:uid="{00000000-0015-0000-FFFF-FFFF15000000}" name="Connection117" type="4" refreshedVersion="8" saveData="1">
    <webPr xl2000="1" url="http://cotf.zapto.org/simpleLifter/integrate/saveload.php?s=excel&amp;q=setup&amp;comp=ADM&amp;pwd=IN2" htmlTables="1" htmlFormat="all"/>
  </connection>
  <connection id="23" xr16:uid="{00000000-0015-0000-FFFF-FFFF16000000}" name="Connection118" type="4" refreshedVersion="8" saveData="1">
    <webPr xl2000="1" url="http://cotf.zapto.org/simpleLifter/integrate/saveload.php?s=excel&amp;q=lifters&amp;comp=ADN&amp;pwd=" post="excel=}" htmlTables="1" htmlFormat="all"/>
  </connection>
  <connection id="24" xr16:uid="{00000000-0015-0000-FFFF-FFFF17000000}" name="Connection119" type="4" refreshedVersion="8" saveData="1">
    <webPr xl2000="1" url="http://cotf.zapto.org/simpleLifter/integrate/saveload.php?s=excel&amp;q=setup&amp;comp=ADN&amp;pwd=" htmlTables="1" htmlFormat="all"/>
  </connection>
  <connection id="25" xr16:uid="{00000000-0015-0000-FFFF-FFFF18000000}" name="Connection12" type="4" refreshedVersion="8" saveData="1">
    <webPr xl2000="1" url="http://cotf.zapto.org/getcomps.php" htmlTables="1" htmlFormat="all"/>
  </connection>
  <connection id="26" xr16:uid="{00000000-0015-0000-FFFF-FFFF19000000}" name="Connection120" type="4" refreshedVersion="8" saveData="1">
    <webPr xl2000="1" url="http://cotf.zapto.org/simpleLifter/integrate/saveload.php?s=excel&amp;q=lifters&amp;comp=ADR&amp;pwd=" post="excel=}" htmlTables="1" htmlFormat="all"/>
  </connection>
  <connection id="27" xr16:uid="{00000000-0015-0000-FFFF-FFFF1A000000}" name="Connection121" type="4" refreshedVersion="8" saveData="1">
    <webPr xl2000="1" url="http://cotf.zapto.org/simpleLifter/integrate/saveload.php?s=excel&amp;q=setup&amp;comp=ADR&amp;pwd=" htmlTables="1" htmlFormat="all"/>
  </connection>
  <connection id="28" xr16:uid="{00000000-0015-0000-FFFF-FFFF1B000000}" name="Connection122" type="4" refreshedVersion="8" saveData="1">
    <webPr xl2000="1" url="http://cotf.zapto.org/simpleLifter/integrate/saveload.php?s=excel&amp;q=lifters&amp;comp=ADS&amp;pwd=" post="excel=}" htmlTables="1" htmlFormat="all"/>
  </connection>
  <connection id="29" xr16:uid="{00000000-0015-0000-FFFF-FFFF1C000000}" name="Connection123" type="4" refreshedVersion="8" saveData="1">
    <webPr xl2000="1" url="http://cotf.zapto.org/simpleLifter/integrate/saveload.php?s=excel&amp;q=setup&amp;comp=ADS&amp;pwd=" htmlTables="1" htmlFormat="all"/>
  </connection>
  <connection id="30" xr16:uid="{00000000-0015-0000-FFFF-FFFF1D000000}" name="Connection124" type="4" refreshedVersion="8" saveData="1">
    <webPr xl2000="1" url="http://cotf.zapto.org/simpleLifter/integrate/saveload.php?s=excel&amp;q=lifters&amp;comp=ADU&amp;pwd=" post="excel=}" htmlTables="1" htmlFormat="all"/>
  </connection>
  <connection id="31" xr16:uid="{00000000-0015-0000-FFFF-FFFF1E000000}" name="Connection125" type="4" refreshedVersion="8" saveData="1">
    <webPr xl2000="1" url="http://cotf.zapto.org/simpleLifter/integrate/saveload.php?s=excel&amp;q=setup&amp;comp=ADU&amp;pwd=" htmlTables="1" htmlFormat="all"/>
  </connection>
  <connection id="32" xr16:uid="{00000000-0015-0000-FFFF-FFFF1F000000}" name="Connection126" type="4" refreshedVersion="8" saveData="1">
    <webPr xl2000="1" url="http://cotf.zapto.org/simpleLifter/integrate/saveload.php?s=excel&amp;q=lifters&amp;comp=AAD&amp;pwd=" post="excel=}" htmlTables="1" htmlFormat="all"/>
  </connection>
  <connection id="33" xr16:uid="{00000000-0015-0000-FFFF-FFFF20000000}" name="Connection127" type="4" refreshedVersion="8" saveData="1">
    <webPr xl2000="1" url="http://cotf.zapto.org/simpleLifter/integrate/saveload.php?s=excel&amp;q=setup&amp;comp=AAD&amp;pwd=" htmlTables="1" htmlFormat="all"/>
  </connection>
  <connection id="34" xr16:uid="{00000000-0015-0000-FFFF-FFFF21000000}" name="Connection128"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15&quot;,&quot;name&quot;:&quot;Chelsea Smith&quot;,&quot;team&quot;:&quot;VIC&quot;,&quot;year&quot;:&quot;2002&quot;,&quot;division&quot;:&quot;F-CL-PL&quot;,&quot;bw&quot;:&quot;55&quot;,&quot;idx&quot;:&quot;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3&quot;,&quot;name&quot;:&quot;Chrissy Athanasopoulos&quot;,&quot;team&quot;:&quot;VIC&quot;,&quot;year&quot;:&quot;1996&quot;,&quot;division&quot;:&quot;F-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9&quot;,&quot;name&quot;:&quot;Shien Ting Lim&quot;,&quot;team&quot;:&quot;VIC&quot;,&quot;year&quot;:&quot;1997&quot;,&quot;division&quot;:&quot;F-CL-PL&quot;,&quot;bw&quot;:&quot;55&quot;,&quot;idx&quot;:&quot;1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13&quot;,&quot;name&quot;:&quot;Ethan Lim&quot;,&quot;team&quot;:&quot;VIC&quot;,&quot;year&quot;:&quot;2002&quot;,&quot;division&quot;:&quot;M-CL-PL&quot;,&quot;bw&quot;:&quot;55&quot;,&quot;idx&quot;:&quot;1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8&quot;,&quot;name&quot;:&quot;Avin Pham&quot;,&quot;team&quot;:&quot;VIC&quot;,&quot;year&quot;:&quot;2001&quot;,&quot;division&quot;:&quot;M-CL-PL&quot;,&quot;bw&quot;:&quot;55&quot;,&quot;idx&quot;:&quot;1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Savith Mudunkotuwa&quot;,&quot;team&quot;:&quot;VIC&quot;,&quot;year&quot;:&quot;2001&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9&quot;,&quot;name&quot;:&quot;Brian Ong&quot;,&quot;team&quot;:&quot;VIC&quot;,&quot;year&quot;:&quot;1999&quot;,&quot;division&quot;:&quot;M-CL-PL&quot;,&quot;bw&quot;:&quot;55&quot;,&quot;idx&quot;:&quot;14&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1&quot;,&quot;name&quot;:&quot;Jeremy Sharpe&quot;,&quot;team&quot;:&quot;VIC&quot;,&quot;year&quot;:&quot;2006&quot;,&quot;division&quot;:&quot;M-CL-PL&quot;,&quot;bw&quot;:&quot;55&quot;,&quot;idx&quot;:&quot;15&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6&quot;,&quot;name&quot;:&quot;Vivian Dally&quot;,&quot;team&quot;:&quot;VIC&quot;,&quot;year&quot;:&quot;2005&quot;,&quot;division&quot;:&quot;M-CL-PL&quot;,&quot;bw&quot;:&quot;55&quot;,&quot;idx&quot;:&quot;16&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quot;,&quot;name&quot;:&quot;Izaak Conquest-Hope&quot;,&quot;team&quot;:&quot;VIC&quot;,&quot;year&quot;:&quot;2008&quot;,&quot;division&quot;:&quot;M-CL-PL&quot;,&quot;bw&quot;:&quot;55&quot;,&quot;idx&quot;:&quot;17&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James King&quot;,&quot;team&quot;:&quot;VIC&quot;,&quot;year&quot;:&quot;2005&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4&quot;,&quot;name&quot;:&quot;Ari Chenhall&quot;,&quot;team&quot;:&quot;VIC&quot;,&quot;year&quot;:&quot;2006&quot;,&quot;division&quot;:&quot;M-CL-PL&quot;,&quot;bw&quot;:&quot;55&quot;,&quot;idx&quot;:&quot;19&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4&quot;,&quot;name&quot;:&quot;Brodie Palmieri&quot;,&quot;team&quot;:&quot;VIC&quot;,&quot;year&quot;:&quot;2004&quot;,&quot;division&quot;:&quot;M-CL-PL&quot;,&quot;bw&quot;:&quot;55&quot;,&quot;idx&quot;:&quot;2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2&quot;,&quot;name&quot;:&quot;Ethan Rowles&quot;,&quot;team&quot;:&quot;VIC&quot;,&quot;year&quot;:&quot;2004&quot;,&quot;division&quot;:&quot;M-CL-PL&quot;,&quot;bw&quot;:&quot;55&quot;,&quot;idx&quot;:&quot;2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35" xr16:uid="{00000000-0015-0000-FFFF-FFFF22000000}" name="Connection129" type="4" refreshedVersion="8" saveData="1">
    <webPr xl2000="1" url="http://cotf.zapto.org/simpleLifter/integrate/saveload.php?s=excel&amp;q=setup&amp;comp=ADL&amp;pwd=In2SS" htmlTables="1" htmlFormat="all"/>
  </connection>
  <connection id="36" xr16:uid="{00000000-0015-0000-FFFF-FFFF23000000}" name="Connection13" type="4" refreshedVersion="8" saveData="1">
    <webPr xl2000="1" url="http://cotf.zapto.org/getcomps.php" htmlTables="1" htmlFormat="all"/>
  </connection>
  <connection id="37" xr16:uid="{00000000-0015-0000-FFFF-FFFF24000000}" name="Connection130"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38" xr16:uid="{00000000-0015-0000-FFFF-FFFF25000000}" name="Connection131" type="4" refreshedVersion="8" saveData="1">
    <webPr xl2000="1" url="http://cotf.zapto.org/simpleLifter/integrate/saveload.php?s=excel&amp;q=setup&amp;comp=ADM&amp;pwd=IN2" htmlTables="1" htmlFormat="all"/>
  </connection>
  <connection id="39" xr16:uid="{00000000-0015-0000-FFFF-FFFF26000000}" name="Connection132" type="4" refreshedVersion="8" saveData="1">
    <webPr xl2000="1" url="http://cotf.zapto.org/simpleLifter/integrate/saveload.php?s=excel&amp;q=lifters&amp;comp=ADN&amp;pwd=" post="excel=}" htmlTables="1" htmlFormat="all"/>
  </connection>
  <connection id="40" xr16:uid="{00000000-0015-0000-FFFF-FFFF27000000}" name="Connection133" type="4" refreshedVersion="8" saveData="1">
    <webPr xl2000="1" url="http://cotf.zapto.org/simpleLifter/integrate/saveload.php?s=excel&amp;q=setup&amp;comp=ADN&amp;pwd=" htmlTables="1" htmlFormat="all"/>
  </connection>
  <connection id="41" xr16:uid="{00000000-0015-0000-FFFF-FFFF28000000}" name="Connection134" type="4" refreshedVersion="8" saveData="1">
    <webPr xl2000="1" url="http://cotf.zapto.org/simpleLifter/integrate/saveload.php?s=excel&amp;q=lifters&amp;comp=ADR&amp;pwd=" post="excel=}" htmlTables="1" htmlFormat="all"/>
  </connection>
  <connection id="42" xr16:uid="{00000000-0015-0000-FFFF-FFFF29000000}" name="Connection135" type="4" refreshedVersion="8" saveData="1">
    <webPr xl2000="1" url="http://cotf.zapto.org/simpleLifter/integrate/saveload.php?s=excel&amp;q=setup&amp;comp=ADR&amp;pwd=" htmlTables="1" htmlFormat="all"/>
  </connection>
  <connection id="43" xr16:uid="{00000000-0015-0000-FFFF-FFFF2A000000}" name="Connection136" type="4" refreshedVersion="8" saveData="1">
    <webPr xl2000="1" url="http://cotf.zapto.org/simpleLifter/integrate/saveload.php?s=excel&amp;q=lifters&amp;comp=ADS&amp;pwd=" post="excel=}" htmlTables="1" htmlFormat="all"/>
  </connection>
  <connection id="44" xr16:uid="{00000000-0015-0000-FFFF-FFFF2B000000}" name="Connection137" type="4" refreshedVersion="8" saveData="1">
    <webPr xl2000="1" url="http://cotf.zapto.org/simpleLifter/integrate/saveload.php?s=excel&amp;q=setup&amp;comp=ADS&amp;pwd=" htmlTables="1" htmlFormat="all"/>
  </connection>
  <connection id="45" xr16:uid="{00000000-0015-0000-FFFF-FFFF2C000000}" name="Connection138" type="4" refreshedVersion="8" saveData="1">
    <webPr xl2000="1" url="http://cotf.zapto.org/simpleLifter/integrate/saveload.php?s=excel&amp;q=lifters&amp;comp=ADU&amp;pwd=" post="excel=}" htmlTables="1" htmlFormat="all"/>
  </connection>
  <connection id="46" xr16:uid="{00000000-0015-0000-FFFF-FFFF2D000000}" name="Connection139" type="4" refreshedVersion="8" saveData="1">
    <webPr xl2000="1" url="http://cotf.zapto.org/simpleLifter/integrate/saveload.php?s=excel&amp;q=setup&amp;comp=ADU&amp;pwd=" htmlTables="1" htmlFormat="all"/>
  </connection>
  <connection id="47" xr16:uid="{00000000-0015-0000-FFFF-FFFF2E000000}" name="Connection14" type="4" refreshedVersion="8" saveData="1">
    <webPr xl2000="1" url="http://cotf.zapto.org/getcomps.php" htmlTables="1" htmlFormat="all"/>
  </connection>
  <connection id="48" xr16:uid="{00000000-0015-0000-FFFF-FFFF2F000000}" name="Connection140"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15&quot;,&quot;name&quot;:&quot;Chelsea Smith&quot;,&quot;team&quot;:&quot;VIC&quot;,&quot;year&quot;:&quot;2002&quot;,&quot;division&quot;:&quot;F-CL-PL&quot;,&quot;bw&quot;:&quot;55&quot;,&quot;idx&quot;:&quot;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3&quot;,&quot;name&quot;:&quot;Chrissy Athanasopoulos&quot;,&quot;team&quot;:&quot;VIC&quot;,&quot;year&quot;:&quot;1996&quot;,&quot;division&quot;:&quot;F-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9&quot;,&quot;name&quot;:&quot;Shien Ting Lim&quot;,&quot;team&quot;:&quot;VIC&quot;,&quot;year&quot;:&quot;1997&quot;,&quot;division&quot;:&quot;F-CL-PL&quot;,&quot;bw&quot;:&quot;55&quot;,&quot;idx&quot;:&quot;1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13&quot;,&quot;name&quot;:&quot;Ethan Lim&quot;,&quot;team&quot;:&quot;VIC&quot;,&quot;year&quot;:&quot;2002&quot;,&quot;division&quot;:&quot;M-CL-PL&quot;,&quot;bw&quot;:&quot;55&quot;,&quot;idx&quot;:&quot;1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8&quot;,&quot;name&quot;:&quot;Avin Pham&quot;,&quot;team&quot;:&quot;VIC&quot;,&quot;year&quot;:&quot;2001&quot;,&quot;division&quot;:&quot;M-CL-PL&quot;,&quot;bw&quot;:&quot;55&quot;,&quot;idx&quot;:&quot;1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Savith Mudunkotuwa&quot;,&quot;team&quot;:&quot;VIC&quot;,&quot;year&quot;:&quot;2001&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9&quot;,&quot;name&quot;:&quot;Brian Ong&quot;,&quot;team&quot;:&quot;VIC&quot;,&quot;year&quot;:&quot;1999&quot;,&quot;division&quot;:&quot;M-CL-PL&quot;,&quot;bw&quot;:&quot;55&quot;,&quot;idx&quot;:&quot;14&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1&quot;,&quot;name&quot;:&quot;Jeremy Sharpe&quot;,&quot;team&quot;:&quot;VIC&quot;,&quot;year&quot;:&quot;2006&quot;,&quot;division&quot;:&quot;M-CL-PL&quot;,&quot;bw&quot;:&quot;55&quot;,&quot;idx&quot;:&quot;15&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6&quot;,&quot;name&quot;:&quot;Vivian Dally&quot;,&quot;team&quot;:&quot;VIC&quot;,&quot;year&quot;:&quot;2005&quot;,&quot;division&quot;:&quot;M-CL-PL&quot;,&quot;bw&quot;:&quot;55&quot;,&quot;idx&quot;:&quot;16&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quot;,&quot;name&quot;:&quot;Izaak Conquest-Hope&quot;,&quot;team&quot;:&quot;VIC&quot;,&quot;year&quot;:&quot;2008&quot;,&quot;division&quot;:&quot;M-CL-PL&quot;,&quot;bw&quot;:&quot;55&quot;,&quot;idx&quot;:&quot;17&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James King&quot;,&quot;team&quot;:&quot;VIC&quot;,&quot;year&quot;:&quot;2005&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4&quot;,&quot;name&quot;:&quot;Ari Chenhall&quot;,&quot;team&quot;:&quot;VIC&quot;,&quot;year&quot;:&quot;2006&quot;,&quot;division&quot;:&quot;M-CL-PL&quot;,&quot;bw&quot;:&quot;55&quot;,&quot;idx&quot;:&quot;19&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4&quot;,&quot;name&quot;:&quot;Brodie Palmieri&quot;,&quot;team&quot;:&quot;VIC&quot;,&quot;year&quot;:&quot;2004&quot;,&quot;division&quot;:&quot;M-CL-PL&quot;,&quot;bw&quot;:&quot;55&quot;,&quot;idx&quot;:&quot;2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2&quot;,&quot;name&quot;:&quot;Ethan Rowles&quot;,&quot;team&quot;:&quot;VIC&quot;,&quot;year&quot;:&quot;2004&quot;,&quot;division&quot;:&quot;M-CL-PL&quot;,&quot;bw&quot;:&quot;55&quot;,&quot;idx&quot;:&quot;2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49" xr16:uid="{00000000-0015-0000-FFFF-FFFF30000000}" name="Connection141" type="4" refreshedVersion="8" saveData="1">
    <webPr xl2000="1" url="http://cotf.zapto.org/simpleLifter/integrate/saveload.php?s=excel&amp;q=setup&amp;comp=ADL&amp;pwd=In2SS" htmlTables="1" htmlFormat="all"/>
  </connection>
  <connection id="50" xr16:uid="{00000000-0015-0000-FFFF-FFFF31000000}" name="Connection142"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1" xr16:uid="{00000000-0015-0000-FFFF-FFFF32000000}" name="Connection143" type="4" refreshedVersion="8" saveData="1">
    <webPr xl2000="1" url="http://cotf.zapto.org/simpleLifter/integrate/saveload.php?s=excel&amp;q=setup&amp;comp=ADM&amp;pwd=IN2" htmlTables="1" htmlFormat="all"/>
  </connection>
  <connection id="52" xr16:uid="{00000000-0015-0000-FFFF-FFFF33000000}" name="Connection144" type="4" refreshedVersion="8" saveData="1">
    <webPr xl2000="1" url="http://cotf.zapto.org/simpleLifter/integrate/saveload.php?s=excel&amp;q=lifters&amp;comp=AAD&amp;pwd=1234" post="excel={&quot;0&quot;:{&quot;group&quot;:&quot;A&quot;,&quot;lot&quot;:&quot;4&quot;,&quot;name&quot;:&quot;Apple Cart&quot;,&quot;team&quot;:&quot;0&quot;,&quot;year&quot;:&quot;1990&quot;,&quot;division&quot;:&quot;-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6&quot;,&quot;name&quot;:&quot;Banana Man&quot;,&quot;team&quot;:&quot;0&quot;,&quot;year&quot;:&quot;1990&quot;,&quot;division&quot;:&quot;-CL-PL&quot;,&quot;bw&quot;:&quot;55&quot;,&quot;idx&quot;:&quot;1&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9&quot;,&quot;name&quot;:&quot;Cherry Ontop&quot;,&quot;team&quot;:&quot;0&quot;,&quot;year&quot;:&quot;1990&quot;,&quot;division&quot;:&quot;-CL-PL&quot;,&quot;bw&quot;:&quot;55&quot;,&quot;idx&quot;:&quot;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0&quot;,&quot;name&quot;:&quot;Durian Delicious&quot;,&quot;team&quot;:&quot;0&quot;,&quot;year&quot;:&quot;1990&quot;,&quot;division&quot;:&quot;-CL-PL&quot;,&quot;bw&quot;:&quot;55&quot;,&quot;idx&quot;:&quot;3&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2&quot;,&quot;name&quot;:&quot;Eggplant Eatit&quot;,&quot;team&quot;:&quot;0&quot;,&quot;year&quot;:&quot;1990&quot;,&quot;division&quot;:&quot;-CL-PL&quot;,&quot;bw&quot;:&quot;55&quot;,&quot;idx&quot;:&quot;4&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B&quot;,&quot;lot&quot;:&quot;1&quot;,&quot;name&quot;:&quot;Frangipani Flower&quot;,&quot;team&quot;:&quot;0&quot;,&quot;year&quot;:&quot;1990&quot;,&quot;division&quot;:&quot;-CL-PL&quot;,&quot;bw&quot;:&quot;55&quot;,&quot;idx&quot;:&quot;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B&quot;,&quot;lot&quot;:&quot;5&quot;,&quot;name&quot;:&quot;Gum Ball&quot;,&quot;team&quot;:&quot;0&quot;,&quot;year&quot;:&quot;1990&quot;,&quot;division&quot;:&quot;-CL-PL&quot;,&quot;bw&quot;:&quot;55&quot;,&quot;idx&quot;:&quot;6&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B&quot;,&quot;lot&quot;:&quot;7&quot;,&quot;name&quot;:&quot;Happy Food&quot;,&quot;team&quot;:&quot;0&quot;,&quot;year&quot;:&quot;1990&quot;,&quot;division&quot;:&quot;-CL-PL&quot;,&quot;bw&quot;:&quot;55&quot;,&quot;idx&quot;:&quot;7&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B&quot;,&quot;lot&quot;:&quot;8&quot;,&quot;name&quot;:&quot;Idiot Outofideas&quot;,&quot;team&quot;:&quot;0&quot;,&quot;year&quot;:&quot;1990&quot;,&quot;division&quot;:&quot;-CL-PL&quot;,&quot;bw&quot;:&quot;55&quot;,&quot;idx&quot;:&quot;8&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B&quot;,&quot;lot&quot;:&quot;3&quot;,&quot;name&quot;:&quot;Juniper Gin&quot;,&quot;team&quot;:&quot;0&quot;,&quot;year&quot;:&quot;1990&quot;,&quot;division&quot;:&quot;-CL-PL&quot;,&quot;bw&quot;:&quot;55&quot;,&quot;idx&quot;:&quot;9&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3" xr16:uid="{00000000-0015-0000-FFFF-FFFF34000000}" name="Connection145" type="4" refreshedVersion="8" saveData="1">
    <webPr xl2000="1" url="http://cotf.zapto.org/simpleLifter/integrate/saveload.php?s=excel&amp;q=setup&amp;comp=AAD&amp;pwd=1234" htmlTables="1" htmlFormat="all"/>
  </connection>
  <connection id="54" xr16:uid="{00000000-0015-0000-FFFF-FFFF35000000}" name="Connection146" type="4" refreshedVersion="8" saveData="1">
    <webPr xl2000="1" url="http://cotf.zapto.org/simpleLifter/integrate/saveload.php?s=excel&amp;q=lifters&amp;comp=ADL&amp;pwd=In2SS" post="excel={&quot;0&quot;:{&quot;group&quot;:&quot;A&quot;,&quot;lot&quot;:&quot;17&quot;,&quot;name&quot;:&quot;Michelle Le&quot;,&quot;team&quot;:&quot;VIC&quot;,&quot;year&quot;:&quot;2000&quot;,&quot;division&quot;:&quot;F-CL-PL&quot;,&quot;bw&quot;:&quot;55&quot;,&quot;idx&quot;:&quot;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1&quot;,&quot;name&quot;:&quot;Pamela Dunrobin&quot;,&quot;team&quot;:&quot;VIC&quot;,&quot;year&quot;:&quot;1985&quot;,&quot;division&quot;:&quot;F-CL-PL&quot;,&quot;bw&quot;:&quot;55&quot;,&quot;idx&quot;:&quot;1&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5&quot;,&quot;name&quot;:&quot;Kimberley Way&quot;,&quot;team&quot;:&quot;VIC&quot;,&quot;year&quot;:&quot;1989&quot;,&quot;division&quot;:&quot;F-CL-PL&quot;,&quot;bw&quot;:&quot;55&quot;,&quot;idx&quot;:&quot;2&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6&quot;,&quot;name&quot;:&quot;Elisabeth Vrazas&quot;,&quot;team&quot;:&quot;VIC&quot;,&quot;year&quot;:&quot;1997&quot;,&quot;division&quot;:&quot;F-CL-PL&quot;,&quot;bw&quot;:&quot;55&quot;,&quot;idx&quot;:&quot;3&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2&quot;,&quot;name&quot;:&quot;Mary Giffin&quot;,&quot;team&quot;:&quot;VIC&quot;,&quot;year&quot;:&quot;1972&quot;,&quot;division&quot;:&quot;F-CL-PL&quot;,&quot;bw&quot;:&quot;55&quot;,&quot;idx&quot;:&quot;4&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zi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quot;,&quot;name&quot;:&quot;Bridgette Desjardins&quot;,&quot;team&quot;:&quot;VIC&quot;,&quot;year&quot;:&quot;1991&quot;,&quot;division&quot;:&quot;F-CL-PL&quot;,&quot;bw&quot;:&quot;55&quot;,&quot;idx&quot;:&quot;6&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20&quot;,&quot;name&quot;:&quot;Anastasia Stamatopoulos&quot;,&quot;team&quot;:&quot;VIC&quot;,&quot;year&quot;:&quot;1999&quot;,&quot;division&quot;:&quot;F-CL-PL&quot;,&quot;bw&quot;:&quot;55&quot;,&quot;idx&quot;:&quot;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3&quot;,&quot;name&quot;:&quot;Chrissy Athanasopoulos&quot;,&quot;team&quot;:&quot;VIC&quot;,&quot;year&quot;:&quot;1996&quot;,&quot;division&quot;:&quot;F-CL-PL&quot;,&quot;bw&quot;:&quot;55&quot;,&quot;idx&quot;:&quot;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19&quot;,&quot;name&quot;:&quot;Shien Ting Lim&quot;,&quot;team&quot;:&quot;VIC&quot;,&quot;year&quot;:&quot;1997&quot;,&quot;division&quot;:&quot;F-CL-PL&quot;,&quot;bw&quot;:&quot;55&quot;,&quot;idx&quot;:&quot;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13&quot;,&quot;name&quot;:&quot;Ethan Lim&quot;,&quot;team&quot;:&quot;VIC&quot;,&quot;year&quot;:&quot;2002&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8&quot;,&quot;name&quot;:&quot;Avin Pham&quot;,&quot;team&quot;:&quot;VIC&quot;,&quot;year&quot;:&quot;2001&quot;,&quot;division&quot;:&quot;M-CL-PL&quot;,&quot;bw&quot;:&quot;55&quot;,&quot;idx&quot;:&quot;11&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7&quot;,&quot;name&quot;:&quot;Savith Mudunkotuwa&quot;,&quot;team&quot;:&quot;VIC&quot;,&quot;year&quot;:&quot;2001&quot;,&quot;division&quot;:&quot;M-CL-PL&quot;,&quot;bw&quot;:&quot;55&quot;,&quot;idx&quot;:&quot;12&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9&quot;,&quot;name&quot;:&quot;Brian Ong&quot;,&quot;team&quot;:&quot;VIC&quot;,&quot;year&quot;:&quot;1999&quot;,&quot;division&quot;:&quot;M-CL-PL&quot;,&quot;bw&quot;:&quot;55&quot;,&quot;idx&quot;:&quot;1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1&quot;,&quot;name&quot;:&quot;Jeremy Sharpe&quot;,&quot;team&quot;:&quot;VIC&quot;,&quot;year&quot;:&quot;2006&quot;,&quot;division&quot;:&quot;M-CL-PL&quot;,&quot;bw&quot;:&quot;55&quot;,&quot;idx&quot;:&quot;14&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6&quot;,&quot;name&quot;:&quot;Vivian Dally&quot;,&quot;team&quot;:&quot;VIC&quot;,&quot;year&quot;:&quot;2005&quot;,&quot;division&quot;:&quot;M-CL-PL&quot;,&quot;bw&quot;:&quot;55&quot;,&quot;idx&quot;:&quot;15&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1&quot;,&quot;name&quot;:&quot;Izaak Conquest-Hope&quot;,&quot;team&quot;:&quot;VIC&quot;,&quot;year&quot;:&quot;2008&quot;,&quot;division&quot;:&quot;M-CL-PL&quot;,&quot;bw&quot;:&quot;55&quot;,&quot;idx&quot;:&quot;16&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8&quot;,&quot;name&quot;:&quot;James King&quot;,&quot;team&quot;:&quot;VIC&quot;,&quot;year&quot;:&quot;2005&quot;,&quot;division&quot;:&quot;M-CL-PL&quot;,&quot;bw&quot;:&quot;55&quot;,&quot;idx&quot;:&quot;17&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4&quot;,&quot;name&quot;:&quot;Ari Chenhall&quot;,&quot;team&quot;:&quot;VIC&quot;,&quot;year&quot;:&quot;2006&quot;,&quot;division&quot;:&quot;M-CL-PL&quot;,&quot;bw&quot;:&quot;55&quot;,&quot;idx&quot;:&quot;18&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4&quot;,&quot;name&quot;:&quot;Brodie Palmieri&quot;,&quot;team&quot;:&quot;VIC&quot;,&quot;year&quot;:&quot;2004&quot;,&quot;division&quot;:&quot;M-CL-PL&quot;,&quot;bw&quot;:&quot;55&quot;,&quot;idx&quot;:&quot;19&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22&quot;,&quot;name&quot;:&quot;Ethan Rowles&quot;,&quot;team&quot;:&quot;VIC&quot;,&quot;year&quot;:&quot;2004&quot;,&quot;division&quot;:&quot;M-CL-PL&quot;,&quot;bw&quot;:&quot;55&quot;,&quot;idx&quot;:&quot;20&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5" xr16:uid="{00000000-0015-0000-FFFF-FFFF36000000}" name="Connection147" type="4" refreshedVersion="8" saveData="1">
    <webPr xl2000="1" url="http://cotf.zapto.org/simpleLifter/integrate/saveload.php?s=excel&amp;q=setup&amp;comp=ADL&amp;pwd=In2SS" htmlTables="1" htmlFormat="all"/>
  </connection>
  <connection id="56" xr16:uid="{00000000-0015-0000-FFFF-FFFF37000000}" name="Connection148" type="4" refreshedVersion="8" saveData="1">
    <webPr xl2000="1" url="http://cotf.zapto.org/simpleLifter/integrate/saveload.php?s=excel&amp;q=lifters&amp;comp=ADM&amp;pwd=IN2" post="excel={&quot;0&quot;:{&quot;group&quot;:&quot;A&quot;,&quot;lot&quot;:&quot;14&quot;,&quot;name&quot;:&quot;Katrina Clews&quot;,&quot;team&quot;:&quot;VIC&quot;,&quot;year&quot;:&quot;1995&quot;,&quot;division&quot;:&quot;F-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9&quot;,&quot;name&quot;:&quot;Daniel Taylor&quot;,&quot;team&quot;:&quot;VIC&quot;,&quot;year&quot;:&quot;2002&quot;,&quot;division&quot;:&quot;M-CL-PL&quot;,&quot;bw&quot;:&quot;55&quot;,&quot;idx&quot;:&quot;1&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0&quot;,&quot;name&quot;:&quot;Alan Zhou&quot;,&quot;team&quot;:&quot;VIC&quot;,&quot;year&quot;:&quot;2001&quot;,&quot;division&quot;:&quot;M-CL-PL&quot;,&quot;bw&quot;:&quot;55&quot;,&quot;idx&quot;:&quot;2&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quot;,&quot;name&quot;:&quot;Marcus Flanagan&quot;,&quot;team&quot;:&quot;VIC&quot;,&quot;year&quot;:&quot;1981&quot;,&quot;division&quot;:&quot;M-CL-PL&quot;,&quot;bw&quot;:&quot;55&quot;,&quot;idx&quot;:&quot;3&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Ashley O'Loghlin&quot;,&quot;team&quot;:&quot;VIC&quot;,&quot;year&quot;:&quot;1973&quot;,&quot;division&quot;:&quot;M-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25&quot;,&quot;name&quot;:&quot;Edwin Gao&quot;,&quot;team&quot;:&quot;VIC&quot;,&quot;year&quot;:&quot;2002&quot;,&quot;division&quot;:&quot;M-CL-PL&quot;,&quot;bw&quot;:&quot;55&quot;,&quot;idx&quot;:&quot;5&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23&quot;,&quot;name&quot;:&quot;Conor Warren&quot;,&quot;team&quot;:&quot;VIC&quot;,&quot;year&quot;:&quot;2000&quot;,&quot;division&quot;:&quot;M-CL-PL&quot;,&quot;bw&quot;:&quot;55&quot;,&quot;idx&quot;:&quot;6&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Kevin Ho&quot;,&quot;team&quot;:&quot;VIC&quot;,&quot;year&quot;:&quot;2001&quot;,&quot;division&quot;:&quot;M-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7&quot;,&quot;name&quot;:&quot;Jeffrey Tan&quot;,&quot;team&quot;:&quot;VIC&quot;,&quot;year&quot;:&quot;2000&quot;,&quot;division&quot;:&quot;M-CL-PL&quot;,&quot;bw&quot;:&quot;55&quot;,&quot;idx&quot;:&quot;8&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Daine McDonald&quot;,&quot;team&quot;:&quot;VIC&quot;,&quot;year&quot;:&quot;1982&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24&quot;,&quot;name&quot;:&quot;James Dalloste&quot;,&quot;team&quot;:&quot;VIC&quot;,&quot;year&quot;:&quot;1999&quot;,&quot;division&quot;:&quot;M-CL-PL&quot;,&quot;bw&quot;:&quot;55&quot;,&quot;idx&quot;:&quot;10&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2&quot;,&quot;name&quot;:&quot;Damien Hezekiah&quot;,&quot;team&quot;:&quot;VIC&quot;,&quot;year&quot;:&quot;1976&quot;,&quot;division&quot;:&quot;M-CL-PL&quot;,&quot;bw&quot;:&quot;55&quot;,&quot;idx&quot;:&quot;11&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3&quot;,&quot;name&quot;:&quot;Adrian Davis&quot;,&quot;team&quot;:&quot;VIC&quot;,&quot;year&quot;:&quot;1971&quot;,&quot;division&quot;:&quot;M-CL-PL&quot;,&quot;bw&quot;:&quot;55&quot;,&quot;idx&quot;:&quot;12&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7&quot;,&quot;name&quot;:&quot;Rachit Singh&quot;,&quot;team&quot;:&quot;VIC&quot;,&quot;year&quot;:&quot;1996&quot;,&quot;division&quot;:&quot;M-CL-PL&quot;,&quot;bw&quot;:&quot;55&quot;,&quot;idx&quot;:&quot;1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Kyle Mackay&quot;,&quot;team&quot;:&quot;VIC&quot;,&quot;year&quot;:&quot;1998&quot;,&quot;division&quot;:&quot;M-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5&quot;,&quot;name&quot;:&quot;David Vien&quot;,&quot;team&quot;:&quot;VIC&quot;,&quot;year&quot;:&quot;1989&quot;,&quot;division&quot;:&quot;M-CL-PL&quot;,&quot;bw&quot;:&quot;55&quot;,&quot;idx&quot;:&quot;1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1&quot;,&quot;name&quot;:&quot;Kyle Conquest-Hope&quot;,&quot;team&quot;:&quot;VIC&quot;,&quot;year&quot;:&quot;1993&quot;,&quot;division&quot;:&quot;M-CL-PL&quot;,&quot;bw&quot;:&quot;55&quot;,&quot;idx&quot;:&quot;16&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13&quot;,&quot;name&quot;:&quot;Julian Dusting&quot;,&quot;team&quot;:&quot;VIC&quot;,&quot;year&quot;:&quot;1998&quot;,&quot;division&quot;:&quot;M-CL-PL&quot;,&quot;bw&quot;:&quot;55&quot;,&quot;idx&quot;:&quot;17&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8&quot;,&quot;name&quot;:&quot;Eric Chau&quot;,&quot;team&quot;:&quot;VIC&quot;,&quot;year&quot;:&quot;1998&quot;,&quot;division&quot;:&quot;M-CL-PL&quot;,&quot;bw&quot;:&quot;55&quot;,&quot;idx&quot;:&quot;18&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2&quot;,&quot;name&quot;:&quot;Clay Bennett&quot;,&quot;team&quot;:&quot;VIC&quot;,&quot;year&quot;:&quot;1995&quot;,&quot;division&quot;:&quot;M-CL-PL&quot;,&quot;bw&quot;:&quot;55&quot;,&quot;idx&quot;:&quot;19&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Lloyd Bernardo&quot;,&quot;team&quot;:&quot;VIC&quot;,&quot;year&quot;:&quot;1992&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20&quot;,&quot;name&quot;:&quot;Bryson Clews&quot;,&quot;team&quot;:&quot;VIC&quot;,&quot;year&quot;:&quot;1995&quot;,&quot;division&quot;:&quot;M-CL-PL&quot;,&quot;bw&quot;:&quot;55&quot;,&quot;idx&quot;:&quot;2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4&quot;,&quot;name&quot;:&quot;Dean Sabawo&quot;,&quot;team&quot;:&quot;VIC&quot;,&quot;year&quot;:&quot;1998&quot;,&quot;division&quot;:&quot;M-CL-PL&quot;,&quot;bw&quot;:&quot;55&quot;,&quot;idx&quot;:&quot;22&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6&quot;,&quot;name&quot;:&quot;Thomas Burdick&quot;,&quot;team&quot;:&quot;VIC&quot;,&quot;year&quot;:&quot;1993&quot;,&quot;division&quot;:&quot;M-CL-PL&quot;,&quot;bw&quot;:&quot;55&quot;,&quot;idx&quot;:&quot;23&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8&quot;,&quot;name&quot;:&quot;Jarrid Gunn&quot;,&quot;team&quot;:&quot;VIC&quot;,&quot;year&quot;:&quot;1997&quot;,&quot;division&quot;:&quot;M-CL-PL&quot;,&quot;bw&quot;:&quot;55&quot;,&quot;idx&quot;:&quot;2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17&quot;,&quot;name&quot;:&quot;Daniel Lee&quot;,&quot;team&quot;:&quot;VIC&quot;,&quot;year&quot;:&quot;1995&quot;,&quot;division&quot;:&quot;M-CL-PL&quot;,&quot;bw&quot;:&quot;55&quot;,&quot;idx&quot;:&quot;2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15&quot;,&quot;name&quot;:&quot;Anthony Kourakis&quot;,&quot;team&quot;:&quot;VIC&quot;,&quot;year&quot;:&quot;1996&quot;,&quot;division&quot;:&quot;M-CL-PL&quot;,&quot;bw&quot;:&quot;55&quot;,&quot;idx&quot;:&quot;26&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57" xr16:uid="{00000000-0015-0000-FFFF-FFFF38000000}" name="Connection149" type="4" refreshedVersion="8" saveData="1">
    <webPr xl2000="1" url="http://cotf.zapto.org/simpleLifter/integrate/saveload.php?s=excel&amp;q=setup&amp;comp=ADM&amp;pwd=IN2" htmlTables="1" htmlFormat="all"/>
  </connection>
  <connection id="58" xr16:uid="{00000000-0015-0000-FFFF-FFFF39000000}" name="Connection15" type="4" refreshedVersion="8" saveData="1">
    <webPr xl2000="1" url="http://cotf.zapto.org/getcomps.php" htmlTables="1" htmlFormat="all"/>
  </connection>
  <connection id="59" xr16:uid="{00000000-0015-0000-FFFF-FFFF3A000000}" name="Connection150" type="4" refreshedVersion="8" saveData="1">
    <webPr xl2000="1" url="http://cotf.zapto.org/getcomps.php" htmlTables="1" htmlFormat="all"/>
  </connection>
  <connection id="60" xr16:uid="{00000000-0015-0000-FFFF-FFFF3B000000}" name="Connection151" type="4" refreshedVersion="8" saveData="1">
    <webPr xl2000="1" url="http://cotf.zapto.org/getcomps.php" htmlTables="1" htmlFormat="all"/>
  </connection>
  <connection id="61" xr16:uid="{00000000-0015-0000-FFFF-FFFF3C000000}" name="Connection152" type="4" refreshedVersion="8" saveData="1">
    <webPr xl2000="1" url="http://cotf.zapto.org/getcomps.php" htmlTables="1" htmlFormat="all"/>
  </connection>
  <connection id="62" xr16:uid="{00000000-0015-0000-FFFF-FFFF3D000000}" name="Connection153" type="4" refreshedVersion="8" saveData="1">
    <webPr xl2000="1" url="http://cotf.zapto.org/getcomps.php" htmlTables="1" htmlFormat="all"/>
  </connection>
  <connection id="63" xr16:uid="{00000000-0015-0000-FFFF-FFFF3E000000}" name="Connection154" type="4" refreshedVersion="8" saveData="1">
    <webPr xl2000="1" url="http://cotf.zapto.org/simpleLifter/integrate/saveload.php?s=excel&amp;q=lifters&amp;comp=AAD&amp;pwd=1234" post="excel={&quot;name&quot;:&quot;Evan McCloy&quot;,,&quot;name&quot;:&quot;Chris Ross&quot;,,&quot;name&quot;:&quot;Alex Tomasko&quot;,,&quot;name&quot;:&quot;Manning Jeffrey&quot;,,&quot;name&quot;:&quot;Renay Ferguson&quot;,,&quot;name&quot;:&quot;Shannon Delaney&quot;,,&quot;name&quot;:&quot;Amir Fazeli&quot;,,&quot;name&quot;:&quot;Michael Cornell&quot;,}" htmlTables="1" htmlFormat="all"/>
  </connection>
  <connection id="64" xr16:uid="{00000000-0015-0000-FFFF-FFFF3F000000}" name="Connection155" type="4" refreshedVersion="8" saveData="1">
    <webPr xl2000="1" url="http://cotf.zapto.org/simpleLifter/integrate/saveload.php?s=excel&amp;q=setup&amp;comp=AAD&amp;pwd=1234" htmlTables="1" htmlFormat="all"/>
  </connection>
  <connection id="65" xr16:uid="{00000000-0015-0000-FFFF-FFFF40000000}" name="Connection156" type="4" refreshedVersion="8" saveData="1">
    <webPr xl2000="1" url="http://cotf.zapto.org/simpleLifter/integrate/saveload.php?s=excel&amp;q=lifters&amp;comp=AAD&amp;pwd=1234" post="excel={&quot;0&quot;:{&quot;group&quot;:&quot;A&quot;,&quot;lot&quot;:8,&quot;name&quot;:&quot;Evan McCloy&quot;,&quot;team&quot;:&quot;AAP&quot;,&quot;year&quot;:&quot;1990&quot;,&quot;division&quot;:&quot;M-EQ-PL&quot;,&quot;bw&quot;:&quot;0&quot;,&quot;idx&quot;:&quot;0&quot;,&quot;sr&quot;:&quot;15&quot;,&quot;br&quot;:&quot;5/5&quot;,&quot;row&quot;:8,&quot;sq&quot;:{&quot;a1&quot;:100,&quot;a2&quot;:&quot;&quot;,&quot;a3&quot;:&quot;&quot;,&quot;s1&quot;:0,&quot;s2&quot;:0,&quot;s3&quot;:0},&quot;bp&quot;:{&quot;a1&quot;:150,&quot;a2&quot;:&quot;&quot;,&quot;a3&quot;:&quot;&quot;,&quot;s1&quot;:0,&quot;s2&quot;:0,&quot;s3&quot;:0},&quot;dl&quot;:{&quot;a1&quot;:200,&quot;a2&quot;:&quot;&quot;,&quot;a3&quot;:&quot;&quot;,&quot;s1&quot;:0,&quot;s2&quot;:0,&quot;s3&quot;:0},&quot;sortOrder&quot;:0,&quot;act&quot;:{}},&quot;1&quot;:{&quot;group&quot;:&quot;A&quot;,&quot;lot&quot;:5,&quot;name&quot;:&quot;Chris Ross&quot;,&quot;team&quot;:&quot;AAP&quot;,&quot;year&quot;:&quot;1990&quot;,&quot;division&quot;:&quot;M-CL-PL&quot;,&quot;bw&quot;:&quot;0&quot;,&quot;idx&quot;:&quot;1&quot;,&quot;sr&quot;:&quot;15&quot;,&quot;br&quot;:&quot;6/5&quot;,&quot;row&quot;:5,&quot;sq&quot;:{&quot;a1&quot;:200,&quot;a2&quot;:&quot;&quot;,&quot;a3&quot;:&quot;&quot;,&quot;s1&quot;:0,&quot;s2&quot;:0,&quot;s3&quot;:0},&quot;bp&quot;:{&quot;a1&quot;:200,&quot;a2&quot;:&quot;&quot;,&quot;a3&quot;:&quot;&quot;,&quot;s1&quot;:0,&quot;s2&quot;:0,&quot;s3&quot;:0},&quot;dl&quot;:{&quot;a1&quot;:300,&quot;a2&quot;:&quot;&quot;,&quot;a3&quot;:&quot;&quot;,&quot;s1&quot;:0,&quot;s2&quot;:0,&quot;s3&quot;:0},&quot;sortOrder&quot;:0,&quot;act&quot;:{}},&quot;2&quot;:{&quot;group&quot;:&quot;B&quot;,&quot;lot&quot;:3,&quot;name&quot;:&quot;Alex Tomasko&quot;,&quot;team&quot;:&quot;AAP&quot;,&quot;year&quot;:&quot;1990&quot;,&quot;division&quot;:&quot;M-EQ-BP&quot;,&quot;bw&quot;:&quot;0&quot;,&quot;idx&quot;:&quot;2&quot;,&quot;sr&quot;:&quot;0&quot;,&quot;br&quot;:&quot;6/6&quot;,&quot;row&quot;:3,&quot;sq&quot;:{&quot;a1&quot;:,&quot;a2&quot;:&quot;&quot;,&quot;a3&quot;:&quot;&quot;,&quot;s1&quot;:0,&quot;s2&quot;:0,&quot;s3&quot;:0},&quot;bp&quot;:{&quot;a1&quot;:200,&quot;a2&quot;:&quot;&quot;,&quot;a3&quot;:&quot;&quot;,&quot;s1&quot;:0,&quot;s2&quot;:0,&quot;s3&quot;:0},&quot;dl&quot;:{&quot;a1&quot;:,&quot;a2&quot;:&quot;&quot;,&quot;a3&quot;:&quot;&quot;,&quot;s1&quot;:0,&quot;s2&quot;:0,&quot;s3&quot;:0},&quot;sortOrder&quot;:0,&quot;act&quot;:{}},&quot;3&quot;:{&quot;group&quot;:&quot;B&quot;,&quot;lot&quot;:1,&quot;name&quot;:&quot;Manning Jeffrey&quot;,&quot;team&quot;:&quot;AAP&quot;,&quot;year&quot;:&quot;1990&quot;,&quot;division&quot;:&quot;M-CL-PL&quot;,&quot;bw&quot;:&quot;0&quot;,&quot;idx&quot;:&quot;3&quot;,&quot;sr&quot;:&quot;15&quot;,&quot;br&quot;:&quot;3/7&quot;,&quot;row&quot;:1,&quot;sq&quot;:{&quot;a1&quot;:200,&quot;a2&quot;:&quot;&quot;,&quot;a3&quot;:&quot;&quot;,&quot;s1&quot;:0,&quot;s2&quot;:0,&quot;s3&quot;:0},&quot;bp&quot;:{&quot;a1&quot;:100,&quot;a2&quot;:&quot;&quot;,&quot;a3&quot;:&quot;&quot;,&quot;s1&quot;:0,&quot;s2&quot;:0,&quot;s3&quot;:0},&quot;dl&quot;:{&quot;a1&quot;:200,&quot;a2&quot;:&quot;&quot;,&quot;a3&quot;:&quot;&quot;,&quot;s1&quot;:0,&quot;s2&quot;:0,&quot;s3&quot;:0},&quot;sortOrder&quot;:0,&quot;act&quot;:{}},&quot;4&quot;:{&quot;group&quot;:&quot;A&quot;,&quot;lot&quot;:4,&quot;name&quot;:&quot;Renay Ferguson&quot;,&quot;team&quot;:&quot;AAP&quot;,&quot;year&quot;:&quot;1990&quot;,&quot;division&quot;:&quot;F-EQ-PL&quot;,&quot;bw&quot;:&quot;0&quot;,&quot;idx&quot;:&quot;4&quot;,&quot;sr&quot;:&quot;15&quot;,&quot;br&quot;:&quot;7/5&quot;,&quot;row&quot;:4,&quot;sq&quot;:{&quot;a1&quot;:200,&quot;a2&quot;:&quot;&quot;,&quot;a3&quot;:&quot;&quot;,&quot;s1&quot;:0,&quot;s2&quot;:0,&quot;s3&quot;:0},&quot;bp&quot;:{&quot;a1&quot;:100,&quot;a2&quot;:&quot;&quot;,&quot;a3&quot;:&quot;&quot;,&quot;s1&quot;:0,&quot;s2&quot;:0,&quot;s3&quot;:0},&quot;dl&quot;:{&quot;a1&quot;:200,&quot;a2&quot;:&quot;&quot;,&quot;a3&quot;:&quot;&quot;,&quot;s1&quot;:0,&quot;s2&quot;:0,&quot;s3&quot;:0},&quot;sortOrder&quot;:0,&quot;act&quot;:{}},&quot;5&quot;:{&quot;group&quot;:&quot;A&quot;,&quot;lot&quot;:7,&quot;name&quot;:&quot;Shannon Delaney&quot;,&quot;team&quot;:&quot;AAP&quot;,&quot;year&quot;:&quot;1990&quot;,&quot;division&quot;:&quot;F-CL-PL&quot;,&quot;bw&quot;:&quot;0&quot;,&quot;idx&quot;:&quot;5&quot;,&quot;sr&quot;:&quot;15&quot;,&quot;br&quot;:&quot;4/6&quot;,&quot;row&quot;:7,&quot;sq&quot;:{&quot;a1&quot;:200,&quot;a2&quot;:&quot;&quot;,&quot;a3&quot;:&quot;&quot;,&quot;s1&quot;:0,&quot;s2&quot;:0,&quot;s3&quot;:0},&quot;bp&quot;:{&quot;a1&quot;:100,&quot;a2&quot;:&quot;&quot;,&quot;a3&quot;:&quot;&quot;,&quot;s1&quot;:0,&quot;s2&quot;:0,&quot;s3&quot;:0},&quot;dl&quot;:{&quot;a1&quot;:200,&quot;a2&quot;:&quot;&quot;,&quot;a3&quot;:&quot;&quot;,&quot;s1&quot;:0,&quot;s2&quot;:0,&quot;s3&quot;:0},&quot;sortOrder&quot;:0,&quot;act&quot;:{}},&quot;6&quot;:{&quot;group&quot;:&quot;B&quot;,&quot;lot&quot;:6,&quot;name&quot;:&quot;Amir Fazeli&quot;,&quot;team&quot;:&quot;AAG&quot;,&quot;year&quot;:&quot;1990&quot;,&quot;division&quot;:&quot;M-CL-DL&quot;,&quot;bw&quot;:&quot;0&quot;,&quot;idx&quot;:&quot;6&quot;,&quot;sr&quot;:&quot;0&quot;,&quot;br&quot;:&quot;0&quot;,&quot;row&quot;:6,&quot;sq&quot;:{&quot;a1&quot;:,&quot;a2&quot;:&quot;&quot;,&quot;a3&quot;:&quot;&quot;,&quot;s1&quot;:0,&quot;s2&quot;:0,&quot;s3&quot;:0},&quot;bp&quot;:{&quot;a1&quot;:,&quot;a2&quot;:&quot;&quot;,&quot;a3&quot;:&quot;&quot;,&quot;s1&quot;:0,&quot;s2&quot;:0,&quot;s3&quot;:0},&quot;dl&quot;:{&quot;a1&quot;:100,&quot;a2&quot;:&quot;&quot;,&quot;a3&quot;:&quot;&quot;,&quot;s1&quot;:0,&quot;s2&quot;:0,&quot;s3&quot;:0},&quot;sortOrder&quot;:0,&quot;act&quot;:{}},&quot;7&quot;:{&quot;group&quot;:&quot;B&quot;,&quot;lot&quot;:2,&quot;name&quot;:&quot;Michael Cornell&quot;,&quot;team&quot;:&quot;AAP&quot;,&quot;year&quot;:&quot;1990&quot;,&quot;division&quot;:&quot;M-CL-DL&quot;,&quot;bw&quot;:&quot;0&quot;,&quot;idx&quot;:&quot;7&quot;,&quot;sr&quot;:&quot;0&quot;,&quot;br&quot;:&quot;0&quot;,&quot;row&quot;:2,&quot;sq&quot;:{&quot;a1&quot;:,&quot;a2&quot;:&quot;&quot;,&quot;a3&quot;:&quot;&quot;,&quot;s1&quot;:0,&quot;s2&quot;:0,&quot;s3&quot;:0},&quot;bp&quot;:{&quot;a1&quot;:,&quot;a2&quot;:&quot;&quot;,&quot;a3&quot;:&quot;&quot;,&quot;s1&quot;:0,&quot;s2&quot;:0,&quot;s3&quot;:0},&quot;dl&quot;:{&quot;a1&quot;:100,&quot;a2&quot;:&quot;&quot;,&quot;a3&quot;:&quot;&quot;,&quot;s1&quot;:0,&quot;s2&quot;:0,&quot;s3&quot;:0},&quot;sortOrder&quot;:0,&quot;act&quot;:{}}}" htmlTables="1" htmlFormat="all"/>
  </connection>
  <connection id="66" xr16:uid="{00000000-0015-0000-FFFF-FFFF41000000}" name="Connection157" type="4" refreshedVersion="8" saveData="1">
    <webPr xl2000="1" url="http://cotf.zapto.org/simpleLifter/integrate/saveload.php?s=excel&amp;q=setup&amp;comp=AAD&amp;pwd=1234" htmlTables="1" htmlFormat="all"/>
  </connection>
  <connection id="67" xr16:uid="{00000000-0015-0000-FFFF-FFFF42000000}" name="Connection158" type="4" refreshedVersion="8" saveData="1">
    <webPr xl2000="1" url="http://cotf.zapto.org/simpleLifter/integrate/saveload.php?s=excel&amp;q=lifters&amp;comp=AAD&amp;pwd=1234" post="excel={&quot;0&quot;:{&quot;group&quot;:&quot;A&quot;,&quot;lot&quot;:8,&quot;name&quot;:&quot;Evan McCloy&quot;,&quot;team&quot;:&quot;AAP&quot;,&quot;year&quot;:&quot;1990&quot;,&quot;division&quot;:&quot;M-EQ-PL&quot;,&quot;bw&quot;:&quot;0&quot;,&quot;idx&quot;:&quot;0&quot;,&quot;sr&quot;:&quot;15&quot;,&quot;br&quot;:&quot;5/5&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quot;:{&quot;group&quot;:&quot;A&quot;,&quot;lot&quot;:5,&quot;name&quot;:&quot;Chris Ross&quot;,&quot;team&quot;:&quot;AAP&quot;,&quot;year&quot;:&quot;1990&quot;,&quot;division&quot;:&quot;M-CL-PL&quot;,&quot;bw&quot;:&quot;0&quot;,&quot;idx&quot;:&quot;1&quot;,&quot;sr&quot;:&quot;15&quot;,&quot;br&quot;:&quot;6/5&quot;,&quot;row&quot;: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3,&quot;name&quot;:&quot;Alex Tomasko&quot;,&quot;team&quot;:&quot;AAP&quot;,&quot;year&quot;:&quot;1990&quot;,&quot;division&quot;:&quot;M-EQ-BP&quot;,&quot;bw&quot;:&quot;0&quot;,&quot;idx&quot;:&quot;2&quot;,&quot;sr&quot;:&quot;0&quot;,&quot;br&quot;:&quot;6/6&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1,&quot;name&quot;:&quot;Manning Jeffrey&quot;,&quot;team&quot;:&quot;AAP&quot;,&quot;year&quot;:&quot;1990&quot;,&quot;division&quot;:&quot;M-CL-PL&quot;,&quot;bw&quot;:&quot;0&quot;,&quot;idx&quot;:&quot;3&quot;,&quot;sr&quot;:&quot;15&quot;,&quot;br&quot;:&quot;3/7&quot;,&quot;row&quot;: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4&quot;:{&quot;group&quot;:&quot;A&quot;,&quot;lot&quot;:4,&quot;name&quot;:&quot;Renay Ferguson&quot;,&quot;team&quot;:&quot;AAP&quot;,&quot;year&quot;:&quot;1990&quot;,&quot;division&quot;:&quot;F-EQ-PL&quot;,&quot;bw&quot;:&quot;0&quot;,&quot;idx&quot;:&quot;4&quot;,&quot;sr&quot;:&quot;15&quot;,&quot;br&quot;:&quot;7/5&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5&quot;:{&quot;group&quot;:&quot;A&quot;,&quot;lot&quot;:7,&quot;name&quot;:&quot;Shannon Delaney&quot;,&quot;team&quot;:&quot;AAP&quot;,&quot;year&quot;:&quot;1990&quot;,&quot;division&quot;:&quot;F-CL-PL&quot;,&quot;bw&quot;:&quot;0&quot;,&quot;idx&quot;:&quot;5&quot;,&quot;sr&quot;:&quot;15&quot;,&quot;br&quot;:&quot;4/6&quot;,&quot;row&quot;: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6&quot;:{&quot;group&quot;:&quot;B&quot;,&quot;lot&quot;:6,&quot;name&quot;:&quot;Amir Fazeli&quot;,&quot;team&quot;:&quot;AAG&quot;,&quot;year&quot;:&quot;1990&quot;,&quot;division&quot;:&quot;M-CL-DL&quot;,&quot;bw&quot;:&quot;0&quot;,&quot;idx&quot;:&quot;6&quot;,&quot;sr&quot;:&quot;0&quot;,&quot;br&quot;:&quot;0&quot;,&quot;row&quot;: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7&quot;:{&quot;group&quot;:&quot;B&quot;,&quot;lot&quot;:2,&quot;name&quot;:&quot;Michael Cornell&quot;,&quot;team&quot;:&quot;AAP&quot;,&quot;year&quot;:&quot;1990&quot;,&quot;division&quot;:&quot;M-CL-DL&quot;,&quot;bw&quot;:&quot;0&quot;,&quot;idx&quot;:&quot;7&quot;,&quot;sr&quot;:&quot;0&quot;,&quot;br&quot;:&quot;0&quot;,&quot;row&quot;: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68" xr16:uid="{00000000-0015-0000-FFFF-FFFF43000000}" name="Connection159" type="4" refreshedVersion="8" saveData="1">
    <webPr xl2000="1" url="http://cotf.zapto.org/simpleLifter/integrate/saveload.php?s=excel&amp;q=setup&amp;comp=AAD&amp;pwd=1234" htmlTables="1" htmlFormat="all"/>
  </connection>
  <connection id="69" xr16:uid="{00000000-0015-0000-FFFF-FFFF44000000}" name="Connection16" type="4" refreshedVersion="8" saveData="1">
    <webPr xl2000="1" url="http://cotf.zapto.org/getcomps.php" htmlTables="1" htmlFormat="all"/>
  </connection>
  <connection id="70" xr16:uid="{00000000-0015-0000-FFFF-FFFF45000000}" name="Connection160" type="4" refreshedVersion="8" saveData="1">
    <webPr xl2000="1" url="http://cotf.zapto.org/simpleLifter/integrate/saveload.php?s=excel&amp;q=lifters&amp;comp=AAD&amp;pwd=1234" post="excel={&quot;0&quot;:{&quot;group&quot;:&quot;A&quot;,&quot;lot&quot;:8,&quot;name&quot;:&quot;Evan McCloy&quot;,&quot;team&quot;:&quot;AAP&quot;,&quot;year&quot;:&quot;1990&quot;,&quot;division&quot;:&quot;M-EQ-PL&quot;,&quot;bw&quot;:&quot;0&quot;,&quot;idx&quot;:&quot;0&quot;,&quot;sr&quot;:&quot;15&quot;,&quot;br&quot;:&quot;5/5&quot;,&quot;row&quot;:8,&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5,&quot;name&quot;:&quot;Chris Ross&quot;,&quot;team&quot;:&quot;AAP&quot;,&quot;year&quot;:&quot;1990&quot;,&quot;division&quot;:&quot;M-CL-PL&quot;,&quot;bw&quot;:&quot;0&quot;,&quot;idx&quot;:&quot;1&quot;,&quot;sr&quot;:&quot;15&quot;,&quot;br&quot;:&quot;6/5&quot;,&quot;row&quot;:5,&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3,&quot;name&quot;:&quot;Alex Tomasko&quot;,&quot;team&quot;:&quot;AAP&quot;,&quot;year&quot;:&quot;1990&quot;,&quot;division&quot;:&quot;M-EQ-BP&quot;,&quot;bw&quot;:&quot;0&quot;,&quot;idx&quot;:&quot;2&quot;,&quot;sr&quot;:&quot;0&quot;,&quot;br&quot;:&quot;6/6&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1,&quot;name&quot;:&quot;Manning Jeffrey&quot;,&quot;team&quot;:&quot;AAP&quot;,&quot;year&quot;:&quot;1990&quot;,&quot;division&quot;:&quot;M-CL-PL&quot;,&quot;bw&quot;:&quot;0&quot;,&quot;idx&quot;:&quot;3&quot;,&quot;sr&quot;:&quot;15&quot;,&quot;br&quot;:&quot;3/7&quot;,&quot;row&quot;:1,&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4,&quot;name&quot;:&quot;Renay Ferguson&quot;,&quot;team&quot;:&quot;AAP&quot;,&quot;year&quot;:&quot;1990&quot;,&quot;division&quot;:&quot;F-EQ-PL&quot;,&quot;bw&quot;:&quot;0&quot;,&quot;idx&quot;:&quot;4&quot;,&quot;sr&quot;:&quot;15&quot;,&quot;br&quot;:&quot;7/5&quot;,&quot;row&quot;:4,&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7,&quot;name&quot;:&quot;Shannon Delaney&quot;,&quot;team&quot;:&quot;AAP&quot;,&quot;year&quot;:&quot;1990&quot;,&quot;division&quot;:&quot;F-CL-PL&quot;,&quot;bw&quot;:&quot;0&quot;,&quot;idx&quot;:&quot;5&quot;,&quot;sr&quot;:&quot;15&quot;,&quot;br&quot;:&quot;4/6&quot;,&quot;row&quot;:7,&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6,&quot;name&quot;:&quot;Amir Fazeli&quot;,&quot;team&quot;:&quot;AAG&quot;,&quot;year&quot;:&quot;1990&quot;,&quot;division&quot;:&quot;M-CL-DL&quot;,&quot;bw&quot;:&quot;0&quot;,&quot;idx&quot;:&quot;6&quot;,&quot;sr&quot;:&quot;0&quot;,&quot;br&quot;:&quot;0&quot;,&quot;row&quot;:6,&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2,&quot;name&quot;:&quot;Michael Cornell&quot;,&quot;team&quot;:&quot;AAP&quot;,&quot;year&quot;:&quot;1990&quot;,&quot;division&quot;:&quot;M-CL-DL&quot;,&quot;bw&quot;:&quot;0&quot;,&quot;idx&quot;:&quot;7&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71" xr16:uid="{00000000-0015-0000-FFFF-FFFF46000000}" name="Connection161" type="4" refreshedVersion="8" saveData="1">
    <webPr xl2000="1" url="http://cotf.zapto.org/simpleLifter/integrate/saveload.php?s=excel&amp;q=setup&amp;comp=AAD&amp;pwd=1234" htmlTables="1" htmlFormat="all"/>
  </connection>
  <connection id="72" xr16:uid="{00000000-0015-0000-FFFF-FFFF47000000}" name="Connection162" type="4" refreshedVersion="8" saveData="1">
    <webPr xl2000="1" url="http://cotf.zapto.org/getcomps.php" htmlTables="1" htmlFormat="all"/>
  </connection>
  <connection id="73" xr16:uid="{00000000-0015-0000-FFFF-FFFF48000000}" name="Connection163" type="4" refreshedVersion="8" saveData="1">
    <webPr xl2000="1" url="http://cotf.zapto.org/simpleLifter/integrate/saveload.php?s=excel&amp;q=lifters&amp;comp=AEF&amp;pwd=123" post="excel={&quot;0&quot;:{&quot;group&quot;:&quot;A&quot;,&quot;lot&quot;:5,&quot;name&quot;:&quot;Evan McCloy&quot;,&quot;team&quot;:&quot;AAP&quot;,&quot;year&quot;:&quot;1990&quot;,&quot;division&quot;:&quot;M-EQ-PL&quot;,&quot;bw&quot;:&quot;55&quot;,&quot;idx&quot;:&quot;0&quot;,&quot;sr&quot;:&quot;15&quot;,&quot;br&quot;:&quot;5/5&quot;,&quot;row&quot;:5,&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2,&quot;name&quot;:&quot;Chris Ross&quot;,&quot;team&quot;:&quot;AAP&quot;,&quot;year&quot;:&quot;1990&quot;,&quot;division&quot;:&quot;M-CL-PL&quot;,&quot;bw&quot;:&quot;60&quot;,&quot;idx&quot;:&quot;1&quot;,&quot;sr&quot;:&quot;15&quot;,&quot;br&quot;:&quot;6/5&quot;,&quot;row&quot;:2,&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4,&quot;name&quot;:&quot;Alex Tomasko&quot;,&quot;team&quot;:&quot;AAP&quot;,&quot;year&quot;:&quot;1990&quot;,&quot;division&quot;:&quot;M-EQ-BP&quot;,&quot;bw&quot;:&quot;65&quot;,&quot;idx&quot;:&quot;2&quot;,&quot;sr&quot;:&quot;0&quot;,&quot;br&quot;:&quot;6/6&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3,&quot;name&quot;:&quot;Renay Ferguson&quot;,&quot;team&quot;:&quot;AAP&quot;,&quot;year&quot;:&quot;1990&quot;,&quot;division&quot;:&quot;F-EQ-PL&quot;,&quot;bw&quot;:&quot;75&quot;,&quot;idx&quot;:&quot;4&quot;,&quot;sr&quot;:&quot;15&quot;,&quot;br&quot;:&quot;7/5&quot;,&quot;row&quot;:3,&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6,&quot;name&quot;:&quot;Shannon Delaney&quot;,&quot;team&quot;:&quot;AAP&quot;,&quot;year&quot;:&quot;1990&quot;,&quot;division&quot;:&quot;F-CL-PL&quot;,&quot;bw&quot;:&quot;80&quot;,&quot;idx&quot;:&quot;5&quot;,&quot;sr&quot;:&quot;15&quot;,&quot;br&quot;:&quot;4/6&quot;,&quot;row&quot;:6,&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1,&quot;name&quot;:&quot;Amir Fazeli&quot;,&quot;team&quot;:&quot;AAG&quot;,&quot;year&quot;:&quot;1990&quot;,&quot;division&quot;:&quot;M-CL-DL&quot;,&quot;bw&quot;:&quot;85&quot;,&quot;idx&quot;:&quot;6&quot;,&quot;sr&quot;:&quot;0&quot;,&quot;br&quot;:&quot;0&quot;,&quot;row&quot;:1,&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8,&quot;name&quot;:&quot;Michael Cornell&quot;,&quot;team&quot;:&quot;AAP&quot;,&quot;year&quot;:&quot;1990&quot;,&quot;division&quot;:&quot;M-CL-DL&quot;,&quot;bw&quot;:&quot;90&quot;,&quot;idx&quot;:&quot;7&quot;,&quot;sr&quot;:&quot;0&quot;,&quot;br&quot;:&quot;0&quot;,&quot;row&quot;:8,&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74" xr16:uid="{00000000-0015-0000-FFFF-FFFF49000000}" name="Connection164" type="4" refreshedVersion="8" saveData="1">
    <webPr xl2000="1" url="http://cotf.zapto.org/simpleLifter/integrate/saveload.php?s=excel&amp;q=setup&amp;comp=AEF&amp;pwd=123" htmlTables="1" htmlFormat="all"/>
  </connection>
  <connection id="75" xr16:uid="{00000000-0015-0000-FFFF-FFFF4A000000}" name="Connection165" type="4" refreshedVersion="8" saveData="1">
    <webPr xl2000="1" url="http://cotf.zapto.org/getcomps.php" htmlTables="1" htmlFormat="all"/>
  </connection>
  <connection id="76" xr16:uid="{00000000-0015-0000-FFFF-FFFF4B000000}" name="Connection166" type="4" refreshedVersion="8" saveData="1">
    <webPr xl2000="1" url="http://cotf.zapto.org/simpleLifter/integrate/saveload.php?s=excel&amp;q=lifters&amp;comp=AAD&amp;pwd=1234" post="excel={&quot;0&quot;:{&quot;group&quot;:&quot;A&quot;,&quot;lot&quot;:5,&quot;name&quot;:&quot;Evan McCloy&quot;,&quot;team&quot;:&quot;AAP&quot;,&quot;year&quot;:&quot;1990&quot;,&quot;division&quot;:&quot;M-EQ-PL&quot;,&quot;bw&quot;:&quot;55&quot;,&quot;idx&quot;:&quot;0&quot;,&quot;sr&quot;:&quot;15&quot;,&quot;br&quot;:&quot;5/5&quot;,&quot;row&quot;:5,&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2,&quot;name&quot;:&quot;Chris Ross&quot;,&quot;team&quot;:&quot;AAP&quot;,&quot;year&quot;:&quot;1990&quot;,&quot;division&quot;:&quot;M-CL-PL&quot;,&quot;bw&quot;:&quot;60&quot;,&quot;idx&quot;:&quot;1&quot;,&quot;sr&quot;:&quot;15&quot;,&quot;br&quot;:&quot;6/5&quot;,&quot;row&quot;:2,&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4,&quot;name&quot;:&quot;Alex Tomasko&quot;,&quot;team&quot;:&quot;AAP&quot;,&quot;year&quot;:&quot;1990&quot;,&quot;division&quot;:&quot;M-EQ-BP&quot;,&quot;bw&quot;:&quot;65&quot;,&quot;idx&quot;:&quot;2&quot;,&quot;sr&quot;:&quot;0&quot;,&quot;br&quot;:&quot;6/6&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3,&quot;name&quot;:&quot;Renay Ferguson&quot;,&quot;team&quot;:&quot;AAP&quot;,&quot;year&quot;:&quot;1990&quot;,&quot;division&quot;:&quot;F-EQ-PL&quot;,&quot;bw&quot;:&quot;75&quot;,&quot;idx&quot;:&quot;4&quot;,&quot;sr&quot;:&quot;15&quot;,&quot;br&quot;:&quot;7/5&quot;,&quot;row&quot;:3,&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6,&quot;name&quot;:&quot;Shannon Delaney&quot;,&quot;team&quot;:&quot;AAP&quot;,&quot;year&quot;:&quot;1990&quot;,&quot;division&quot;:&quot;F-CL-PL&quot;,&quot;bw&quot;:&quot;80&quot;,&quot;idx&quot;:&quot;5&quot;,&quot;sr&quot;:&quot;15&quot;,&quot;br&quot;:&quot;4/6&quot;,&quot;row&quot;:6,&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1,&quot;name&quot;:&quot;Amir Fazeli&quot;,&quot;team&quot;:&quot;AAG&quot;,&quot;year&quot;:&quot;1990&quot;,&quot;division&quot;:&quot;M-CL-DL&quot;,&quot;bw&quot;:&quot;85&quot;,&quot;idx&quot;:&quot;6&quot;,&quot;sr&quot;:&quot;0&quot;,&quot;br&quot;:&quot;0&quot;,&quot;row&quot;:1,&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8,&quot;name&quot;:&quot;Michael Cornell&quot;,&quot;team&quot;:&quot;AAP&quot;,&quot;year&quot;:&quot;1990&quot;,&quot;division&quot;:&quot;M-CL-DL&quot;,&quot;bw&quot;:&quot;90&quot;,&quot;idx&quot;:&quot;7&quot;,&quot;sr&quot;:&quot;0&quot;,&quot;br&quot;:&quot;0&quot;,&quot;row&quot;:8,&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8&quot;:{&quot;group&quot;:&quot;A&quot;,&quot;lot&quot;:69,&quot;name&quot;:&quot;Rosie Wilson&quot;,&quot;team&quot;:&quot;IN2&quot;,&quot;year&quot;:&quot;0&quot;,&quot;division&quot;:&quot;--&quot;,&quot;bw&quot;:&quot;0&quot;,&quot;idx&quot;:&quot;8&quot;,&quot;sr&quot;:&quot;0&quot;,&quot;br&quot;:&quot;0&quot;,&quot;row&quot;:6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77" xr16:uid="{00000000-0015-0000-FFFF-FFFF4C000000}" name="Connection167" type="4" refreshedVersion="8" saveData="1">
    <webPr xl2000="1" url="http://cotf.zapto.org/getcomps.php" htmlTables="1" htmlFormat="all"/>
  </connection>
  <connection id="78" xr16:uid="{00000000-0015-0000-FFFF-FFFF4D000000}" name="Connection168" type="4" refreshedVersion="8" saveData="1">
    <webPr xl2000="1" url="http://cotf.zapto.org/simpleLifter/integrate/saveload.php?s=excel&amp;q=lifters&amp;comp=AAD&amp;pwd=1234" post="excel={&quot;0&quot;:{&quot;group&quot;:&quot;A&quot;,&quot;lot&quot;:5,&quot;name&quot;:&quot;Evan McCloy&quot;,&quot;team&quot;:&quot;AAP&quot;,&quot;year&quot;:&quot;1990&quot;,&quot;division&quot;:&quot;M-EQ-PL&quot;,&quot;bw&quot;:&quot;55&quot;,&quot;idx&quot;:&quot;0&quot;,&quot;sr&quot;:&quot;15&quot;,&quot;br&quot;:&quot;5/5&quot;,&quot;row&quot;:5,&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2,&quot;name&quot;:&quot;Chris Ross&quot;,&quot;team&quot;:&quot;AAP&quot;,&quot;year&quot;:&quot;1990&quot;,&quot;division&quot;:&quot;M-CL-PL&quot;,&quot;bw&quot;:&quot;60&quot;,&quot;idx&quot;:&quot;1&quot;,&quot;sr&quot;:&quot;15&quot;,&quot;br&quot;:&quot;6/5&quot;,&quot;row&quot;:2,&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4,&quot;name&quot;:&quot;Alex Tomasko&quot;,&quot;team&quot;:&quot;AAP&quot;,&quot;year&quot;:&quot;1990&quot;,&quot;division&quot;:&quot;M-EQ-BP&quot;,&quot;bw&quot;:&quot;65&quot;,&quot;idx&quot;:&quot;2&quot;,&quot;sr&quot;:&quot;0&quot;,&quot;br&quot;:&quot;6/6&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3,&quot;name&quot;:&quot;Renay Ferguson&quot;,&quot;team&quot;:&quot;AAP&quot;,&quot;year&quot;:&quot;1990&quot;,&quot;division&quot;:&quot;F-EQ-PL&quot;,&quot;bw&quot;:&quot;75&quot;,&quot;idx&quot;:&quot;4&quot;,&quot;sr&quot;:&quot;15&quot;,&quot;br&quot;:&quot;7/5&quot;,&quot;row&quot;:3,&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6,&quot;name&quot;:&quot;Shannon Delaney&quot;,&quot;team&quot;:&quot;AAP&quot;,&quot;year&quot;:&quot;1990&quot;,&quot;division&quot;:&quot;F-CL-PL&quot;,&quot;bw&quot;:&quot;80&quot;,&quot;idx&quot;:&quot;5&quot;,&quot;sr&quot;:&quot;15&quot;,&quot;br&quot;:&quot;4/6&quot;,&quot;row&quot;:6,&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1,&quot;name&quot;:&quot;Amir Fazeli&quot;,&quot;team&quot;:&quot;AAG&quot;,&quot;year&quot;:&quot;1990&quot;,&quot;division&quot;:&quot;M-CL-DL&quot;,&quot;bw&quot;:&quot;85&quot;,&quot;idx&quot;:&quot;6&quot;,&quot;sr&quot;:&quot;0&quot;,&quot;br&quot;:&quot;0&quot;,&quot;row&quot;:1,&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8,&quot;name&quot;:&quot;Michael Cornell&quot;,&quot;team&quot;:&quot;AAP&quot;,&quot;year&quot;:&quot;1990&quot;,&quot;division&quot;:&quot;M-CL-DL&quot;,&quot;bw&quot;:&quot;90&quot;,&quot;idx&quot;:&quot;7&quot;,&quot;sr&quot;:&quot;0&quot;,&quot;br&quot;:&quot;0&quot;,&quot;row&quot;:8,&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79" xr16:uid="{00000000-0015-0000-FFFF-FFFF4E000000}" name="Connection169" type="4" refreshedVersion="8" saveData="1">
    <webPr xl2000="1" url="http://cotf.zapto.org/getcomps.php" htmlTables="1" htmlFormat="all"/>
  </connection>
  <connection id="80" xr16:uid="{00000000-0015-0000-FFFF-FFFF4F000000}" name="Connection17" type="4" refreshedVersion="8" saveData="1">
    <webPr xl2000="1" url="http://cotf.zapto.org/getcomps.php" htmlTables="1" htmlFormat="all"/>
  </connection>
  <connection id="81" xr16:uid="{00000000-0015-0000-FFFF-FFFF50000000}" name="Connection170" type="4" refreshedVersion="8" saveData="1">
    <webPr xl2000="1" url="http://cotf.zapto.org/simpleLifter/integrate/saveload.php?s=excel&amp;q=lifters&amp;comp=AAD&amp;pwd=1234" post="excel={&quot;0&quot;:{&quot;group&quot;:&quot;A&quot;,&quot;lot&quot;:6,&quot;name&quot;:&quot;Evan McCloy&quot;,&quot;team&quot;:&quot;AAP&quot;,&quot;year&quot;:&quot;1990&quot;,&quot;division&quot;:&quot;M-EQ-PL&quot;,&quot;bw&quot;:&quot;55&quot;,&quot;idx&quot;:&quot;0&quot;,&quot;sr&quot;:&quot;15&quot;,&quot;br&quot;:&quot;5/5&quot;,&quot;row&quot;:6,&quot;sq&quot;:{&quot;a1&quot;:100,&quot;a2&quot;:&quot;&quot;,&quot;a3&quot;:&quot;&quot;,&quot;s1&quot;:0,&quot;s2&quot;:0,&quot;s3&quot;:0},&quot;bp&quot;:{&quot;a1&quot;:200,&quot;a2&quot;:&quot;&quot;,&quot;a3&quot;:&quot;&quot;,&quot;s1&quot;:0,&quot;s2&quot;:0,&quot;s3&quot;:0},&quot;dl&quot;:{&quot;a1&quot;:200,&quot;a2&quot;:&quot;&quot;,&quot;a3&quot;:&quot;&quot;,&quot;s1&quot;:0,&quot;s2&quot;:0,&quot;s3&quot;:0},&quot;sortOrder&quot;:0,&quot;act&quot;:{}},&quot;1&quot;:{&quot;group&quot;:&quot;A&quot;,&quot;lot&quot;:3,&quot;name&quot;:&quot;Chris Ross&quot;,&quot;team&quot;:&quot;AAP&quot;,&quot;year&quot;:&quot;1990&quot;,&quot;division&quot;:&quot;M-CL-PL&quot;,&quot;bw&quot;:&quot;60&quot;,&quot;idx&quot;:&quot;1&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2&quot;:{&quot;group&quot;:&quot;B&quot;,&quot;lot&quot;:8,&quot;name&quot;:&quot;Alex Tomasko&quot;,&quot;team&quot;:&quot;AAP&quot;,&quot;year&quot;:&quot;1990&quot;,&quot;division&quot;:&quot;M-EQ-BP&quot;,&quot;bw&quot;:&quot;65&quot;,&quot;idx&quot;:&quot;2&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B&quot;,&quot;lot&quot;:7,&quot;name&quot;:&quot;Manning Jeffrey&quot;,&quot;team&quot;:&quot;AAP&quot;,&quot;year&quot;:&quot;1990&quot;,&quot;division&quot;:&quot;M-CL-PL&quot;,&quot;bw&quot;:&quot;70&quot;,&quot;idx&quot;:&quot;3&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4&quot;:{&quot;group&quot;:&quot;A&quot;,&quot;lot&quot;:1,&quot;name&quot;:&quot;Renay Ferguson&quot;,&quot;team&quot;:&quot;AAP&quot;,&quot;year&quot;:&quot;1990&quot;,&quot;division&quot;:&quot;F-EQ-PL&quot;,&quot;bw&quot;:&quot;75&quot;,&quot;idx&quot;:&quot;4&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5&quot;:{&quot;group&quot;:&quot;A&quot;,&quot;lot&quot;:4,&quot;name&quot;:&quot;Shannon Delaney&quot;,&quot;team&quot;:&quot;AAP&quot;,&quot;year&quot;:&quot;1990&quot;,&quot;division&quot;:&quot;F-CL-PL&quot;,&quot;bw&quot;:&quot;80&quot;,&quot;idx&quot;:&quot;5&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6&quot;:{&quot;group&quot;:&quot;B&quot;,&quot;lot&quot;:5,&quot;name&quot;:&quot;Amir Fazeli&quot;,&quot;team&quot;:&quot;AAG&quot;,&quot;year&quot;:&quot;1990&quot;,&quot;division&quot;:&quot;M-CL-DL&quot;,&quot;bw&quot;:&quot;85&quot;,&quot;idx&quot;:&quot;6&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7&quot;:{&quot;group&quot;:&quot;B&quot;,&quot;lot&quot;:2,&quot;name&quot;:&quot;Michael Cornell&quot;,&quot;team&quot;:&quot;AAP&quot;,&quot;year&quot;:&quot;1990&quot;,&quot;division&quot;:&quot;M-CL-DL&quot;,&quot;bw&quot;:&quot;90&quot;,&quot;idx&quot;:&quot;7&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 htmlTables="1" htmlFormat="all"/>
  </connection>
  <connection id="82" xr16:uid="{00000000-0015-0000-FFFF-FFFF51000000}" name="Connection171" type="4" refreshedVersion="8" saveData="1">
    <webPr xl2000="1" url="http://cotf.zapto.org/getcomps.php" htmlTables="1" htmlFormat="all"/>
  </connection>
  <connection id="83" xr16:uid="{00000000-0015-0000-FFFF-FFFF52000000}" name="Connection172" type="4" refreshedVersion="8" saveData="1">
    <webPr xl2000="1" url="http://cotf.zapto.org/getcomps.php" htmlTables="1" htmlFormat="all"/>
  </connection>
  <connection id="84" xr16:uid="{00000000-0015-0000-FFFF-FFFF53000000}" name="Connection173"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7&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5" xr16:uid="{00000000-0015-0000-FFFF-FFFF54000000}" name="Connection174" type="4" refreshedVersion="8" saveData="1">
    <webPr xl2000="1" url="http://cotf.zapto.org/getcomps.php" htmlTables="1" htmlFormat="all"/>
  </connection>
  <connection id="86" xr16:uid="{00000000-0015-0000-FFFF-FFFF55000000}" name="Connection175"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7&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7" xr16:uid="{00000000-0015-0000-FFFF-FFFF56000000}" name="Connection176"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3&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8" xr16:uid="{00000000-0015-0000-FFFF-FFFF57000000}" name="Connection177" type="4" refreshedVersion="8" saveData="1">
    <webPr xl2000="1" url="http://cotf.zapto.org/simpleLifter/integrate/saveload.php?s=excel&amp;q=lifters&amp;comp=AAD&amp;pwd=1234" post="excel={&quot;0&quot;:{&quot;group&quot;:&quot;A&quot;,&quot;lot&quot;:3,&quot;name&quot;:&quot;Chris Ross&quot;,&quot;team&quot;:&quot;AAP&quot;,&quot;year&quot;:&quot;1990&quot;,&quot;division&quot;:&quot;M-CL-PL&quot;,&quot;bw&quot;:&quot;60&quot;,&quot;idx&quot;:&quot;0&quot;,&quot;sr&quot;:&quot;15&quot;,&quot;br&quot;:&quot;6/5&quot;,&quot;row&quot;:3,&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8,&quot;name&quot;:&quot;Alex Tomasko&quot;,&quot;team&quot;:&quot;AAP&quot;,&quot;year&quot;:&quot;1990&quot;,&quot;division&quot;:&quot;M-EQ-BP&quot;,&quot;bw&quot;:&quot;65&quot;,&quot;idx&quot;:&quot;1&quot;,&quot;sr&quot;:&quot;0&quot;,&quot;br&quot;:&quot;6/6&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B&quot;,&quot;lot&quot;:7,&quot;name&quot;:&quot;Manning Jeffrey&quot;,&quot;team&quot;:&quot;AAP&quot;,&quot;year&quot;:&quot;1990&quot;,&quot;division&quot;:&quot;M-CL-PL&quot;,&quot;bw&quot;:&quot;70&quot;,&quot;idx&quot;:&quot;2&quot;,&quot;sr&quot;:&quot;15&quot;,&quot;br&quot;:&quot;3/7&quot;,&quot;row&quot;:7,&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75&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4,&quot;name&quot;:&quot;Shannon Delaney&quot;,&quot;team&quot;:&quot;AAP&quot;,&quot;year&quot;:&quot;1990&quot;,&quot;division&quot;:&quot;F-CL-PL&quot;,&quot;bw&quot;:&quot;80&quot;,&quot;idx&quot;:&quot;4&quot;,&quot;sr&quot;:&quot;15&quot;,&quot;br&quot;:&quot;4/6&quot;,&quot;row&quot;:4,&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5,&quot;name&quot;:&quot;Amir Fazeli&quot;,&quot;team&quot;:&quot;AAG&quot;,&quot;year&quot;:&quot;1990&quot;,&quot;division&quot;:&quot;M-CL-DL&quot;,&quot;bw&quot;:&quot;85&quot;,&quot;idx&quot;:&quot;5&quot;,&quot;sr&quot;:&quot;0&quot;,&quot;br&quot;:&quot;0&quot;,&quot;row&quot;:5,&quot;sq&quot;:{&quot;a1&quot;:0,&quot;a2&quot;:&quot;&quot;,&quot;a3&quot;:&quot;&quot;,&quot;s1&quot;:0,&quot;s2&quot;:0,&quot;s3&quot;:0},&quot;bp&quot;:{&quot;a1&quot;:0,&quot;a2&quot;:&quot;&quot;,&quot;a3&quot;:&quot;&quot;,&quot;s1&quot;:0,&quot;s2&quot;:0,&quot;s3&quot;:0},&quot;dl&quot;:{&quot;a1&quot;:312.5,&quot;a2&quot;:&quot;&quot;,&quot;a3&quot;:&quot;&quot;,&quot;s1&quot;:0,&quot;s2&quot;:0,&quot;s3&quot;:0},&quot;sortOrder&quot;:0,&quot;act&quot;:{}},&quot;6&quot;:{&quot;group&quot;:&quot;B&quot;,&quot;lot&quot;:2,&quot;name&quot;:&quot;Michael Cornell&quot;,&quot;team&quot;:&quot;AAP&quot;,&quot;year&quot;:&quot;1990&quot;,&quot;division&quot;:&quot;M-CL-DL&quot;,&quot;bw&quot;:&quot;90&quot;,&quot;idx&quot;:&quot;6&quot;,&quot;sr&quot;:&quot;0&quot;,&quot;br&quot;:&quot;0&quot;,&quot;row&quot;:2,&quot;sq&quot;:{&quot;a1&quot;:0,&quot;a2&quot;:&quot;&quot;,&quot;a3&quot;:&quot;&quot;,&quot;s1&quot;:0,&quot;s2&quot;:0,&quot;s3&quot;:0},&quot;bp&quot;:{&quot;a1&quot;:0,&quot;a2&quot;:&quot;&quot;,&quot;a3&quot;:&quot;&quot;,&quot;s1&quot;:0,&quot;s2&quot;:0,&quot;s3&quot;:0},&quot;dl&quot;:{&quot;a1&quot;:270,&quot;a2&quot;:&quot;&quot;,&quot;a3&quot;:&quot;&quot;,&quot;s1&quot;:0,&quot;s2&quot;:0,&quot;s3&quot;:0},&quot;sortOrder&quot;:0,&quot;act&quot;:{}},&quot;7&quot;:{&quot;group&quot;:&quot;A&quot;,&quot;lot&quot;:6,&quot;name&quot;:&quot;Evan McCloy&quot;,&quot;team&quot;:&quot;AAP&quot;,&quot;year&quot;:&quot;1990&quot;,&quot;division&quot;:&quot;M-EQ-PL&quot;,&quot;bw&quot;:&quot;97&quot;,&quot;idx&quot;:&quot;7&quot;,&quot;sr&quot;:&quot;15&quot;,&quot;br&quot;:&quot;5/5&quot;,&quot;row&quot;:6,&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89" xr16:uid="{00000000-0015-0000-FFFF-FFFF58000000}" name="Connection178" type="4" refreshedVersion="8" saveData="1">
    <webPr xl2000="1" url="http://cotf.zapto.org/getcomps.php" htmlTables="1" htmlFormat="all"/>
  </connection>
  <connection id="90" xr16:uid="{00000000-0015-0000-FFFF-FFFF59000000}" name="Connection179" type="4" refreshedVersion="8" saveData="1">
    <webPr xl2000="1" url="http://cotf.zapto.org/getcomps.php" htmlTables="1" htmlFormat="all"/>
  </connection>
  <connection id="91" xr16:uid="{00000000-0015-0000-FFFF-FFFF5A000000}" name="Connection18" type="4" refreshedVersion="8" saveData="1">
    <webPr xl2000="1" url="http://cotf.zapto.org/getcomps.php" htmlTables="1" htmlFormat="all"/>
  </connection>
  <connection id="92" xr16:uid="{00000000-0015-0000-FFFF-FFFF5B000000}" name="Connection180" type="4" refreshedVersion="8" saveData="1">
    <webPr xl2000="1" url="http://cotf.zapto.org/simpleLifter/integrate/saveload.php?s=excel&amp;q=lifters&amp;comp=AEJ&amp;pwd=abc" post="excel={&quot;0&quot;:{&quot;group&quot;:&quot;A&quot;,&quot;lot&quot;:4,&quot;name&quot;:&quot;Chris Ross&quot;,&quot;team&quot;:&quot;AAP&quot;,&quot;year&quot;:&quot;1990&quot;,&quot;division&quot;:&quot;M-CL-PL&quot;,&quot;bw&quot;:&quot;93&quot;,&quot;idx&quot;:&quot;0&quot;,&quot;sr&quot;:&quot;15&quot;,&quot;br&quot;:&quot;6/5&quot;,&quot;row&quot;:4,&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6,&quot;name&quot;:&quot;Alex Tomasko&quot;,&quot;team&quot;:&quot;AAP&quot;,&quot;year&quot;:&quot;1990&quot;,&quot;division&quot;:&quot;M-EQ-PL&quot;,&quot;bw&quot;:&quot;93&quot;,&quot;idx&quot;:&quot;1&quot;,&quot;sr&quot;:&quot;0&quot;,&quot;br&quot;:&quot;6/6&quot;,&quot;row&quot;:6,&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3,&quot;name&quot;:&quot;Manning Jeffrey&quot;,&quot;team&quot;:&quot;AAP&quot;,&quot;year&quot;:&quot;1990&quot;,&quot;division&quot;:&quot;M-CL-PL&quot;,&quot;bw&quot;:&quot;93&quot;,&quot;idx&quot;:&quot;2&quot;,&quot;sr&quot;:&quot;15&quot;,&quot;br&quot;:&quot;3/7&quot;,&quot;row&quot;:3,&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1,&quot;name&quot;:&quot;Renay Ferguson&quot;,&quot;team&quot;:&quot;AAP&quot;,&quot;year&quot;:&quot;1990&quot;,&quot;division&quot;:&quot;F-EQ-PL&quot;,&quot;bw&quot;:&quot;84&quot;,&quot;idx&quot;:&quot;3&quot;,&quot;sr&quot;:&quot;15&quot;,&quot;br&quot;:&quot;7/5&quot;,&quot;row&quot;:1,&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2,&quot;name&quot;:&quot;Shannon Delaney&quot;,&quot;team&quot;:&quot;AAP&quot;,&quot;year&quot;:&quot;1990&quot;,&quot;division&quot;:&quot;F-CL-PL&quot;,&quot;bw&quot;:&quot;84&quot;,&quot;idx&quot;:&quot;4&quot;,&quot;sr&quot;:&quot;15&quot;,&quot;br&quot;:&quot;4/6&quot;,&quot;row&quot;:2,&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8,&quot;name&quot;:&quot;Amir Fazeli&quot;,&quot;team&quot;:&quot;AAG&quot;,&quot;year&quot;:&quot;1990&quot;,&quot;division&quot;:&quot;M-CL-PL&quot;,&quot;bw&quot;:&quot;93&quot;,&quot;idx&quot;:&quot;5&quot;,&quot;sr&quot;:&quot;0&quot;,&quot;br&quot;:&quot;0&quot;,&quot;row&quot;:8,&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5,&quot;name&quot;:&quot;Michael Cornell&quot;,&quot;team&quot;:&quot;AAP&quot;,&quot;year&quot;:&quot;1990&quot;,&quot;division&quot;:&quot;M-CL-PL&quot;,&quot;bw&quot;:&quot;93&quot;,&quot;idx&quot;:&quot;6&quot;,&quot;sr&quot;:&quot;0&quot;,&quot;br&quot;:&quot;0&quot;,&quot;row&quot;:5,&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7,&quot;name&quot;:&quot;Evan McCloy&quot;,&quot;team&quot;:&quot;AAP&quot;,&quot;year&quot;:&quot;1990&quot;,&quot;division&quot;:&quot;M-EQ-PL&quot;,&quot;bw&quot;:&quot;93&quot;,&quot;idx&quot;:&quot;7&quot;,&quot;sr&quot;:&quot;15&quot;,&quot;br&quot;:&quot;5/5&quot;,&quot;row&quot;:7,&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93" xr16:uid="{00000000-0015-0000-FFFF-FFFF5C000000}" name="Connection181" type="4" refreshedVersion="8" saveData="1">
    <webPr xl2000="1" url="http://cotf.zapto.org/getcomps.php" htmlTables="1" htmlFormat="all"/>
  </connection>
  <connection id="94" xr16:uid="{00000000-0015-0000-FFFF-FFFF5D000000}" name="Connection182"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95" xr16:uid="{00000000-0015-0000-FFFF-FFFF5E000000}" name="Connection183" type="4" refreshedVersion="8" saveData="1">
    <webPr xl2000="1" url="http://cotf.zapto.org/getcomps.php" htmlTables="1" htmlFormat="all"/>
  </connection>
  <connection id="96" xr16:uid="{00000000-0015-0000-FFFF-FFFF5F000000}" name="Connection184"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97" xr16:uid="{00000000-0015-0000-FFFF-FFFF60000000}" name="Connection185" type="4" refreshedVersion="8" saveData="1">
    <webPr xl2000="1" url="http://cotf.zapto.org/getcomps.php" htmlTables="1" htmlFormat="all"/>
  </connection>
  <connection id="98" xr16:uid="{00000000-0015-0000-FFFF-FFFF61000000}" name="Connection186" type="4" refreshedVersion="8" saveData="1">
    <webPr xl2000="1" url="http://cotf.zapto.org/getcomps.php" htmlTables="1" htmlFormat="all"/>
  </connection>
  <connection id="99" xr16:uid="{00000000-0015-0000-FFFF-FFFF62000000}" name="Connection187"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0" xr16:uid="{00000000-0015-0000-FFFF-FFFF63000000}" name="Connection188" type="4" refreshedVersion="8" saveData="1">
    <webPr xl2000="1" url="http://cotf.zapto.org/getcomps.php" htmlTables="1" htmlFormat="all"/>
  </connection>
  <connection id="101" xr16:uid="{00000000-0015-0000-FFFF-FFFF64000000}" name="Connection189" type="4" refreshedVersion="8" saveData="1">
    <webPr xl2000="1" url="http://cotf.zapto.org/simpleLifter/integrate/saveload.php?s=excel&amp;q=lifters&amp;comp=AAD&amp;pwd=1234" post="excel={&quot;0&quot;:{&quot;group&quot;:&quot;A&quot;,&quot;lot&quot;:0,&quot;name&quot;:&quot;boris&quot;,&quot;team&quot;:&quot;AAP&quot;,&quot;year&quot;:&quot;1990&quot;,&quot;division&quot;:&quot;M-CL-PL&quot;,&quot;bw&quot;:&quot;93&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B&quot;,&quot;lot&quot;:0,&quot;name&quot;:&quot;steve&quot;,&quot;team&quot;:&quot;AAP&quot;,&quot;year&quot;:&quot;1990&quot;,&quot;division&quot;:&quot;M-EQ-PL&quot;,&quot;bw&quot;:&quot;93&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B&quot;,&quot;lot&quot;:0,&quot;name&quot;:&quot;poop&quot;,&quot;team&quot;:&quot;AAP&quot;,&quot;year&quot;:&quot;1990&quot;,&quot;division&quot;:&quot;M-CL-PL&quot;,&quot;bw&quot;:&quot;93&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A&quot;,&quot;lot&quot;:0,&quot;name&quot;:&quot;dumbcunt&quot;,&quot;team&quot;:&quot;AAP&quot;,&quot;year&quot;:&quot;1990&quot;,&quot;division&quot;:&quot;F-EQ-PL&quot;,&quot;bw&quot;:&quot;84&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A&quot;,&quot;lot&quot;:0,&quot;name&quot;:&quot;silly&quot;,&quot;team&quot;:&quot;AAP&quot;,&quot;year&quot;:&quot;1990&quot;,&quot;division&quot;:&quot;F-CL-PL&quot;,&quot;bw&quot;:&quot;84&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stupie&quot;,&quot;team&quot;:&quot;AAG&quot;,&quot;year&quot;:&quot;1990&quot;,&quot;division&quot;:&quot;M-CL-PL&quot;,&quot;bw&quot;:&quot;93&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matt&quot;,&quot;team&quot;:&quot;AAP&quot;,&quot;year&quot;:&quot;1990&quot;,&quot;division&quot;:&quot;M-CL-PL&quot;,&quot;bw&quot;:&quot;93&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brainface&quot;,&quot;team&quot;:&quot;AAP&quot;,&quot;year&quot;:&quot;1990&quot;,&quot;division&quot;:&quot;M-EQ-PL&quot;,&quot;bw&quot;:&quot;93&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2" xr16:uid="{00000000-0015-0000-FFFF-FFFF65000000}" name="Connection19" type="4" refreshedVersion="8" saveData="1">
    <webPr xl2000="1" url="http://cotf.zapto.org/getcomps.php" htmlTables="1" htmlFormat="all"/>
  </connection>
  <connection id="103" xr16:uid="{00000000-0015-0000-FFFF-FFFF66000000}" name="Connection190" type="4" refreshedVersion="8" saveData="1">
    <webPr xl2000="1" url="http://cotf.zapto.org/getcomps.php" htmlTables="1" htmlFormat="all"/>
  </connection>
  <connection id="104" xr16:uid="{00000000-0015-0000-FFFF-FFFF67000000}" name="Connection191" type="4" refreshedVersion="8" saveData="1">
    <webPr xl2000="1" url="http://cotf.zapto.org/simpleLifter/integrate/saveload.php?s=excel&amp;q=lifters&amp;comp=AAD&amp;pwd=1234" post="excel={&quot;0&quot;:{&quot;group&quot;:&quot;A&quot;,&quot;lot&quot;:0,&quot;name&quot;:&quot;allan&quot;,&quot;team&quot;:&quot;AAP&quot;,&quot;year&quot;:&quot;1990&quot;,&quot;division&quot;:&quot;m-CL-PL&quot;,&quot;bw&quot;:&quot;90&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A&quot;,&quot;lot&quot;:0,&quot;name&quot;:&quot;boris&quot;,&quot;team&quot;:&quot;AAP&quot;,&quot;year&quot;:&quot;1990&quot;,&quot;division&quot;:&quot;m-EQ-PL&quot;,&quot;bw&quot;:&quot;90&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A&quot;,&quot;lot&quot;:0,&quot;name&quot;:&quot;charlie&quot;,&quot;team&quot;:&quot;AAP&quot;,&quot;year&quot;:&quot;1990&quot;,&quot;division&quot;:&quot;f-CL-PL&quot;,&quot;bw&quot;:&quot;90&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B&quot;,&quot;lot&quot;:0,&quot;name&quot;:&quot;danielle&quot;,&quot;team&quot;:&quot;AAP&quot;,&quot;year&quot;:&quot;1990&quot;,&quot;division&quot;:&quot;f-EQ-PL&quot;,&quot;bw&quot;:&quot;90&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B&quot;,&quot;lot&quot;:0,&quot;name&quot;:&quot;erich&quot;,&quot;team&quot;:&quot;AAP&quot;,&quot;year&quot;:&quot;1990&quot;,&quot;division&quot;:&quot;m-CL-PL&quot;,&quot;bw&quot;:&quot;90&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freya&quot;,&quot;team&quot;:&quot;AAG&quot;,&quot;year&quot;:&quot;1990&quot;,&quot;division&quot;:&quot;f-CL-PL&quot;,&quot;bw&quot;:&quot;90&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grant&quot;,&quot;team&quot;:&quot;AAP&quot;,&quot;year&quot;:&quot;1990&quot;,&quot;division&quot;:&quot;m-CL-PL&quot;,&quot;bw&quot;:&quot;90&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heidi&quot;,&quot;team&quot;:&quot;AAP&quot;,&quot;year&quot;:&quot;1990&quot;,&quot;division&quot;:&quot;f-EQ-PL&quot;,&quot;bw&quot;:&quot;90&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5" xr16:uid="{00000000-0015-0000-FFFF-FFFF68000000}" name="Connection192" type="4" refreshedVersion="8" saveData="1">
    <webPr xl2000="1" url="http://cotf.zapto.org/getcomps.php" htmlTables="1" htmlFormat="all"/>
  </connection>
  <connection id="106" xr16:uid="{00000000-0015-0000-FFFF-FFFF69000000}" name="Connection193" type="4" refreshedVersion="8" saveData="1">
    <webPr xl2000="1" url="http://cotf.zapto.org/simpleLifter/integrate/saveload.php?s=excel&amp;q=lifters&amp;comp=AAD&amp;pwd=1234" post="excel={&quot;0&quot;:{&quot;group&quot;:&quot;A&quot;,&quot;lot&quot;:0,&quot;name&quot;:&quot;allan&quot;,&quot;team&quot;:&quot;AAP&quot;,&quot;year&quot;:&quot;1990&quot;,&quot;division&quot;:&quot;X-CL-PL&quot;,&quot;bw&quot;:&quot;90&quot;,&quot;idx&quot;:&quot;0&quot;,&quot;sr&quot;:&quot;15&quot;,&quot;br&quot;:&quot;6/5&quot;,&quot;row&quot;:0,&quot;sq&quot;:{&quot;a1&quot;:200,&quot;a2&quot;:&quot;&quot;,&quot;a3&quot;:&quot;&quot;,&quot;s1&quot;:0,&quot;s2&quot;:0,&quot;s3&quot;:0},&quot;bp&quot;:{&quot;a1&quot;:200,&quot;a2&quot;:&quot;&quot;,&quot;a3&quot;:&quot;&quot;,&quot;s1&quot;:0,&quot;s2&quot;:0,&quot;s3&quot;:0},&quot;dl&quot;:{&quot;a1&quot;:150,&quot;a2&quot;:&quot;&quot;,&quot;a3&quot;:&quot;&quot;,&quot;s1&quot;:0,&quot;s2&quot;:0,&quot;s3&quot;:0},&quot;sortOrder&quot;:0,&quot;act&quot;:{}},&quot;1&quot;:{&quot;group&quot;:&quot;A&quot;,&quot;lot&quot;:0,&quot;name&quot;:&quot;boris&quot;,&quot;team&quot;:&quot;AAP&quot;,&quot;year&quot;:&quot;1990&quot;,&quot;division&quot;:&quot;m-EQ-PL&quot;,&quot;bw&quot;:&quot;90&quot;,&quot;idx&quot;:&quot;1&quot;,&quot;sr&quot;:&quot;0&quot;,&quot;br&quot;:&quot;6/6&quot;,&quot;row&quot;:0,&quot;sq&quot;:{&quot;a1&quot;:200,&quot;a2&quot;:&quot;&quot;,&quot;a3&quot;:&quot;&quot;,&quot;s1&quot;:0,&quot;s2&quot;:0,&quot;s3&quot;:0},&quot;bp&quot;:{&quot;a1&quot;:100,&quot;a2&quot;:&quot;&quot;,&quot;a3&quot;:&quot;&quot;,&quot;s1&quot;:0,&quot;s2&quot;:0,&quot;s3&quot;:0},&quot;dl&quot;:{&quot;a1&quot;:177.5,&quot;a2&quot;:&quot;&quot;,&quot;a3&quot;:&quot;&quot;,&quot;s1&quot;:0,&quot;s2&quot;:0,&quot;s3&quot;:0},&quot;sortOrder&quot;:0,&quot;act&quot;:{}},&quot;2&quot;:{&quot;group&quot;:&quot;A&quot;,&quot;lot&quot;:0,&quot;name&quot;:&quot;charlie&quot;,&quot;team&quot;:&quot;AAP&quot;,&quot;year&quot;:&quot;1990&quot;,&quot;division&quot;:&quot;f-CL-PL&quot;,&quot;bw&quot;:&quot;90&quot;,&quot;idx&quot;:&quot;2&quot;,&quot;sr&quot;:&quot;15&quot;,&quot;br&quot;:&quot;3/7&quot;,&quot;row&quot;:0,&quot;sq&quot;:{&quot;a1&quot;:100,&quot;a2&quot;:&quot;&quot;,&quot;a3&quot;:&quot;&quot;,&quot;s1&quot;:0,&quot;s2&quot;:0,&quot;s3&quot;:0},&quot;bp&quot;:{&quot;a1&quot;:60,&quot;a2&quot;:&quot;&quot;,&quot;a3&quot;:&quot;&quot;,&quot;s1&quot;:0,&quot;s2&quot;:0,&quot;s3&quot;:0},&quot;dl&quot;:{&quot;a1&quot;:170,&quot;a2&quot;:&quot;&quot;,&quot;a3&quot;:&quot;&quot;,&quot;s1&quot;:0,&quot;s2&quot;:0,&quot;s3&quot;:0},&quot;sortOrder&quot;:0,&quot;act&quot;:{}},&quot;3&quot;:{&quot;group&quot;:&quot;B&quot;,&quot;lot&quot;:0,&quot;name&quot;:&quot;danielle&quot;,&quot;team&quot;:&quot;AAP&quot;,&quot;year&quot;:&quot;1990&quot;,&quot;division&quot;:&quot;f-EQ-PL&quot;,&quot;bw&quot;:&quot;90&quot;,&quot;idx&quot;:&quot;3&quot;,&quot;sr&quot;:&quot;15&quot;,&quot;br&quot;:&quot;7/5&quot;,&quot;row&quot;:0,&quot;sq&quot;:{&quot;a1&quot;:150,&quot;a2&quot;:&quot;&quot;,&quot;a3&quot;:&quot;&quot;,&quot;s1&quot;:0,&quot;s2&quot;:0,&quot;s3&quot;:0},&quot;bp&quot;:{&quot;a1&quot;:85,&quot;a2&quot;:&quot;&quot;,&quot;a3&quot;:&quot;&quot;,&quot;s1&quot;:0,&quot;s2&quot;:0,&quot;s3&quot;:0},&quot;dl&quot;:{&quot;a1&quot;:175,&quot;a2&quot;:&quot;&quot;,&quot;a3&quot;:&quot;&quot;,&quot;s1&quot;:0,&quot;s2&quot;:0,&quot;s3&quot;:0},&quot;sortOrder&quot;:0,&quot;act&quot;:{}},&quot;4&quot;:{&quot;group&quot;:&quot;B&quot;,&quot;lot&quot;:0,&quot;name&quot;:&quot;erich&quot;,&quot;team&quot;:&quot;AAP&quot;,&quot;year&quot;:&quot;1990&quot;,&quot;division&quot;:&quot;m-CL-PL&quot;,&quot;bw&quot;:&quot;90&quot;,&quot;idx&quot;:&quot;4&quot;,&quot;sr&quot;:&quot;15&quot;,&quot;br&quot;:&quot;4/6&quot;,&quot;row&quot;:0,&quot;sq&quot;:{&quot;a1&quot;:200,&quot;a2&quot;:&quot;&quot;,&quot;a3&quot;:&quot;&quot;,&quot;s1&quot;:0,&quot;s2&quot;:0,&quot;s3&quot;:0},&quot;bp&quot;:{&quot;a1&quot;:72.5,&quot;a2&quot;:&quot;&quot;,&quot;a3&quot;:&quot;&quot;,&quot;s1&quot;:0,&quot;s2&quot;:0,&quot;s3&quot;:0},&quot;dl&quot;:{&quot;a1&quot;:190,&quot;a2&quot;:&quot;&quot;,&quot;a3&quot;:&quot;&quot;,&quot;s1&quot;:0,&quot;s2&quot;:0,&quot;s3&quot;:0},&quot;sortOrder&quot;:0,&quot;act&quot;:{}},&quot;5&quot;:{&quot;group&quot;:&quot;B&quot;,&quot;lot&quot;:0,&quot;name&quot;:&quot;freya&quot;,&quot;team&quot;:&quot;AAG&quot;,&quot;year&quot;:&quot;1990&quot;,&quot;division&quot;:&quot;f-CL-PL&quot;,&quot;bw&quot;:&quot;90&quot;,&quot;idx&quot;:&quot;5&quot;,&quot;sr&quot;:&quot;0&quot;,&quot;br&quot;:&quot;0&quot;,&quot;row&quot;:0,&quot;sq&quot;:{&quot;a1&quot;:200,&quot;a2&quot;:&quot;&quot;,&quot;a3&quot;:&quot;&quot;,&quot;s1&quot;:0,&quot;s2&quot;:0,&quot;s3&quot;:0},&quot;bp&quot;:{&quot;a1&quot;:150,&quot;a2&quot;:&quot;&quot;,&quot;a3&quot;:&quot;&quot;,&quot;s1&quot;:0,&quot;s2&quot;:0,&quot;s3&quot;:0},&quot;dl&quot;:{&quot;a1&quot;:312.5,&quot;a2&quot;:&quot;&quot;,&quot;a3&quot;:&quot;&quot;,&quot;s1&quot;:0,&quot;s2&quot;:0,&quot;s3&quot;:0},&quot;sortOrder&quot;:0,&quot;act&quot;:{}},&quot;6&quot;:{&quot;group&quot;:&quot;B&quot;,&quot;lot&quot;:0,&quot;name&quot;:&quot;grant&quot;,&quot;team&quot;:&quot;AAP&quot;,&quot;year&quot;:&quot;1990&quot;,&quot;division&quot;:&quot;m-CL-PL&quot;,&quot;bw&quot;:&quot;90&quot;,&quot;idx&quot;:&quot;6&quot;,&quot;sr&quot;:&quot;0&quot;,&quot;br&quot;:&quot;0&quot;,&quot;row&quot;:0,&quot;sq&quot;:{&quot;a1&quot;:200,&quot;a2&quot;:&quot;&quot;,&quot;a3&quot;:&quot;&quot;,&quot;s1&quot;:0,&quot;s2&quot;:0,&quot;s3&quot;:0},&quot;bp&quot;:{&quot;a1&quot;:175,&quot;a2&quot;:&quot;&quot;,&quot;a3&quot;:&quot;&quot;,&quot;s1&quot;:0,&quot;s2&quot;:0,&quot;s3&quot;:0},&quot;dl&quot;:{&quot;a1&quot;:270,&quot;a2&quot;:&quot;&quot;,&quot;a3&quot;:&quot;&quot;,&quot;s1&quot;:0,&quot;s2&quot;:0,&quot;s3&quot;:0},&quot;sortOrder&quot;:0,&quot;act&quot;:{}},&quot;7&quot;:{&quot;group&quot;:&quot;A&quot;,&quot;lot&quot;:0,&quot;name&quot;:&quot;heidi&quot;,&quot;team&quot;:&quot;AAP&quot;,&quot;year&quot;:&quot;1990&quot;,&quot;division&quot;:&quot;f-EQ-PL&quot;,&quot;bw&quot;:&quot;90&quot;,&quot;idx&quot;:&quot;7&quot;,&quot;sr&quot;:&quot;15&quot;,&quot;br&quot;:&quot;5/5&quot;,&quot;row&quot;:0,&quot;sq&quot;:{&quot;a1&quot;:300,&quot;a2&quot;:&quot;&quot;,&quot;a3&quot;:&quot;&quot;,&quot;s1&quot;:0,&quot;s2&quot;:0,&quot;s3&quot;:0},&quot;bp&quot;:{&quot;a1&quot;:300,&quot;a2&quot;:&quot;&quot;,&quot;a3&quot;:&quot;&quot;,&quot;s1&quot;:0,&quot;s2&quot;:0,&quot;s3&quot;:0},&quot;dl&quot;:{&quot;a1&quot;:300,&quot;a2&quot;:&quot;&quot;,&quot;a3&quot;:&quot;&quot;,&quot;s1&quot;:0,&quot;s2&quot;:0,&quot;s3&quot;:0},&quot;sortOrder&quot;:0,&quot;act&quot;:{}}}" htmlTables="1" htmlFormat="all"/>
  </connection>
  <connection id="107" xr16:uid="{00000000-0015-0000-FFFF-FFFF6A000000}" name="Connection194" type="4" refreshedVersion="8" saveData="1">
    <webPr xl2000="1" url="http://cotf.zapto.org/simpleLifter/integrate/saveload.php?s=excel&amp;q=lifters&amp;comp=AFF&amp;pwd=x" post="excel={&quot;0&quot;:{&quot;group&quot;:&quot;A&quot;,&quot;lot&quot;:14,&quot;name&quot;:&quot;Imogen Abbott&quot;,&quot;team&quot;:&quot;0&quot;,&quot;year&quot;:&quot;2010&quot;,&quot;division&quot;:&quot;F-CL-PL&quot;,&quot;bw&quot;:&quot;84&quot;,&quot;idx&quot;:&quot;0&quot;,&quot;sr&quot;:&quot;0&quot;,&quot;br&quot;:&quot;0&quot;,&quot;row&quot;:1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quot;:{&quot;group&quot;:&quot;A&quot;,&quot;lot&quot;:10,&quot;name&quot;:&quot;Maybelle Thieu&quot;,&quot;team&quot;:&quot;0&quot;,&quot;year&quot;:&quot;2010&quot;,&quot;division&quot;:&quot;F-CL-PL&quot;,&quot;bw&quot;:&quot;69&quot;,&quot;idx&quot;:&quot;1&quot;,&quot;sr&quot;:&quot;0&quot;,&quot;br&quot;:&quot;0&quot;,&quot;row&quot;:10,&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A&quot;,&quot;lot&quot;:11,&quot;name&quot;:&quot;Maria Houseas&quot;,&quot;team&quot;:&quot;0&quot;,&quot;year&quot;:&quot;2000&quot;,&quot;division&quot;:&quot;F-CL-PL&quot;,&quot;bw&quot;:&quot;69&quot;,&quot;idx&quot;:&quot;2&quot;,&quot;sr&quot;:&quot;0&quot;,&quot;br&quot;:&quot;0&quot;,&quot;row&quot;:1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A&quot;,&quot;lot&quot;:6,&quot;name&quot;:&quot;Yoong Ling Kilgannon&quot;,&quot;team&quot;:&quot;0&quot;,&quot;year&quot;:&quot;2000&quot;,&quot;division&quot;:&quot;F-CL-PL&quot;,&quot;bw&quot;:&quot;84&quot;,&quot;idx&quot;:&quot;3&quot;,&quot;sr&quot;:&quot;0&quot;,&quot;br&quot;:&quot;0&quot;,&quot;row&quot;: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4&quot;:{&quot;group&quot;:&quot;A&quot;,&quot;lot&quot;:17,&quot;name&quot;:&quot;Zahra Mushref&quot;,&quot;team&quot;:&quot;0&quot;,&quot;year&quot;:&quot;2000&quot;,&quot;division&quot;:&quot;F-CL-PL&quot;,&quot;bw&quot;:&quot;84&quot;,&quot;idx&quot;:&quot;4&quot;,&quot;sr&quot;:&quot;0&quot;,&quot;br&quot;:&quot;0&quot;,&quot;row&quot;:1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5&quot;:{&quot;group&quot;:&quot;A&quot;,&quot;lot&quot;:16,&quot;name&quot;:&quot;Teresa MacGinley&quot;,&quot;team&quot;:&quot;0&quot;,&quot;year&quot;:&quot;1980&quot;,&quot;division&quot;:&quot;F-CL-PL&quot;,&quot;bw&quot;:&quot;84&quot;,&quot;idx&quot;:&quot;5&quot;,&quot;sr&quot;:&quot;0&quot;,&quot;br&quot;:&quot;0&quot;,&quot;row&quot;:1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6&quot;:{&quot;group&quot;:&quot;A&quot;,&quot;lot&quot;:21,&quot;name&quot;:&quot;Sarah Trifogli&quot;,&quot;team&quot;:&quot;0&quot;,&quot;year&quot;:&quot;1990&quot;,&quot;division&quot;:&quot;F-CL-PL&quot;,&quot;bw&quot;:&quot;63&quot;,&quot;idx&quot;:&quot;6&quot;,&quot;sr&quot;:&quot;0&quot;,&quot;br&quot;:&quot;0&quot;,&quot;row&quot;:2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7&quot;:{&quot;group&quot;:&quot;A&quot;,&quot;lot&quot;:19,&quot;name&quot;:&quot;Kat Chen&quot;,&quot;team&quot;:&quot;0&quot;,&quot;year&quot;:&quot;1990&quot;,&quot;division&quot;:&quot;F-CL-PL&quot;,&quot;bw&quot;:&quot;52&quot;,&quot;idx&quot;:&quot;7&quot;,&quot;sr&quot;:&quot;0&quot;,&quot;br&quot;:&quot;0&quot;,&quot;row&quot;:1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8&quot;:{&quot;group&quot;:&quot;A&quot;,&quot;lot&quot;:15,&quot;name&quot;:&quot;Kirsty Lei&quot;,&quot;team&quot;:&quot;0&quot;,&quot;year&quot;:&quot;1990&quot;,&quot;division&quot;:&quot;F-CL-PL&quot;,&quot;bw&quot;:&quot;57&quot;,&quot;idx&quot;:&quot;8&quot;,&quot;sr&quot;:&quot;0&quot;,&quot;br&quot;:&quot;0&quot;,&quot;row&quot;:1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9&quot;:{&quot;group&quot;:&quot;A&quot;,&quot;lot&quot;:9,&quot;name&quot;:&quot;*Kimberly Duque&quot;,&quot;team&quot;:&quot;0&quot;,&quot;year&quot;:&quot;1990&quot;,&quot;division&quot;:&quot;F-CL-PL&quot;,&quot;bw&quot;:&quot;69&quot;,&quot;idx&quot;:&quot;9&quot;,&quot;sr&quot;:&quot;0&quot;,&quot;br&quot;:&quot;0&quot;,&quot;row&quot;: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0&quot;:{&quot;group&quot;:&quot;A&quot;,&quot;lot&quot;:4,&quot;name&quot;:&quot;Aeva Petranovic&quot;,&quot;team&quot;:&quot;0&quot;,&quot;year&quot;:&quot;1990&quot;,&quot;division&quot;:&quot;F-CL-PL&quot;,&quot;bw&quot;:&quot;76&quot;,&quot;idx&quot;:&quot;10&quot;,&quot;sr&quot;:&quot;0&quot;,&quot;br&quot;:&quot;0&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1&quot;:{&quot;group&quot;:&quot;B&quot;,&quot;lot&quot;:25,&quot;name&quot;:&quot;Tahira Ramadan&quot;,&quot;team&quot;:&quot;0&quot;,&quot;year&quot;:&quot;1990&quot;,&quot;division&quot;:&quot;F-CL-PL&quot;,&quot;bw&quot;:&quot;63&quot;,&quot;idx&quot;:&quot;11&quot;,&quot;sr&quot;:&quot;0&quot;,&quot;br&quot;:&quot;0&quot;,&quot;row&quot;:2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2&quot;:{&quot;group&quot;:&quot;B&quot;,&quot;lot&quot;:24,&quot;name&quot;:&quot;Hao Do&quot;,&quot;team&quot;:&quot;0&quot;,&quot;year&quot;:&quot;1990&quot;,&quot;division&quot;:&quot;F-CL-PL&quot;,&quot;bw&quot;:&quot;63&quot;,&quot;idx&quot;:&quot;12&quot;,&quot;sr&quot;:&quot;0&quot;,&quot;br&quot;:&quot;0&quot;,&quot;row&quot;:2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3&quot;:{&quot;group&quot;:&quot;B&quot;,&quot;lot&quot;:18,&quot;name&quot;:&quot;Vavani Sionillo&quot;,&quot;team&quot;:&quot;0&quot;,&quot;year&quot;:&quot;1990&quot;,&quot;division&quot;:&quot;F-CL-PL&quot;,&quot;bw&quot;:&quot;63&quot;,&quot;idx&quot;:&quot;13&quot;,&quot;sr&quot;:&quot;0&quot;,&quot;br&quot;:&quot;0&quot;,&quot;row&quot;:1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4&quot;:{&quot;group&quot;:&quot;B&quot;,&quot;lot&quot;:23,&quot;name&quot;:&quot;Schae Zarew&quot;,&quot;team&quot;:&quot;0&quot;,&quot;year&quot;:&quot;1990&quot;,&quot;division&quot;:&quot;F-CL-PL&quot;,&quot;bw&quot;:&quot;63&quot;,&quot;idx&quot;:&quot;14&quot;,&quot;sr&quot;:&quot;0&quot;,&quot;br&quot;:&quot;0&quot;,&quot;row&quot;:2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5&quot;:{&quot;group&quot;:&quot;B&quot;,&quot;lot&quot;:7,&quot;name&quot;:&quot;Elaine Zhang&quot;,&quot;team&quot;:&quot;0&quot;,&quot;year&quot;:&quot;1990&quot;,&quot;division&quot;:&quot;F-CL-PL&quot;,&quot;bw&quot;:&quot;69&quot;,&quot;idx&quot;:&quot;15&quot;,&quot;sr&quot;:&quot;0&quot;,&quot;br&quot;:&quot;0&quot;,&quot;row&quot;: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6&quot;:{&quot;group&quot;:&quot;B&quot;,&quot;lot&quot;:8,&quot;name&quot;:&quot;*Caitlyn Baljak&quot;,&quot;team&quot;:&quot;0&quot;,&quot;year&quot;:&quot;1990&quot;,&quot;division&quot;:&quot;F-CL-PL&quot;,&quot;bw&quot;:&quot;69&quot;,&quot;idx&quot;:&quot;16&quot;,&quot;sr&quot;:&quot;0&quot;,&quot;br&quot;:&quot;0&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7&quot;:{&quot;group&quot;:&quot;B&quot;,&quot;lot&quot;:13,&quot;name&quot;:&quot;Jared Quinto&quot;,&quot;team&quot;:&quot;0&quot;,&quot;year&quot;:&quot;1990&quot;,&quot;division&quot;:&quot;M-CL-PL&quot;,&quot;bw&quot;:&quot;74&quot;,&quot;idx&quot;:&quot;17&quot;,&quot;sr&quot;:&quot;0&quot;,&quot;br&quot;:&quot;0&quot;,&quot;row&quot;:1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8&quot;:{&quot;group&quot;:&quot;B&quot;,&quot;lot&quot;:2,&quot;name&quot;:&quot;Thomas Del Rosario&quot;,&quot;team&quot;:&quot;0&quot;,&quot;year&quot;:&quot;1990&quot;,&quot;division&quot;:&quot;M-CL-PL&quot;,&quot;bw&quot;:&quot;74&quot;,&quot;idx&quot;:&quot;18&quot;,&quot;sr&quot;:&quot;0&quot;,&quot;br&quot;:&quot;0&quot;,&quot;row&quot;: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9&quot;:{&quot;group&quot;:&quot;B&quot;,&quot;lot&quot;:5,&quot;name&quot;:&quot;Aden Fardell&quot;,&quot;team&quot;:&quot;0&quot;,&quot;year&quot;:&quot;1990&quot;,&quot;division&quot;:&quot;M-CL-PL&quot;,&quot;bw&quot;:&quot;74&quot;,&quot;idx&quot;:&quot;19&quot;,&quot;sr&quot;:&quot;0&quot;,&quot;br&quot;:&quot;0&quot;,&quot;row&quot;: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0&quot;:{&quot;group&quot;:&quot;B&quot;,&quot;lot&quot;:12,&quot;name&quot;:&quot;Nathan Merlino&quot;,&quot;team&quot;:&quot;0&quot;,&quot;year&quot;:&quot;1990&quot;,&quot;division&quot;:&quot;M-CL-PL&quot;,&quot;bw&quot;:&quot;74&quot;,&quot;idx&quot;:&quot;20&quot;,&quot;sr&quot;:&quot;0&quot;,&quot;br&quot;:&quot;0&quot;,&quot;row&quot;:1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1&quot;:{&quot;group&quot;:&quot;B&quot;,&quot;lot&quot;:1,&quot;name&quot;:&quot;Kris Zarate&quot;,&quot;team&quot;:&quot;0&quot;,&quot;year&quot;:&quot;1990&quot;,&quot;division&quot;:&quot;M-CL-PL&quot;,&quot;bw&quot;:&quot;74&quot;,&quot;idx&quot;:&quot;21&quot;,&quot;sr&quot;:&quot;0&quot;,&quot;br&quot;:&quot;0&quot;,&quot;row&quot;: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2&quot;:{&quot;group&quot;:&quot;B&quot;,&quot;lot&quot;:22,&quot;name&quot;:&quot;Nealan Vettivelu&quot;,&quot;team&quot;:&quot;0&quot;,&quot;year&quot;:&quot;1990&quot;,&quot;division&quot;:&quot;M-CL-PL&quot;,&quot;bw&quot;:&quot;74&quot;,&quot;idx&quot;:&quot;22&quot;,&quot;sr&quot;:&quot;0&quot;,&quot;br&quot;:&quot;0&quot;,&quot;row&quot;:2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3&quot;:{&quot;group&quot;:&quot;B&quot;,&quot;lot&quot;:20,&quot;name&quot;:&quot;Raymond Prasetya&quot;,&quot;team&quot;:&quot;0&quot;,&quot;year&quot;:&quot;1990&quot;,&quot;division&quot;:&quot;M-CL-PL&quot;,&quot;bw&quot;:&quot;74&quot;,&quot;idx&quot;:&quot;23&quot;,&quot;sr&quot;:&quot;0&quot;,&quot;br&quot;:&quot;0&quot;,&quot;row&quot;:20,&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4&quot;:{&quot;group&quot;:&quot;B&quot;,&quot;lot&quot;:3,&quot;name&quot;:&quot;Errol Manlutac&quot;,&quot;team&quot;:&quot;0&quot;,&quot;year&quot;:&quot;1990&quot;,&quot;division&quot;:&quot;M-CL-PL&quot;,&quot;bw&quot;:&quot;74&quot;,&quot;idx&quot;:&quot;24&quot;,&quot;sr&quot;:&quot;0&quot;,&quot;br&quot;:&quot;0&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108" xr16:uid="{00000000-0015-0000-FFFF-FFFF6B000000}" name="Connection195" type="4" refreshedVersion="8" saveData="1">
    <webPr xl2000="1" url="http://cotf.zapto.org/getcomps.php" htmlTables="1" htmlFormat="all"/>
  </connection>
  <connection id="109" xr16:uid="{00000000-0015-0000-FFFF-FFFF6C000000}" name="Connection196" type="4" refreshedVersion="8" saveData="1">
    <webPr xl2000="1" url="http://cotf.zapto.org/simpleLifter/integrate/saveload.php?s=excel&amp;q=lifters&amp;comp=AFG&amp;pwd=x" post="excel={&quot;0&quot;:{&quot;group&quot;:&quot;A&quot;,&quot;lot&quot;:23,&quot;name&quot;:&quot;Johnson Tang&quot;,&quot;team&quot;:&quot;0&quot;,&quot;year&quot;:&quot;2010&quot;,&quot;division&quot;:&quot;M-CL-PL&quot;,&quot;bw&quot;:&quot;66&quot;,&quot;idx&quot;:&quot;0&quot;,&quot;sr&quot;:&quot;0&quot;,&quot;br&quot;:&quot;0&quot;,&quot;row&quot;:2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quot;:{&quot;group&quot;:&quot;A&quot;,&quot;lot&quot;:21,&quot;name&quot;:&quot;Nicholas Burke-Moore&quot;,&quot;team&quot;:&quot;0&quot;,&quot;year&quot;:&quot;2010&quot;,&quot;division&quot;:&quot;M-CL-PL&quot;,&quot;bw&quot;:&quot;93&quot;,&quot;idx&quot;:&quot;1&quot;,&quot;sr&quot;:&quot;0&quot;,&quot;br&quot;:&quot;0&quot;,&quot;row&quot;:2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quot;:{&quot;group&quot;:&quot;A&quot;,&quot;lot&quot;:3,&quot;name&quot;:&quot;Luke Lindhardt&quot;,&quot;team&quot;:&quot;0&quot;,&quot;year&quot;:&quot;2010&quot;,&quot;division&quot;:&quot;M-CL-PL&quot;,&quot;bw&quot;:&quot;93&quot;,&quot;idx&quot;:&quot;2&quot;,&quot;sr&quot;:&quot;0&quot;,&quot;br&quot;:&quot;0&quot;,&quot;row&quot;: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3&quot;:{&quot;group&quot;:&quot;A&quot;,&quot;lot&quot;:7,&quot;name&quot;:&quot;Francis Asare&quot;,&quot;team&quot;:&quot;0&quot;,&quot;year&quot;:&quot;2000&quot;,&quot;division&quot;:&quot;M-CL-PL&quot;,&quot;bw&quot;:&quot;74&quot;,&quot;idx&quot;:&quot;3&quot;,&quot;sr&quot;:&quot;0&quot;,&quot;br&quot;:&quot;0&quot;,&quot;row&quot;: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4&quot;:{&quot;group&quot;:&quot;A&quot;,&quot;lot&quot;:10,&quot;name&quot;:&quot;Winston Liang&quot;,&quot;team&quot;:&quot;0&quot;,&quot;year&quot;:&quot;2000&quot;,&quot;division&quot;:&quot;M-CL-PL&quot;,&quot;bw&quot;:&quot;83&quot;,&quot;idx&quot;:&quot;4&quot;,&quot;sr&quot;:&quot;0&quot;,&quot;br&quot;:&quot;0&quot;,&quot;row&quot;:10,&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5&quot;:{&quot;group&quot;:&quot;A&quot;,&quot;lot&quot;:18,&quot;name&quot;:&quot;Alex Perez&quot;,&quot;team&quot;:&quot;0&quot;,&quot;year&quot;:&quot;2000&quot;,&quot;division&quot;:&quot;M-CL-PL&quot;,&quot;bw&quot;:&quot;83&quot;,&quot;idx&quot;:&quot;5&quot;,&quot;sr&quot;:&quot;0&quot;,&quot;br&quot;:&quot;0&quot;,&quot;row&quot;:1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6&quot;:{&quot;group&quot;:&quot;A&quot;,&quot;lot&quot;:20,&quot;name&quot;:&quot;Maxim Laurie&quot;,&quot;team&quot;:&quot;0&quot;,&quot;year&quot;:&quot;2000&quot;,&quot;division&quot;:&quot;M-CL-PL&quot;,&quot;bw&quot;:&quot;83&quot;,&quot;idx&quot;:&quot;6&quot;,&quot;sr&quot;:&quot;0&quot;,&quot;br&quot;:&quot;0&quot;,&quot;row&quot;:20,&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7&quot;:{&quot;group&quot;:&quot;A&quot;,&quot;lot&quot;:2,&quot;name&quot;:&quot;Jarrod Leonard&quot;,&quot;team&quot;:&quot;0&quot;,&quot;year&quot;:&quot;2000&quot;,&quot;division&quot;:&quot;M-CL-PL&quot;,&quot;bw&quot;:&quot;83&quot;,&quot;idx&quot;:&quot;7&quot;,&quot;sr&quot;:&quot;0&quot;,&quot;br&quot;:&quot;0&quot;,&quot;row&quot;: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8&quot;:{&quot;group&quot;:&quot;A&quot;,&quot;lot&quot;:22,&quot;name&quot;:&quot;Simon Chehade&quot;,&quot;team&quot;:&quot;0&quot;,&quot;year&quot;:&quot;2000&quot;,&quot;division&quot;:&quot;M-CL-PL&quot;,&quot;bw&quot;:&quot;93&quot;,&quot;idx&quot;:&quot;8&quot;,&quot;sr&quot;:&quot;0&quot;,&quot;br&quot;:&quot;0&quot;,&quot;row&quot;:2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9&quot;:{&quot;group&quot;:&quot;A&quot;,&quot;lot&quot;:8,&quot;name&quot;:&quot;Matthew Yang&quot;,&quot;team&quot;:&quot;0&quot;,&quot;year&quot;:&quot;2000&quot;,&quot;division&quot;:&quot;M-CL-PL&quot;,&quot;bw&quot;:&quot;93&quot;,&quot;idx&quot;:&quot;9&quot;,&quot;sr&quot;:&quot;0&quot;,&quot;br&quot;:&quot;0&quot;,&quot;row&quot;:8,&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0&quot;:{&quot;group&quot;:&quot;A&quot;,&quot;lot&quot;:11,&quot;name&quot;:&quot;Francis Galang&quot;,&quot;team&quot;:&quot;0&quot;,&quot;year&quot;:&quot;2000&quot;,&quot;division&quot;:&quot;M-CL-PL&quot;,&quot;bw&quot;:&quot;105&quot;,&quot;idx&quot;:&quot;10&quot;,&quot;sr&quot;:&quot;0&quot;,&quot;br&quot;:&quot;0&quot;,&quot;row&quot;:1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1&quot;:{&quot;group&quot;:&quot;A&quot;,&quot;lot&quot;:9,&quot;name&quot;:&quot;Lachlan Allen&quot;,&quot;team&quot;:&quot;0&quot;,&quot;year&quot;:&quot;2000&quot;,&quot;division&quot;:&quot;M-CL-PL&quot;,&quot;bw&quot;:&quot;105&quot;,&quot;idx&quot;:&quot;11&quot;,&quot;sr&quot;:&quot;0&quot;,&quot;br&quot;:&quot;0&quot;,&quot;row&quot;: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2&quot;:{&quot;group&quot;:&quot;B&quot;,&quot;lot&quot;:1,&quot;name&quot;:&quot;Brendon Miszka&quot;,&quot;team&quot;:&quot;0&quot;,&quot;year&quot;:&quot;1980&quot;,&quot;division&quot;:&quot;M-CL-PL&quot;,&quot;bw&quot;:&quot;105&quot;,&quot;idx&quot;:&quot;12&quot;,&quot;sr&quot;:&quot;0&quot;,&quot;br&quot;:&quot;0&quot;,&quot;row&quot;:1,&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3&quot;:{&quot;group&quot;:&quot;B&quot;,&quot;lot&quot;:15,&quot;name&quot;:&quot;John Wilde&quot;,&quot;team&quot;:&quot;0&quot;,&quot;year&quot;:&quot;1990&quot;,&quot;division&quot;:&quot;M-CL-PL&quot;,&quot;bw&quot;:&quot;83&quot;,&quot;idx&quot;:&quot;13&quot;,&quot;sr&quot;:&quot;0&quot;,&quot;br&quot;:&quot;0&quot;,&quot;row&quot;:1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4&quot;:{&quot;group&quot;:&quot;B&quot;,&quot;lot&quot;:12,&quot;name&quot;:&quot;Dararyth Chum&quot;,&quot;team&quot;:&quot;0&quot;,&quot;year&quot;:&quot;1990&quot;,&quot;division&quot;:&quot;M-CL-PL&quot;,&quot;bw&quot;:&quot;93&quot;,&quot;idx&quot;:&quot;14&quot;,&quot;sr&quot;:&quot;0&quot;,&quot;br&quot;:&quot;0&quot;,&quot;row&quot;:12,&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5&quot;:{&quot;group&quot;:&quot;B&quot;,&quot;lot&quot;:16,&quot;name&quot;:&quot;David Shi&quot;,&quot;team&quot;:&quot;0&quot;,&quot;year&quot;:&quot;1990&quot;,&quot;division&quot;:&quot;M-CL-PL&quot;,&quot;bw&quot;:&quot;93&quot;,&quot;idx&quot;:&quot;15&quot;,&quot;sr&quot;:&quot;0&quot;,&quot;br&quot;:&quot;0&quot;,&quot;row&quot;:1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6&quot;:{&quot;group&quot;:&quot;B&quot;,&quot;lot&quot;:19,&quot;name&quot;:&quot;Terry Kim&quot;,&quot;team&quot;:&quot;0&quot;,&quot;year&quot;:&quot;1990&quot;,&quot;division&quot;:&quot;M-CL-PL&quot;,&quot;bw&quot;:&quot;93&quot;,&quot;idx&quot;:&quot;16&quot;,&quot;sr&quot;:&quot;0&quot;,&quot;br&quot;:&quot;0&quot;,&quot;row&quot;:19,&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7&quot;:{&quot;group&quot;:&quot;B&quot;,&quot;lot&quot;:13,&quot;name&quot;:&quot;Jasper Kumar&quot;,&quot;team&quot;:&quot;0&quot;,&quot;year&quot;:&quot;1990&quot;,&quot;division&quot;:&quot;M-CL-PL&quot;,&quot;bw&quot;:&quot;93&quot;,&quot;idx&quot;:&quot;17&quot;,&quot;sr&quot;:&quot;0&quot;,&quot;br&quot;:&quot;0&quot;,&quot;row&quot;:13,&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8&quot;:{&quot;group&quot;:&quot;B&quot;,&quot;lot&quot;:6,&quot;name&quot;:&quot;Michael Wu&quot;,&quot;team&quot;:&quot;0&quot;,&quot;year&quot;:&quot;1990&quot;,&quot;division&quot;:&quot;M-CL-PL&quot;,&quot;bw&quot;:&quot;93&quot;,&quot;idx&quot;:&quot;18&quot;,&quot;sr&quot;:&quot;0&quot;,&quot;br&quot;:&quot;0&quot;,&quot;row&quot;:6,&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19&quot;:{&quot;group&quot;:&quot;B&quot;,&quot;lot&quot;:14,&quot;name&quot;:&quot;Constant Liu&quot;,&quot;team&quot;:&quot;0&quot;,&quot;year&quot;:&quot;1990&quot;,&quot;division&quot;:&quot;M-CL-PL&quot;,&quot;bw&quot;:&quot;105&quot;,&quot;idx&quot;:&quot;19&quot;,&quot;sr&quot;:&quot;0&quot;,&quot;br&quot;:&quot;0&quot;,&quot;row&quot;:1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0&quot;:{&quot;group&quot;:&quot;B&quot;,&quot;lot&quot;:4,&quot;name&quot;:&quot;Ryan Perry&quot;,&quot;team&quot;:&quot;0&quot;,&quot;year&quot;:&quot;1990&quot;,&quot;division&quot;:&quot;M-CL-PL&quot;,&quot;bw&quot;:&quot;120&quot;,&quot;idx&quot;:&quot;20&quot;,&quot;sr&quot;:&quot;0&quot;,&quot;br&quot;:&quot;0&quot;,&quot;row&quot;:4,&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1&quot;:{&quot;group&quot;:&quot;B&quot;,&quot;lot&quot;:17,&quot;name&quot;:&quot;Abbi Boswald-Fielding&quot;,&quot;team&quot;:&quot;0&quot;,&quot;year&quot;:&quot;1980&quot;,&quot;division&quot;:&quot;F-CL-BP&quot;,&quot;bw&quot;:&quot;85&quot;,&quot;idx&quot;:&quot;21&quot;,&quot;sr&quot;:&quot;0&quot;,&quot;br&quot;:&quot;0&quot;,&quot;row&quot;:17,&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quot;22&quot;:{&quot;group&quot;:&quot;B&quot;,&quot;lot&quot;:5,&quot;name&quot;:&quot;Abbas Pordel&quot;,&quot;team&quot;:&quot;0&quot;,&quot;year&quot;:&quot;1960&quot;,&quot;division&quot;:&quot;M-CL-BP&quot;,&quot;bw&quot;:&quot;121&quot;,&quot;idx&quot;:&quot;22&quot;,&quot;sr&quot;:&quot;0&quot;,&quot;br&quot;:&quot;0&quot;,&quot;row&quot;:5,&quot;sq&quot;:{&quot;a1&quot;:0,&quot;a2&quot;:&quot;&quot;,&quot;a3&quot;:&quot;&quot;,&quot;s1&quot;:0,&quot;s2&quot;:0,&quot;s3&quot;:0},&quot;bp&quot;:{&quot;a1&quot;:0,&quot;a2&quot;:&quot;&quot;,&quot;a3&quot;:&quot;&quot;,&quot;s1&quot;:0,&quot;s2&quot;:0,&quot;s3&quot;:0},&quot;dl&quot;:{&quot;a1&quot;:0,&quot;a2&quot;:&quot;&quot;,&quot;a3&quot;:&quot;&quot;,&quot;s1&quot;:0,&quot;s2&quot;:0,&quot;s3&quot;:0},&quot;sortOrder&quot;:0,&quot;act&quot;:{}}}" htmlTables="1" htmlFormat="all"/>
  </connection>
  <connection id="110" xr16:uid="{00000000-0015-0000-FFFF-FFFF6D000000}" name="Connection197" type="4" refreshedVersion="8" saveData="1">
    <webPr xl2000="1" url="http://cotf.zapto.org/getcomps.php" htmlTables="1" htmlFormat="all"/>
  </connection>
  <connection id="111" xr16:uid="{00000000-0015-0000-FFFF-FFFF6E000000}" name="Connection198" type="4" refreshedVersion="8" saveData="1">
    <webPr xl2000="1" url="http://cotf.zapto.org/getcomps.php" htmlTables="1" htmlFormat="all"/>
  </connection>
  <connection id="112" xr16:uid="{00000000-0015-0000-FFFF-FFFF6F000000}" name="Connection199" type="4" refreshedVersion="8" saveData="1">
    <webPr xl2000="1" url="http://cotf.zapto.org/getcomps.php" htmlTables="1" htmlFormat="all"/>
  </connection>
  <connection id="113" xr16:uid="{00000000-0015-0000-FFFF-FFFF70000000}" name="Connection2" type="4" refreshedVersion="8" saveData="1">
    <webPr xl2000="1" url="http://cotf.zapto.org/getcomps.php" htmlTables="1" htmlFormat="all"/>
  </connection>
  <connection id="114" xr16:uid="{00000000-0015-0000-FFFF-FFFF71000000}" name="Connection20" type="4" refreshedVersion="8" saveData="1">
    <webPr xl2000="1" url="http://cotf.zapto.org/getcomps.php" htmlTables="1" htmlFormat="all"/>
  </connection>
  <connection id="115" xr16:uid="{00000000-0015-0000-FFFF-FFFF72000000}" name="Connection200" type="4" refreshedVersion="8" saveData="1">
    <webPr xl2000="1" url="http://cotf.zapto.org/getcomps.php" htmlTables="1" htmlFormat="all"/>
  </connection>
  <connection id="116" xr16:uid="{00000000-0015-0000-FFFF-FFFF73000000}" name="Connection201" type="4" refreshedVersion="8" saveData="1">
    <webPr xl2000="1" url="http://cotf.zapto.org/simpleLifter/integrate/saveload.php?s=excel&amp;q=lifters&amp;comp=AFF&amp;pwd=x" post="excel=" htmlTables="1" htmlFormat="all"/>
  </connection>
  <connection id="117" xr16:uid="{00000000-0015-0000-FFFF-FFFF74000000}" name="Connection202" type="4" refreshedVersion="8" saveData="1">
    <webPr xl2000="1" url="http://cotf.zapto.org/getcomps.php" htmlTables="1" htmlFormat="all"/>
  </connection>
  <connection id="118" xr16:uid="{00000000-0015-0000-FFFF-FFFF75000000}" name="Connection203" type="4" refreshedVersion="8" saveData="1">
    <webPr xl2000="1" url="http://cotf.zapto.org/simpleLifter/integrate/saveload.php?s=excel&amp;q=lifters&amp;comp=AFG&amp;pwd=x" post="excel=" htmlTables="1" htmlFormat="all"/>
  </connection>
  <connection id="119" xr16:uid="{00000000-0015-0000-FFFF-FFFF76000000}" name="Connection204" type="4" refreshedVersion="8" saveData="1">
    <webPr xl2000="1" url="http://cotf.zapto.org/getcomps.php" htmlTables="1" htmlFormat="all"/>
  </connection>
  <connection id="120" xr16:uid="{00000000-0015-0000-FFFF-FFFF77000000}" name="Connection205" type="4" refreshedVersion="8" saveData="1">
    <webPr xl2000="1" url="http://cotf.zapto.org/getcomps.php" htmlTables="1" htmlFormat="all"/>
  </connection>
  <connection id="121" xr16:uid="{00000000-0015-0000-FFFF-FFFF78000000}" name="Connection206" type="4" refreshedVersion="8" saveData="1">
    <webPr xl2000="1" url="http://cotf.zapto.org/getcomps.php" htmlTables="1" htmlFormat="all"/>
  </connection>
  <connection id="122" xr16:uid="{9FFBCC2D-F291-415E-A46A-D2CE13286F15}" name="Connection207" type="4" refreshedVersion="8" saveData="1">
    <webPr xl2000="1" url="http://cotf.zapto.org/getcomps.php" htmlTables="1" htmlFormat="all"/>
  </connection>
  <connection id="123" xr16:uid="{103172D7-50E3-4F4F-9239-BFD62905DA95}" name="Connection208" type="4" refreshedVersion="8" saveData="1">
    <webPr xl2000="1" url="http://cotf.zapto.org/getcomps.php" htmlTables="1" htmlFormat="all"/>
  </connection>
  <connection id="124" xr16:uid="{E3460DC1-1DFE-48E2-A818-5B45CEC5E809}" name="Connection209" type="4" refreshedVersion="8" saveData="1">
    <webPr xl2000="1" url="http://cotf.zapto.org/getcomps.php" htmlTables="1" htmlFormat="all"/>
  </connection>
  <connection id="125" xr16:uid="{00000000-0015-0000-FFFF-FFFF79000000}" name="Connection21" type="4" refreshedVersion="8" saveData="1">
    <webPr xl2000="1" url="http://cotf.zapto.org/getcomps.php" htmlTables="1" htmlFormat="all"/>
  </connection>
  <connection id="126" xr16:uid="{D26A4B68-55C2-43D5-9FDD-80623D841D02}" name="Connection210" type="4" refreshedVersion="8" saveData="1">
    <webPr xl2000="1" url="http://cotf.zapto.org/getcomps.php" htmlTables="1" htmlFormat="all"/>
  </connection>
  <connection id="127" xr16:uid="{66C2D42B-60F6-4A1E-BA5D-B95C7D56A3FB}" name="Connection211" type="4" refreshedVersion="8" saveData="1">
    <webPr xl2000="1" url="http://cotf.zapto.org/getcomps.php" htmlTables="1" htmlFormat="all"/>
  </connection>
  <connection id="128" xr16:uid="{4661E69E-5F46-47F9-8055-5E28A2BA6B2A}" name="Connection212" type="4" refreshedVersion="8" saveData="1">
    <webPr xl2000="1" url="http://cotf.zapto.org/getcomps.php" htmlTables="1" htmlFormat="all"/>
  </connection>
  <connection id="129" xr16:uid="{9ED60198-FC0B-4D31-90C5-DBC4705DEED3}" name="Connection217" type="4" refreshedVersion="8" saveData="1">
    <webPr xl2000="1" url="http://cotf.zapto.org/getcomps.php" htmlTables="1" htmlFormat="all"/>
  </connection>
  <connection id="130" xr16:uid="{807AEBA7-B1F9-4B8B-8518-91C6F18A984E}" name="Connection219" type="4" refreshedVersion="8" saveData="1">
    <webPr xl2000="1" url="http://cotf.zapto.org/getcomps.php" htmlTables="1" htmlFormat="all"/>
  </connection>
  <connection id="131" xr16:uid="{00000000-0015-0000-FFFF-FFFF7A000000}" name="Connection22" type="4" refreshedVersion="8" saveData="1">
    <webPr xl2000="1" url="http://cotf.zapto.org/getcomps.php" htmlTables="1" htmlFormat="all"/>
  </connection>
  <connection id="132" xr16:uid="{9C752484-DD0F-4E92-8DD5-B8C356C80430}" name="Connection220" type="4" refreshedVersion="8" saveData="1">
    <webPr xl2000="1" url="http://cotf.zapto.org/getcomps.php" htmlTables="1" htmlFormat="all"/>
  </connection>
  <connection id="133" xr16:uid="{6F63579C-A796-4F16-83FB-DBF5F2477AC4}" name="Connection225" type="4" refreshedVersion="8" saveData="1">
    <webPr xl2000="1" url="http://cotf.zapto.org/getcomps.php" htmlTables="1" htmlFormat="all"/>
  </connection>
  <connection id="134" xr16:uid="{8F26521A-A650-41C5-8874-2B57AEF5EF86}" name="Connection226" type="4" refreshedVersion="8" saveData="1">
    <webPr xl2000="1" url="http://cotf.zapto.org/getcomps.php" htmlTables="1" htmlFormat="all"/>
  </connection>
  <connection id="135" xr16:uid="{97630222-32BE-4977-8E22-990A221E0061}" name="Connection227" type="4" refreshedVersion="8" saveData="1">
    <webPr xl2000="1" url="http://cotf.zapto.org/getcomps.php" htmlTables="1" htmlFormat="all"/>
  </connection>
  <connection id="136" xr16:uid="{00000000-0015-0000-FFFF-FFFF7B000000}" name="Connection23" type="4" refreshedVersion="8" saveData="1">
    <webPr xl2000="1" url="http://cotf.zapto.org/getcomps.php" htmlTables="1" htmlFormat="all"/>
  </connection>
  <connection id="137" xr16:uid="{00000000-0015-0000-FFFF-FFFF7C000000}" name="Connection24" type="4" refreshedVersion="8" saveData="1">
    <webPr xl2000="1" url="http://cotf.zapto.org/simpleLifter/integrate/saveload.php?s=excel&amp;q=lifters&amp;comp=ZZZ" post="excel=}" htmlTables="1" htmlFormat="all"/>
  </connection>
  <connection id="138" xr16:uid="{00000000-0015-0000-FFFF-FFFF7D000000}" name="Connection25"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39" xr16:uid="{00000000-0015-0000-FFFF-FFFF7E000000}" name="Connection26" type="4" refreshedVersion="8" saveData="1">
    <webPr xl2000="1" url="http://cotf.zapto.org/simpleLifter/integrate/saveload.php?s=excel&amp;q=lifters&amp;comp=ZZZ" post="excel=}" htmlTables="1" htmlFormat="all"/>
  </connection>
  <connection id="140" xr16:uid="{00000000-0015-0000-FFFF-FFFF7F000000}" name="Connection27" type="4" refreshedVersion="8" saveData="1">
    <webPr xl2000="1" url="http://cotf.zapto.org/simpleLifter/integrate/saveload.php?s=excel&amp;q=setup&amp;comp=ADL" htmlTables="1" htmlFormat="all"/>
  </connection>
  <connection id="141" xr16:uid="{00000000-0015-0000-FFFF-FFFF80000000}" name="Connection28" type="4" refreshedVersion="8" saveData="1">
    <webPr xl2000="1" url="http://cotf.zapto.org/simpleLifter/integrate/saveload.php?s=excel&amp;q=lifters&amp;comp=ADL" post="excel={&quot;0&quot;:{&quot;group&quot;:&quot;A&quot;,&quot;lot&quot;:&quot;4&quot;,&quot;name&quot;:&quot;Michell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42" xr16:uid="{00000000-0015-0000-FFFF-FFFF81000000}" name="Connection29"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43" xr16:uid="{00000000-0015-0000-FFFF-FFFF82000000}" name="Connection3" type="4" refreshedVersion="8" saveData="1">
    <webPr xl2000="1" url="http://cotf.zapto.org/getcomps.php" htmlTables="1" htmlFormat="all"/>
  </connection>
  <connection id="144" xr16:uid="{00000000-0015-0000-FFFF-FFFF83000000}" name="Connection30" type="4" refreshedVersion="8" saveData="1">
    <webPr xl2000="1" url="http://cotf.zapto.org/simpleLifter/integrate/saveload.php?s=excel&amp;q=setup&amp;comp=ADL" htmlTables="1" htmlFormat="all"/>
  </connection>
  <connection id="145" xr16:uid="{00000000-0015-0000-FFFF-FFFF84000000}" name="Connection31"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46" xr16:uid="{00000000-0015-0000-FFFF-FFFF85000000}" name="Connection32" type="4" refreshedVersion="8" saveData="1">
    <webPr xl2000="1" url="http://cotf.zapto.org/simpleLifter/integrate/saveload.php?s=excel&amp;q=setup&amp;comp=ADM" htmlTables="1" htmlFormat="all"/>
  </connection>
  <connection id="147" xr16:uid="{00000000-0015-0000-FFFF-FFFF86000000}" name="Connection33"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48" xr16:uid="{00000000-0015-0000-FFFF-FFFF87000000}" name="Connection34" type="4" refreshedVersion="8" saveData="1">
    <webPr xl2000="1" url="http://cotf.zapto.org/simpleLifter/integrate/saveload.php?s=excel&amp;q=setup&amp;comp=ADM" htmlTables="1" htmlFormat="all"/>
  </connection>
  <connection id="149" xr16:uid="{00000000-0015-0000-FFFF-FFFF88000000}" name="Connection35" type="4" refreshedVersion="8" background="1" saveData="1">
    <webPr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0" xr16:uid="{00000000-0015-0000-FFFF-FFFF89000000}" name="Connection36" type="4" refreshedVersion="8" saveData="1">
    <webPr xl2000="1" url="http://cotf.zapto.org/simpleLifter/integrate/saveload.php?s=excel&amp;q=lifters&amp;comp=ADL" post="excel={&quot;1&quot;:{&quot;name&quot;:&quot;Michelle Le&quot;,&quot; sqb&quot;:&quot;&quot;,&quot; bpb&quot;:&quot;&quot;,&quot; dlb&quot;:&quot;&quot;,&quot; tpb&quot;:&quot;&quot;},&quot;2&quot;:{&quot;name&quot;:&quot;Pamela Dunrobin&quot;,&quot; sqb&quot;:&quot;&quot;,&quot; bpb&quot;:&quot;&quot;,&quot; dlb&quot;:&quot;&quot;,&quot; tpb&quot;:&quot;&quot;},&quot;3&quot;:{&quot;name&quot;:&quot;Kimberley Way&quot;,&quot; sqb&quot;:&quot;&quot;,&quot; bpb&quot;:&quot;&quot;,&quot; dlb&quot;:&quot;&quot;,&quot; tpb&quot;:&quot;&quot;},&quot;4&quot;:{&quot;name&quot;:&quot;Elisabeth Vrazas&quot;,&quot; sqb&quot;:&quot;&quot;,&quot; bpb&quot;:&quot;&quot;,&quot; dlb&quot;:&quot;&quot;,&quot; tpb&quot;:&quot;&quot;},&quot;5&quot;:{&quot;name&quot;:&quot;Mary Giffin&quot;,&quot; sqb&quot;:&quot;&quot;,&quot; bpb&quot;:&quot;&quot;,&quot; dlb&quot;:&quot;&quot;,&quot; tpb&quot;:&quot;&quot;},&quot;6&quot;:{&quot;name&quot;:&quot;Susana Chen&quot;,&quot; sqb&quot;:&quot;&quot;,&quot; bpb&quot;:&quot;&quot;,&quot; dlb&quot;:&quot;&quot;,&quot; tpb&quot;:&quot;&quot;},&quot;7&quot;:{&quot;name&quot;:&quot;Bridgette Desjardins&quot;,&quot; sqb&quot;:&quot;&quot;,&quot; bpb&quot;:&quot;&quot;,&quot; dlb&quot;:&quot;&quot;,&quot; tpb&quot;:&quot;&quot;},&quot;8&quot;:{&quot;name&quot;:&quot;Ethan Lim&quot;,&quot; sqb&quot;:&quot;&quot;,&quot; bpb&quot;:&quot;&quot;,&quot; dlb&quot;:&quot;&quot;,&quot; tpb&quot;:&quot;&quot;},&quot;9&quot;:{&quot;name&quot;:&quot;Avin Pham&quot;,&quot; sqb&quot;:&quot;&quot;,&quot; bpb&quot;:&quot;&quot;,&quot; dlb&quot;:&quot;&quot;,&quot; tpb&quot;:&quot;&quot;},&quot;10&quot;:{&quot;name&quot;:&quot;Savith Mudunkotuwa&quot;,&quot; sqb&quot;:&quot;&quot;,&quot; bpb&quot;:&quot;&quot;,&quot; dlb&quot;:&quot;&quot;,&quot; tpb&quot;:&quot;&quot;},&quot;11&quot;:{&quot;name&quot;:&quot;Brian Ong&quot;,&quot; sqb&quot;:&quot;&quot;,&quot; bpb&quot;:&quot;&quot;,&quot; dlb&quot;:&quot;&quot;,&quot; tpb&quot;:&quot;&quot;},&quot;12&quot;:{&quot;name&quot;:&quot;Jeremy Sharpe&quot;,&quot; sqb&quot;:&quot;&quot;,&quot; bpb&quot;:&quot;&quot;,&quot; dlb&quot;:&quot;&quot;,&quot; tpb&quot;:&quot;&quot;},&quot;13&quot;:{&quot;name&quot;:&quot;Vivian Dally&quot;,&quot; sqb&quot;:&quot;&quot;,&quot; bpb&quot;:&quot;&quot;,&quot; dlb&quot;:&quot;&quot;,&quot; tpb&quot;:&quot;&quot;},&quot;14&quot;:{&quot;name&quot;:&quot;Izaak Conquest-Hope&quot;,&quot; sqb&quot;:&quot;&quot;,&quot; bpb&quot;:&quot;&quot;,&quot; dlb&quot;:&quot;&quot;,&quot; tpb&quot;:&quot;&quot;},&quot;15&quot;:{&quot;name&quot;:&quot;Anastasia Stamatopoulos&quot;,&quot; sqb&quot;:&quot;&quot;,&quot; bpb&quot;:&quot;&quot;,&quot; dlb&quot;:&quot;&quot;,&quot; tpb&quot;:&quot;&quot;},&quot;16&quot;:{&quot;name&quot;:&quot;Chelsea Smith&quot;,&quot; sqb&quot;:&quot;&quot;,&quot; bpb&quot;:&quot;&quot;,&quot; dlb&quot;:&quot;&quot;,&quot; tpb&quot;:&quot;&quot;},&quot;17&quot;:{&quot;name&quot;:&quot;Chrissy Athanasopoulos&quot;,&quot; sqb&quot;:&quot;&quot;,&quot; bpb&quot;:&quot;&quot;,&quot; dlb&quot;:&quot;&quot;,&quot; tpb&quot;:&quot;&quot;},&quot;18&quot;:{&quot;name&quot;:&quot;Shien Ting Lim&quot;,&quot; sqb&quot;:&quot;&quot;,&quot; bpb&quot;:&quot;&quot;,&quot; dlb&quot;:&quot;&quot;,&quot; tpb&quot;:&quot;&quot;},&quot;19&quot;:{&quot;name&quot;:&quot;Katrina Clews&quot;,&quot; sqb&quot;:&quot;&quot;,&quot; bpb&quot;:&quot;&quot;,&quot; dlb&quot;:&quot;&quot;,&quot; tpb&quot;:&quot;&quot;},&quot;20&quot;:{&quot;name&quot;:&quot;Rachit Singh&quot;,&quot; sqb&quot;:&quot;&quot;,&quot; bpb&quot;:&quot;&quot;,&quot; dlb&quot;:&quot;&quot;,&quot; tpb&quot;:&quot;&quot;},&quot;21&quot;:{&quot;name&quot;:&quot;Daniel Taylor&quot;,&quot; sqb&quot;:&quot;&quot;,&quot; bpb&quot;:&quot;&quot;,&quot; dlb&quot;:&quot;&quot;,&quot; tpb&quot;:&quot;&quot;},&quot;22&quot;:{&quot;name&quot;:&quot;Alan Zhou&quot;,&quot; sqb&quot;:&quot;&quot;,&quot; bpb&quot;:&quot;&quot;,&quot; dlb&quot;:&quot;&quot;,&quot; tpb&quot;:&quot;&quot;},&quot;23&quot;:{&quot;name&quot;:&quot;Marcus Flanagan&quot;,&quot; sqb&quot;:&quot;&quot;,&quot; bpb&quot;:&quot;&quot;,&quot; dlb&quot;:&quot;&quot;,&quot; tpb&quot;:&quot;&quot;},&quot;24&quot;:{&quot;name&quot;:&quot;Ashley O'Loghlin&quot;,&quot; sqb&quot;:&quot;&quot;,&quot; bpb&quot;:&quot;&quot;,&quot; dlb&quot;:&quot;&quot;,&quot; tpb&quot;:&quot;&quot;},&quot;25&quot;:{&quot;name&quot;:&quot;James King&quot;,&quot; sqb&quot;:&quot;&quot;,&quot; bpb&quot;:&quot;&quot;,&quot; dlb&quot;:&quot;&quot;,&quot; tpb&quot;:&quot;&quot;},&quot;26&quot;:{&quot;name&quot;:&quot;ari chenhall&quot;,&quot; sqb&quot;:&quot;&quot;,&quot; bpb&quot;:&quot;&quot;,&quot; dlb&quot;:&quot;&quot;,&quot; tpb&quot;:&quot;&quot;}}" htmlTables="1" htmlFormat="all"/>
  </connection>
  <connection id="151" xr16:uid="{00000000-0015-0000-FFFF-FFFF8A000000}" name="Connection37"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2" xr16:uid="{00000000-0015-0000-FFFF-FFFF8B000000}" name="Connection38" type="4" refreshedVersion="8" saveData="1">
    <webPr xl2000="1" url="http://cotf.zapto.org/simpleLifter/integrate/saveload.php?s=excel&amp;q=setup&amp;comp=ADL" htmlTables="1" htmlFormat="all"/>
  </connection>
  <connection id="153" xr16:uid="{00000000-0015-0000-FFFF-FFFF8C000000}" name="Connection39" type="4" refreshedVersion="8" saveData="1">
    <webPr xl2000="1" url="http://cotf.zapto.org/simpleLifter/integrate/saveload.php?s=excel&amp;q=lifters&amp;comp=ADM" post="excel={&quot;1&quot;:{&quot;name&quot;:&quot;Kyle Mackay&quot;,&quot; sqb&quot;:&quot;&quot;,&quot; bpb&quot;:&quot;&quot;,&quot; dlb&quot;:&quot;&quot;,&quot; tpb&quot;:&quot;&quot;},&quot;2&quot;:{&quot;name&quot;:&quot;David Vien&quot;,&quot; sqb&quot;:&quot;&quot;,&quot; bpb&quot;:&quot;&quot;,&quot; dlb&quot;:&quot;&quot;,&quot; tpb&quot;:&quot;&quot;},&quot;3&quot;:{&quot;name&quot;:&quot;Kyle Conquest-Hope&quot;,&quot; sqb&quot;:&quot;&quot;,&quot; bpb&quot;:&quot;&quot;,&quot; dlb&quot;:&quot;&quot;,&quot; tpb&quot;:&quot;&quot;},&quot;4&quot;:{&quot;name&quot;:&quot;Julian Dusting&quot;,&quot; sqb&quot;:&quot;&quot;,&quot; bpb&quot;:&quot;&quot;,&quot; dlb&quot;:&quot;&quot;,&quot; tpb&quot;:&quot;&quot;},&quot;5&quot;:{&quot;name&quot;:&quot;Eric Chau&quot;,&quot; sqb&quot;:&quot;&quot;,&quot; bpb&quot;:&quot;&quot;,&quot; dlb&quot;:&quot;&quot;,&quot; tpb&quot;:&quot;&quot;},&quot;6&quot;:{&quot;name&quot;:&quot;Edwin Gao&quot;,&quot; sqb&quot;:&quot;&quot;,&quot; bpb&quot;:&quot;&quot;,&quot; dlb&quot;:&quot;&quot;,&quot; tpb&quot;:&quot;&quot;},&quot;7&quot;:{&quot;name&quot;:&quot;Conor Warren&quot;,&quot; sqb&quot;:&quot;&quot;,&quot; bpb&quot;:&quot;&quot;,&quot; dlb&quot;:&quot;&quot;,&quot; tpb&quot;:&quot;&quot;},&quot;8&quot;:{&quot;name&quot;:&quot;Kevin Ho&quot;,&quot; sqb&quot;:&quot;&quot;,&quot; bpb&quot;:&quot;&quot;,&quot; dlb&quot;:&quot;&quot;,&quot; tpb&quot;:&quot;&quot;},&quot;9&quot;:{&quot;name&quot;:&quot;Jeffrey Tan&quot;,&quot; sqb&quot;:&quot;&quot;,&quot; bpb&quot;:&quot;&quot;,&quot; dlb&quot;:&quot;&quot;,&quot; tpb&quot;:&quot;&quot;},&quot;10&quot;:{&quot;name&quot;:&quot;Brodie Palmieri&quot;,&quot; sqb&quot;:&quot;&quot;,&quot; bpb&quot;:&quot;&quot;,&quot; dlb&quot;:&quot;&quot;,&quot; tpb&quot;:&quot;&quot;},&quot;11&quot;:{&quot;name&quot;:&quot;Daine McDonald&quot;,&quot; sqb&quot;:&quot;&quot;,&quot; bpb&quot;:&quot;&quot;,&quot; dlb&quot;:&quot;&quot;,&quot; tpb&quot;:&quot;&quot;},&quot;12&quot;:{&quot;name&quot;:&quot;James DallOste&quot;,&quot; sqb&quot;:&quot;&quot;,&quot; bpb&quot;:&quot;&quot;,&quot; dlb&quot;:&quot;&quot;,&quot; tpb&quot;:&quot;&quot;},&quot;13&quot;:{&quot;name&quot;:&quot;Nick Thompson&quot;,&quot; sqb&quot;:&quot;&quot;,&quot; bpb&quot;:&quot;&quot;,&quot; dlb&quot;:&quot;&quot;,&quot; tpb&quot;:&quot;&quot;},&quot;14&quot;:{&quot;name&quot;:&quot;Damien Hezekiah&quot;,&quot; sqb&quot;:&quot;&quot;,&quot; bpb&quot;:&quot;&quot;,&quot; dlb&quot;:&quot;&quot;,&quot; tpb&quot;:&quot;&quot;},&quot;15&quot;:{&quot;name&quot;:&quot;Adrian Davis&quot;,&quot; sqb&quot;:&quot;&quot;,&quot; bpb&quot;:&quot;&quot;,&quot; dlb&quot;:&quot;&quot;,&quot; tpb&quot;:&quot;&quot;},&quot;16&quot;:{&quot;name&quot;:&quot;Clay Bennett&quot;,&quot; sqb&quot;:&quot;&quot;,&quot; bpb&quot;:&quot;&quot;,&quot; dlb&quot;:&quot;&quot;,&quot; tpb&quot;:&quot;&quot;},&quot;17&quot;:{&quot;name&quot;:&quot;Lloyd Bernardo&quot;,&quot; sqb&quot;:&quot;&quot;,&quot; bpb&quot;:&quot;&quot;,&quot; dlb&quot;:&quot;&quot;,&quot; tpb&quot;:&quot;&quot;},&quot;18&quot;:{&quot;name&quot;:&quot;Bryson Clews&quot;,&quot; sqb&quot;:&quot;&quot;,&quot; bpb&quot;:&quot;&quot;,&quot; dlb&quot;:&quot;&quot;,&quot; tpb&quot;:&quot;&quot;},&quot;19&quot;:{&quot;name&quot;:&quot;Ethan Rowles&quot;,&quot; sqb&quot;:&quot;&quot;,&quot; bpb&quot;:&quot;&quot;,&quot; dlb&quot;:&quot;&quot;,&quot; tpb&quot;:&quot;&quot;},&quot;20&quot;:{&quot;name&quot;:&quot;Dean Sabawo&quot;,&quot; sqb&quot;:&quot;&quot;,&quot; bpb&quot;:&quot;&quot;,&quot; dlb&quot;:&quot;&quot;,&quot; tpb&quot;:&quot;&quot;},&quot;21&quot;:{&quot;name&quot;:&quot;Thomas Burdick&quot;,&quot; sqb&quot;:&quot;&quot;,&quot; bpb&quot;:&quot;&quot;,&quot; dlb&quot;:&quot;&quot;,&quot; tpb&quot;:&quot;&quot;},&quot;22&quot;:{&quot;name&quot;:&quot;Jarrid Gunn&quot;,&quot; sqb&quot;:&quot;&quot;,&quot; bpb&quot;:&quot;&quot;,&quot; dlb&quot;:&quot;&quot;,&quot; tpb&quot;:&quot;&quot;},&quot;23&quot;:{&quot;name&quot;:&quot;Daniel Lee&quot;,&quot; sqb&quot;:&quot;&quot;,&quot; bpb&quot;:&quot;&quot;,&quot; dlb&quot;:&quot;&quot;,&quot; tpb&quot;:&quot;&quot;},&quot;24&quot;:{&quot;name&quot;:&quot;Anthony Kourakis&quot;,&quot; sqb&quot;:&quot;&quot;,&quot; bpb&quot;:&quot;&quot;,&quot; dlb&quot;:&quot;&quot;,&quot; tpb&quot;:&quot;&quot;}}" htmlTables="1" htmlFormat="all"/>
  </connection>
  <connection id="154" xr16:uid="{00000000-0015-0000-FFFF-FFFF8D000000}" name="Connection4" type="4" refreshedVersion="8" saveData="1">
    <webPr xl2000="1" url="http://cotf.zapto.org/getcomps.php" htmlTables="1" htmlFormat="all"/>
  </connection>
  <connection id="155" xr16:uid="{00000000-0015-0000-FFFF-FFFF8E000000}" name="Connection4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6" xr16:uid="{00000000-0015-0000-FFFF-FFFF8F000000}" name="Connection41" type="4" refreshedVersion="8" saveData="1">
    <webPr xl2000="1" url="http://cotf.zapto.org/simpleLifter/integrate/saveload.php?s=excel&amp;q=setup&amp;comp=ADM" htmlTables="1" htmlFormat="all"/>
  </connection>
  <connection id="157" xr16:uid="{00000000-0015-0000-FFFF-FFFF90000000}" name="Connection42"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8" xr16:uid="{00000000-0015-0000-FFFF-FFFF91000000}" name="Connection43"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59" xr16:uid="{00000000-0015-0000-FFFF-FFFF92000000}" name="Connection4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0" xr16:uid="{00000000-0015-0000-FFFF-FFFF93000000}" name="Connection45" type="4" refreshedVersion="8" saveData="1">
    <webPr xl2000="1" url="http://cotf.zapto.org/simpleLifter/integrate/saveload.php?s=excel&amp;q=setup&amp;comp=ADL" htmlTables="1" htmlFormat="all"/>
  </connection>
  <connection id="161" xr16:uid="{00000000-0015-0000-FFFF-FFFF94000000}" name="Connection46"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2" xr16:uid="{00000000-0015-0000-FFFF-FFFF95000000}" name="Connection47"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3" xr16:uid="{00000000-0015-0000-FFFF-FFFF96000000}" name="Connection48"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4" xr16:uid="{00000000-0015-0000-FFFF-FFFF97000000}" name="Connection49"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5" xr16:uid="{00000000-0015-0000-FFFF-FFFF98000000}" name="Connection5" type="4" refreshedVersion="8" saveData="1">
    <webPr xl2000="1" url="http://cotf.zapto.org/getcomps.php" htmlTables="1" htmlFormat="all"/>
  </connection>
  <connection id="166" xr16:uid="{00000000-0015-0000-FFFF-FFFF99000000}" name="Connection50" type="4" refreshedVersion="8" saveData="1">
    <webPr xl2000="1" url="http://cotf.zapto.org/simpleLifter/integrate/saveload.php?s=excel&amp;q=setup&amp;comp=ADM" htmlTables="1" htmlFormat="all"/>
  </connection>
  <connection id="167" xr16:uid="{00000000-0015-0000-FFFF-FFFF9A000000}" name="Connection51"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8" xr16:uid="{00000000-0015-0000-FFFF-FFFF9B000000}" name="Connection52"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69" xr16:uid="{00000000-0015-0000-FFFF-FFFF9C000000}" name="Connection53" type="4" refreshedVersion="8" saveData="1">
    <webPr xl2000="1" url="http://cotf.zapto.org/getcomps.php" htmlTables="1" htmlFormat="all"/>
  </connection>
  <connection id="170" xr16:uid="{00000000-0015-0000-FFFF-FFFF9D000000}" name="Connection5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1" xr16:uid="{00000000-0015-0000-FFFF-FFFF9E000000}" name="Connection55"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2" xr16:uid="{00000000-0015-0000-FFFF-FFFF9F000000}" name="Connection56"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3" xr16:uid="{00000000-0015-0000-FFFF-FFFFA0000000}" name="Connection57" type="4" refreshedVersion="8" saveData="1">
    <webPr xl2000="1" url="http://cotf.zapto.org/simpleLifter/integrate/saveload.php?s=excel&amp;q=setup&amp;comp=ADL" htmlTables="1" htmlFormat="all"/>
  </connection>
  <connection id="174" xr16:uid="{00000000-0015-0000-FFFF-FFFFA1000000}" name="Connection58"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5" xr16:uid="{00000000-0015-0000-FFFF-FFFFA2000000}" name="Connection59"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6" xr16:uid="{00000000-0015-0000-FFFF-FFFFA3000000}" name="Connection6" type="4" refreshedVersion="8" saveData="1">
    <webPr xl2000="1" url="http://cotf.zapto.org/getcomps.php" htmlTables="1" htmlFormat="all"/>
  </connection>
  <connection id="177" xr16:uid="{00000000-0015-0000-FFFF-FFFFA4000000}" name="Connection6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78" xr16:uid="{00000000-0015-0000-FFFF-FFFFA5000000}" name="Connection61" type="4" refreshedVersion="8" saveData="1">
    <webPr xl2000="1" url="http://cotf.zapto.org/simpleLifter/integrate/saveload.php?s=excel&amp;q=setup&amp;comp=ADM" htmlTables="1" htmlFormat="all"/>
  </connection>
  <connection id="179" xr16:uid="{00000000-0015-0000-FFFF-FFFFA6000000}" name="Connection62"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0" xr16:uid="{00000000-0015-0000-FFFF-FFFFA7000000}" name="Connection63"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2&quot;,&quot;name&quot;:&quot;Katrina Clews&quot;,&quot;team&quot;:&quot;VIC&quot;,&quot;year&quot;:&quot;1995&quot;,&quot;division&quot;:&quot;F-CL-PL&quot;,&quot;bw&quot;:&quot;55&quot;,&quot;idx&quot;:&quot;18&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9&quot;,&quot;name&quot;:&quot;Rachit Singh&quot;,&quot;team&quot;:&quot;VIC&quot;,&quot;year&quot;:&quot;1996&quot;,&quot;division&quot;:&quot;M-CL-PL&quot;,&quot;bw&quot;:&quot;55&quot;,&quot;idx&quot;:&quot;19&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Daniel Taylor&quot;,&quot;team&quot;:&quot;VIC&quot;,&quot;year&quot;:&quot;2002&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5&quot;,&quot;name&quot;:&quot;Alan Zhou&quot;,&quot;team&quot;:&quot;VIC&quot;,&quot;year&quot;:&quot;2001&quot;,&quot;division&quot;:&quot;M-CL-PL&quot;,&quot;bw&quot;:&quot;55&quot;,&quot;idx&quot;:&quot;21&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9&quot;,&quot;name&quot;:&quot;Marcus Flanagan&quot;,&quot;team&quot;:&quot;VIC&quot;,&quot;year&quot;:&quot;1981&quot;,&quot;division&quot;:&quot;M-CL-PL&quot;,&quot;bw&quot;:&quot;55&quot;,&quot;idx&quot;:&quot;22&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4&quot;,&quot;name&quot;:&quot;Ashley O'Loghlin&quot;,&quot;team&quot;:&quot;VIC&quot;,&quot;year&quot;:&quot;1973&quot;,&quot;division&quot;:&quot;M-CL-PL&quot;,&quot;bw&quot;:&quot;55&quot;,&quot;idx&quot;:&quot;23&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5&quot;,&quot;name&quot;:&quot;James King&quot;,&quot;team&quot;:&quot;VIC&quot;,&quot;year&quot;:&quot;2005&quot;,&quot;division&quot;:&quot;M-CL-PL&quot;,&quot;bw&quot;:&quot;55&quot;,&quot;idx&quot;:&quot;2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7&quot;,&quot;name&quot;:&quot;ari chenhall&quot;,&quot;team&quot;:&quot;VIC&quot;,&quot;year&quot;:&quot;2006&quot;,&quot;division&quot;:&quot;M-CL-PL&quot;,&quot;bw&quot;:&quot;55&quot;,&quot;idx&quot;:&quot;25&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1" xr16:uid="{00000000-0015-0000-FFFF-FFFFA8000000}" name="Connection6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2" xr16:uid="{00000000-0015-0000-FFFF-FFFFA9000000}" name="Connection65"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3" xr16:uid="{00000000-0015-0000-FFFF-FFFFAA000000}" name="Connection66"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4" xr16:uid="{00000000-0015-0000-FFFF-FFFFAB000000}" name="Connection67" type="4" refreshedVersion="8" saveData="1">
    <webPr xl2000="1" url="http://cotf.zapto.org/simpleLifter/integrate/saveload.php?s=excel&amp;q=setup&amp;comp=ADL" htmlTables="1" htmlFormat="all"/>
  </connection>
  <connection id="185" xr16:uid="{00000000-0015-0000-FFFF-FFFFAC000000}" name="Connection68"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186" xr16:uid="{00000000-0015-0000-FFFF-FFFFAD000000}" name="Connection69" type="4" refreshedVersion="8" saveData="1">
    <webPr xl2000="1" url="http://cotf.zapto.org/simpleLifter/integrate/saveload.php?s=setup&amp;q=lifters&amp;comp=ADL" post="excel=" htmlTables="1" htmlFormat="all"/>
  </connection>
  <connection id="187" xr16:uid="{00000000-0015-0000-FFFF-FFFFAE000000}" name="Connection7" type="4" refreshedVersion="8" saveData="1">
    <webPr xl2000="1" url="http://cotf.zapto.org/getcomps.php" htmlTables="1" htmlFormat="all"/>
  </connection>
  <connection id="188" xr16:uid="{00000000-0015-0000-FFFF-FFFFAF000000}" name="Connection70" type="4" refreshedVersion="8" saveData="1">
    <webPr xl2000="1" url="http://cotf.zapto.org/simpleLifter/integrate/saveload.php?s=setup&amp;q=lifters&amp;comp=ADM" post="excel=" htmlTables="1" htmlFormat="all"/>
  </connection>
  <connection id="189" xr16:uid="{00000000-0015-0000-FFFF-FFFFB0000000}" name="Connection71" type="4" refreshedVersion="8" saveData="1">
    <webPr xl2000="1" url="http://cotf.zapto.org/simpleLifter/integrate/saveload.php?s=setup&amp;q=lifters&amp;comp=ADL" post="excel=" htmlTables="1" htmlFormat="all"/>
  </connection>
  <connection id="190" xr16:uid="{00000000-0015-0000-FFFF-FFFFB1000000}" name="Connection72" type="4" refreshedVersion="8" saveData="1">
    <webPr xl2000="1" url="http://cotf.zapto.org/simpleLifter/integrate/saveload.php?s=setup&amp;q=lifters&amp;comp=ADM" post="excel=" htmlTables="1" htmlFormat="all"/>
  </connection>
  <connection id="191" xr16:uid="{00000000-0015-0000-FFFF-FFFFB2000000}" name="Connection73" type="4" refreshedVersion="8" saveData="1">
    <webPr xl2000="1" url="http://cotf.zapto.org/simpleLifter/integrate/saveload.php?s=setup&amp;q=lifters&amp;comp=ADL" post="excel=" htmlTables="1" htmlFormat="all"/>
  </connection>
  <connection id="192" xr16:uid="{00000000-0015-0000-FFFF-FFFFB3000000}" name="Connection74" type="4" refreshedVersion="8" saveData="1">
    <webPr xl2000="1" url="http://cotf.zapto.org/simpleLifter/integrate/saveload.php?s=setup&amp;q=lifters&amp;comp=ADM" post="excel=" htmlTables="1" htmlFormat="all"/>
  </connection>
  <connection id="193" xr16:uid="{00000000-0015-0000-FFFF-FFFFB4000000}" name="Connection75" type="4" refreshedVersion="8" saveData="1">
    <webPr xl2000="1" url="http://cotf.zapto.org/simpleLifter/integrate/saveload.php?s=setup&amp;q=lifters&amp;comp=ADL" htmlTables="1" htmlFormat="all"/>
  </connection>
  <connection id="194" xr16:uid="{00000000-0015-0000-FFFF-FFFFB5000000}" name="Connection76" type="4" refreshedVersion="8" saveData="1">
    <webPr xl2000="1" url="http://cotf.zapto.org/simpleLifter/integrate/saveload.php?s=setup&amp;q=lifters&amp;comp=ADM" htmlTables="1" htmlFormat="all"/>
  </connection>
  <connection id="195" xr16:uid="{00000000-0015-0000-FFFF-FFFFB6000000}" name="Connection77" type="4" refreshedVersion="8" saveData="1">
    <webPr xl2000="1" url="http://cotf.zapto.org/simpleLifter/integrate/saveload.php?s=excel&amp;q=setup&amp;comp=ADL" htmlTables="1" htmlFormat="all"/>
  </connection>
  <connection id="196" xr16:uid="{00000000-0015-0000-FFFF-FFFFB7000000}" name="Connection78" type="4" refreshedVersion="8" saveData="1">
    <webPr xl2000="1" url="http://cotf.zapto.org/simpleLifter/integrate/saveload.php?s=excel&amp;q=setup&amp;comp=ADM" htmlTables="1" htmlFormat="all"/>
  </connection>
  <connection id="197" xr16:uid="{00000000-0015-0000-FFFF-FFFFB8000000}" name="Connection79" type="4" refreshedVersion="8" saveData="1">
    <webPr xl2000="1" url="http://cotf.zapto.org/simpleLifter/integrate/saveload.php?s=excel&amp;q=setup&amp;comp=ADM" htmlTables="1" htmlFormat="all"/>
  </connection>
  <connection id="198" xr16:uid="{00000000-0015-0000-FFFF-FFFFB9000000}" name="Connection8" type="4" refreshedVersion="8" saveData="1">
    <webPr xl2000="1" url="http://cotf.zapto.org/getcomps.php" htmlTables="1" htmlFormat="all"/>
  </connection>
  <connection id="199" xr16:uid="{00000000-0015-0000-FFFF-FFFFBA000000}" name="Connection8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0" xr16:uid="{00000000-0015-0000-FFFF-FFFFBB000000}" name="Connection81" type="4" refreshedVersion="8" saveData="1">
    <webPr xl2000="1" url="http://cotf.zapto.org/simpleLifter/integrate/saveload.php?s=excel&amp;q=setup&amp;comp=ADL" htmlTables="1" htmlFormat="all"/>
  </connection>
  <connection id="201" xr16:uid="{00000000-0015-0000-FFFF-FFFFBC000000}" name="Connection82"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2" xr16:uid="{00000000-0015-0000-FFFF-FFFFBD000000}" name="Connection83" type="4" refreshedVersion="8" saveData="1">
    <webPr xl2000="1" url="http://cotf.zapto.org/simpleLifter/integrate/saveload.php?s=excel&amp;q=setup&amp;comp=ADM" htmlTables="1" htmlFormat="all"/>
  </connection>
  <connection id="203" xr16:uid="{00000000-0015-0000-FFFF-FFFFBE000000}" name="Connection84"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z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4" xr16:uid="{00000000-0015-0000-FFFF-FFFFBF000000}" name="Connection85" type="4" refreshedVersion="8" saveData="1">
    <webPr xl2000="1" url="http://cotf.zapto.org/simpleLifter/integrate/saveload.php?s=excel&amp;q=setup&amp;comp=ADL" htmlTables="1" htmlFormat="all"/>
  </connection>
  <connection id="205" xr16:uid="{00000000-0015-0000-FFFF-FFFFC0000000}" name="Connection86"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6" xr16:uid="{00000000-0015-0000-FFFF-FFFFC1000000}" name="Connection87" type="4" refreshedVersion="8" saveData="1">
    <webPr xl2000="1" url="http://cotf.zapto.org/simpleLifter/integrate/saveload.php?s=excel&amp;q=setup&amp;comp=ADM" htmlTables="1" htmlFormat="all"/>
  </connection>
  <connection id="207" xr16:uid="{00000000-0015-0000-FFFF-FFFFC2000000}" name="Connection88"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8" xr16:uid="{00000000-0015-0000-FFFF-FFFFC3000000}" name="Connection89" type="4" refreshedVersion="8" saveData="1">
    <webPr xl2000="1" url="http://cotf.zapto.org/simpleLifter/integrate/saveload.php?s=excel&amp;q=lifters&amp;comp=AAD" post="excel={&quot;0&quot;:{&quot;group&quot;:&quot;A&quot;,&quot;lot&quot;:&quot;4&quot;,&quot;name&quot;:&quot;Allan Appleby&quot;,&quot;team&quot;:&quot;0&quot;,&quot;year&quot;:&quot;1990&quot;,&quot;division&quot;:&quot;M-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Bryan Brown&quot;,&quot;team&quot;:&quot;0&quot;,&quot;year&quot;:&quot;1990&quot;,&quot;division&quot;:&quot;M-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quot;,&quot;name&quot;:&quot;Charlotte Cupcake&quot;,&quot;team&quot;:&quot;0&quot;,&quot;year&quot;:&quot;1990&quot;,&quot;division&quot;:&quot;F-CL-PL&quot;,&quot;bw&quot;:&quot;55&quot;,&quot;idx&quot;:&quot;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8&quot;,&quot;name&quot;:&quot;Daniel Deedily&quot;,&quot;team&quot;:&quot;0&quot;,&quot;year&quot;:&quot;1990&quot;,&quot;division&quot;:&quot;M-CL-PL&quot;,&quot;bw&quot;:&quot;55&quot;,&quot;idx&quot;:&quot;3&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2&quot;,&quot;name&quot;:&quot;Engelbert Epstein&quot;,&quot;team&quot;:&quot;0&quot;,&quot;year&quot;:&quot;1990&quot;,&quot;division&quot;:&quot;M-CL-PL&quot;,&quot;bw&quot;:&quot;55&quot;,&quot;idx&quot;:&quot;4&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7&quot;,&quot;name&quot;:&quot;Frankie French&quot;,&quot;team&quot;:&quot;0&quot;,&quot;year&quot;:&quot;1990&quot;,&quot;division&quot;:&quot;F-CL-PL&quot;,&quot;bw&quot;:&quot;55&quot;,&quot;idx&quot;:&quot;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5&quot;,&quot;name&quot;:&quot;Gertrude Green&quot;,&quot;team&quot;:&quot;0&quot;,&quot;year&quot;:&quot;1990&quot;,&quot;division&quot;:&quot;F-CL-PL&quot;,&quot;bw&quot;:&quot;55&quot;,&quot;idx&quot;:&quot;6&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Helen Halifax&quot;,&quot;team&quot;:&quot;0&quot;,&quot;year&quot;:&quot;1990&quot;,&quot;division&quot;:&quot;F-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3&quot;,&quot;name&quot;:&quot;Irene Indignant&quot;,&quot;team&quot;:&quot;0&quot;,&quot;year&quot;:&quot;1990&quot;,&quot;division&quot;:&quot;F-CL-PL&quot;,&quot;bw&quot;:&quot;55&quot;,&quot;idx&quot;:&quot;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James James&quot;,&quot;team&quot;:&quot;0&quot;,&quot;year&quot;:&quot;1990&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1&quot;,&quot;name&quot;:&quot;Kelvin Kraft&quot;,&quot;team&quot;:&quot;0&quot;,&quot;year&quot;:&quot;1990&quot;,&quot;division&quot;:&quot;M-CL-PL&quot;,&quot;bw&quot;:&quot;55&quot;,&quot;idx&quot;:&quot;10&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10&quot;,&quot;name&quot;:&quot;Luke Little&quot;,&quot;team&quot;:&quot;0&quot;,&quot;year&quot;:&quot;1990&quot;,&quot;division&quot;:&quot;M-CL-PL&quot;,&quot;bw&quot;:&quot;55&quot;,&quot;idx&quot;:&quot;11&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1&quot;,&quot;name&quot;:&quot;Mike Millions&quot;,&quot;team&quot;:&quot;0&quot;,&quot;year&quot;:&quot;1990&quot;,&quot;division&quot;:&quot;M-CL-PL&quot;,&quot;bw&quot;:&quot;55&quot;,&quot;idx&quot;:&quot;12&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15&quot;,&quot;name&quot;:&quot;Natasha Newbery&quot;,&quot;team&quot;:&quot;0&quot;,&quot;year&quot;:&quot;1990&quot;,&quot;division&quot;:&quot;F-CL-PL&quot;,&quot;bw&quot;:&quot;55&quot;,&quot;idx&quot;:&quot;13&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8&quot;,&quot;name&quot;:&quot;October Oranville&quot;,&quot;team&quot;:&quot;0&quot;,&quot;year&quot;:&quot;1990&quot;,&quot;division&quot;:&quot;F-CL-PL&quot;,&quot;bw&quot;:&quot;55&quot;,&quot;idx&quot;:&quot;1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9&quot;,&quot;name&quot;:&quot;Princess Peachy&quot;,&quot;team&quot;:&quot;0&quot;,&quot;year&quot;:&quot;1990&quot;,&quot;division&quot;:&quot;F-CL-PL&quot;,&quot;bw&quot;:&quot;55&quot;,&quot;idx&quot;:&quot;15&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7&quot;,&quot;name&quot;:&quot;Queenie Quirk&quot;,&quot;team&quot;:&quot;0&quot;,&quot;year&quot;:&quot;1990&quot;,&quot;division&quot;:&quot;F-CL-PL&quot;,&quot;bw&quot;:&quot;55&quot;,&quot;idx&quot;:&quot;1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3&quot;,&quot;name&quot;:&quot;Rachel Reckless&quot;,&quot;team&quot;:&quot;0&quot;,&quot;year&quot;:&quot;1990&quot;,&quot;division&quot;:&quot;F-CL-PL&quot;,&quot;bw&quot;:&quot;55&quot;,&quot;idx&quot;:&quot;17&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22&quot;,&quot;name&quot;:&quot;Steve Smith&quot;,&quot;team&quot;:&quot;0&quot;,&quot;year&quot;:&quot;1990&quot;,&quot;division&quot;:&quot;M-CL-PL&quot;,&quot;bw&quot;:&quot;55&quot;,&quot;idx&quot;:&quot;18&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9&quot;,&quot;name&quot;:&quot;Tyler Taylor&quot;,&quot;team&quot;:&quot;0&quot;,&quot;year&quot;:&quot;1990&quot;,&quot;division&quot;:&quot;M-CL-PL&quot;,&quot;bw&quot;:&quot;55&quot;,&quot;idx&quot;:&quot;19&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3&quot;,&quot;name&quot;:&quot;Ulysses Ultraviolet&quot;,&quot;team&quot;:&quot;0&quot;,&quot;year&quot;:&quot;1990&quot;,&quot;division&quot;:&quot;M-CL-PL&quot;,&quot;bw&quot;:&quot;55&quot;,&quot;idx&quot;:&quot;2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4&quot;,&quot;name&quot;:&quot;Veronica Vertigo&quot;,&quot;team&quot;:&quot;0&quot;,&quot;year&quot;:&quot;1990&quot;,&quot;division&quot;:&quot;F-CL-PL&quot;,&quot;bw&quot;:&quot;55&quot;,&quot;idx&quot;:&quot;21&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20&quot;,&quot;name&quot;:&quot;Wilson Woodford&quot;,&quot;team&quot;:&quot;0&quot;,&quot;year&quot;:&quot;1990&quot;,&quot;division&quot;:&quot;M-CL-PL&quot;,&quot;bw&quot;:&quot;55&quot;,&quot;idx&quot;:&quot;22&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09" xr16:uid="{00000000-0015-0000-FFFF-FFFFC4000000}" name="Connection9" type="4" refreshedVersion="8" saveData="1">
    <webPr xl2000="1" url="http://cotf.zapto.org/getcomps.php" htmlTables="1" htmlFormat="all"/>
  </connection>
  <connection id="210" xr16:uid="{00000000-0015-0000-FFFF-FFFFC5000000}" name="Connection90" type="4" refreshedVersion="8" saveData="1">
    <webPr xl2000="1" url="http://cotf.zapto.org/simpleLifter/integrate/saveload.php?s=excel&amp;q=lifters&amp;comp=ADL" post="excel={&quot;0&quot;:{&quot;group&quot;:&quot;A&quot;,&quot;lot&quot;:&quot;4&quot;,&quot;name&quot;:&quot;Michelle Le&quot;,&quot;team&quot;:&quot;VIC&quot;,&quot;year&quot;:&quot;2000&quot;,&quot;division&quot;:&quot;F-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Pamela Dunrobin&quot;,&quot;team&quot;:&quot;VIC&quot;,&quot;year&quot;:&quot;1985&quot;,&quot;division&quot;:&quot;F-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23&quot;,&quot;name&quot;:&quot;Kimberley Way&quot;,&quot;team&quot;:&quot;VIC&quot;,&quot;year&quot;:&quot;1989&quot;,&quot;division&quot;:&quot;F-CL-PL&quot;,&quot;bw&quot;:&quot;55&quot;,&quot;idx&quot;:&quot;2&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21&quot;,&quot;name&quot;:&quot;Elisabeth Vrazas&quot;,&quot;team&quot;:&quot;VIC&quot;,&quot;year&quot;:&quot;1997&quot;,&quot;division&quot;:&quot;F-CL-PL&quot;,&quot;bw&quot;:&quot;55&quot;,&quot;idx&quot;:&quot;3&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11&quot;,&quot;name&quot;:&quot;Mary Giffin&quot;,&quot;team&quot;:&quot;VIC&quot;,&quot;year&quot;:&quot;1972&quot;,&quot;division&quot;:&quot;F-CL-PL&quot;,&quot;bw&quot;:&quot;55&quot;,&quot;idx&quot;:&quot;4&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0&quot;,&quot;name&quot;:&quot;Susana Chen&quot;,&quot;team&quot;:&quot;VIC&quot;,&quot;year&quot;:&quot;1993&quot;,&quot;division&quot;:&quot;F-CL-PL&quot;,&quot;bw&quot;:&quot;55&quot;,&quot;idx&quot;:&quot;5&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8&quot;,&quot;name&quot;:&quot;Bridgette Desjardins&quot;,&quot;team&quot;:&quot;VIC&quot;,&quot;year&quot;:&quot;1991&quot;,&quot;division&quot;:&quot;F-CL-PL&quot;,&quot;bw&quot;:&quot;55&quot;,&quot;idx&quot;:&quot;6&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6&quot;,&quot;name&quot;:&quot;Ethan Lim&quot;,&quot;team&quot;:&quot;VIC&quot;,&quot;year&quot;:&quot;2002&quot;,&quot;division&quot;:&quot;M-CL-PL&quot;,&quot;bw&quot;:&quot;55&quot;,&quot;idx&quot;:&quot;7&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Avin Pham&quot;,&quot;team&quot;:&quot;VIC&quot;,&quot;year&quot;:&quot;2001&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8&quot;,&quot;name&quot;:&quot;Savith Mudunkotuwa&quot;,&quot;team&quot;:&quot;VIC&quot;,&quot;year&quot;:&quot;2001&quot;,&quot;division&quot;:&quot;M-CL-PL&quot;,&quot;bw&quot;:&quot;55&quot;,&quot;idx&quot;:&quot;9&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3&quot;,&quot;name&quot;:&quot;Brian Ong&quot;,&quot;team&quot;:&quot;VIC&quot;,&quot;year&quot;:&quot;1999&quot;,&quot;division&quot;:&quot;M-CL-PL&quot;,&quot;bw&quot;:&quot;55&quot;,&quot;idx&quot;:&quot;1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20&quot;,&quot;name&quot;:&quot;Jeremy Sharpe&quot;,&quot;team&quot;:&quot;VIC&quot;,&quot;year&quot;:&quot;2006&quot;,&quot;division&quot;:&quot;M-CL-PL&quot;,&quot;bw&quot;:&quot;55&quot;,&quot;idx&quot;:&quot;11&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7&quot;,&quot;name&quot;:&quot;Vivian Dally&quot;,&quot;team&quot;:&quot;VIC&quot;,&quot;year&quot;:&quot;2005&quot;,&quot;division&quot;:&quot;M-CL-PL&quot;,&quot;bw&quot;:&quot;55&quot;,&quot;idx&quot;:&quot;12&quot;,&quot;sr&quot;:&quot;&quot;,&quot;br&quot;:&quot;&quot;,&quot;row&quot;:2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A&quot;,&quot;lot&quot;:&quot;25&quot;,&quot;name&quot;:&quot;Izaak Conquest-Hope&quot;,&quot;team&quot;:&quot;VIC&quot;,&quot;year&quot;:&quot;2008&quot;,&quot;division&quot;:&quot;M-CL-PL&quot;,&quot;bw&quot;:&quot;55&quot;,&quot;idx&quot;:&quot;13&quot;,&quot;sr&quot;:&quot;&quot;,&quot;br&quot;:&quot;&quot;,&quot;row&quot;:2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26&quot;,&quot;name&quot;:&quot;Anastasia Stamatopoulos&quot;,&quot;team&quot;:&quot;VIC&quot;,&quot;year&quot;:&quot;1999&quot;,&quot;division&quot;:&quot;F-CL-PL&quot;,&quot;bw&quot;:&quot;55&quot;,&quot;idx&quot;:&quot;14&quot;,&quot;sr&quot;:&quot;&quot;,&quot;br&quot;:&quot;&quot;,&quot;row&quot;:2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quot;,&quot;name&quot;:&quot;Chelsea Smith&quot;,&quot;team&quot;:&quot;VIC&quot;,&quot;year&quot;:&quot;2002&quot;,&quot;division&quot;:&quot;F-CL-PL&quot;,&quot;bw&quot;:&quot;55&quot;,&quot;idx&quot;:&quot;15&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22&quot;,&quot;name&quot;:&quot;Chrissy Athanasopoulos&quot;,&quot;team&quot;:&quot;VIC&quot;,&quot;year&quot;:&quot;1996&quot;,&quot;division&quot;:&quot;F-CL-PL&quot;,&quot;bw&quot;:&quot;55&quot;,&quot;idx&quot;:&quot;16&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4&quot;,&quot;name&quot;:&quot;Shien Ting Lim&quot;,&quot;team&quot;:&quot;VIC&quot;,&quot;year&quot;:&quot;1997&quot;,&quot;division&quot;:&quot;F-CL-PL&quot;,&quot;bw&quot;:&quot;55&quot;,&quot;idx&quot;:&quot;17&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3&quot;,&quot;name&quot;:&quot;Mia Cullino&quot;,&quot;team&quot;:&quot;VIC&quot;,&quot;year&quot;:&quot;1977&quot;,&quot;division&quot;:&quot;F-CL-BP&quot;,&quot;bw&quot;:&quot;55&quot;,&quot;idx&quot;:&quot;1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12&quot;,&quot;name&quot;:&quot;Katrina Clews&quot;,&quot;team&quot;:&quot;VIC&quot;,&quot;year&quot;:&quot;1995&quot;,&quot;division&quot;:&quot;F-CL-PL&quot;,&quot;bw&quot;:&quot;55&quot;,&quot;idx&quot;:&quot;19&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9&quot;,&quot;name&quot;:&quot;Rachit Singh&quot;,&quot;team&quot;:&quot;VIC&quot;,&quot;year&quot;:&quot;1996&quot;,&quot;division&quot;:&quot;M-CL-PL&quot;,&quot;bw&quot;:&quot;55&quot;,&quot;idx&quot;:&quot;20&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7&quot;,&quot;name&quot;:&quot;Daniel Taylor&quot;,&quot;team&quot;:&quot;VIC&quot;,&quot;year&quot;:&quot;2002&quot;,&quot;division&quot;:&quot;M-CL-PL&quot;,&quot;bw&quot;:&quot;55&quot;,&quot;idx&quot;:&quot;21&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5&quot;,&quot;name&quot;:&quot;Alan Zhou&quot;,&quot;team&quot;:&quot;VIC&quot;,&quot;year&quot;:&quot;2001&quot;,&quot;division&quot;:&quot;M-CL-PL&quot;,&quot;bw&quot;:&quot;55&quot;,&quot;idx&quot;:&quot;22&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9&quot;,&quot;name&quot;:&quot;Marcus Flanagan&quot;,&quot;team&quot;:&quot;VIC&quot;,&quot;year&quot;:&quot;1981&quot;,&quot;division&quot;:&quot;M-CL-PL&quot;,&quot;bw&quot;:&quot;55&quot;,&quot;idx&quot;:&quot;23&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4&quot;:{&quot;group&quot;:&quot;B&quot;,&quot;lot&quot;:&quot;14&quot;,&quot;name&quot;:&quot;Ashley O'Loghlin&quot;,&quot;team&quot;:&quot;VIC&quot;,&quot;year&quot;:&quot;1973&quot;,&quot;division&quot;:&quot;M-CL-PL&quot;,&quot;bw&quot;:&quot;55&quot;,&quot;idx&quot;:&quot;24&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5&quot;:{&quot;group&quot;:&quot;B&quot;,&quot;lot&quot;:&quot;5&quot;,&quot;name&quot;:&quot;James King&quot;,&quot;team&quot;:&quot;VIC&quot;,&quot;year&quot;:&quot;2005&quot;,&quot;division&quot;:&quot;M-CL-PL&quot;,&quot;bw&quot;:&quot;55&quot;,&quot;idx&quot;:&quot;25&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6&quot;:{&quot;group&quot;:&quot;B&quot;,&quot;lot&quot;:&quot;7&quot;,&quot;name&quot;:&quot;ari chenhall&quot;,&quot;team&quot;:&quot;VIC&quot;,&quot;year&quot;:&quot;2006&quot;,&quot;division&quot;:&quot;M-CL-PL&quot;,&quot;bw&quot;:&quot;55&quot;,&quot;idx&quot;:&quot;2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11" xr16:uid="{00000000-0015-0000-FFFF-FFFFC6000000}" name="Connection91" type="4" refreshedVersion="8" saveData="1">
    <webPr xl2000="1" url="http://cotf.zapto.org/simpleLifter/integrate/saveload.php?s=excel&amp;q=setup&amp;comp=ADL" htmlTables="1" htmlFormat="all"/>
  </connection>
  <connection id="212" xr16:uid="{00000000-0015-0000-FFFF-FFFFC7000000}" name="Connection92" type="4" refreshedVersion="8" saveData="1">
    <webPr xl2000="1" url="http://cotf.zapto.org/simpleLifter/integrate/saveload.php?s=excel&amp;q=lifters&amp;comp=ADM" post="excel={&quot;0&quot;:{&quot;group&quot;:&quot;A&quot;,&quot;lot&quot;:&quot;14&quot;,&quot;name&quot;:&quot;Kyle Mackay&quot;,&quot;team&quot;:&quot;VIC&quot;,&quot;year&quot;:&quot;1998&quot;,&quot;division&quot;:&quot;M-CL-PL&quot;,&quot;bw&quot;:&quot;55&quot;,&quot;idx&quot;:&quot;0&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3&quot;,&quot;name&quot;:&quot;David Vien&quot;,&quot;team&quot;:&quot;VIC&quot;,&quot;year&quot;:&quot;1989&quot;,&quot;division&quot;:&quot;M-CL-PL&quot;,&quot;bw&quot;:&quot;55&quot;,&quot;idx&quot;:&quot;1&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8&quot;,&quot;name&quot;:&quot;Kyle Conquest-Hope&quot;,&quot;team&quot;:&quot;VIC&quot;,&quot;year&quot;:&quot;1993&quot;,&quot;division&quot;:&quot;M-CL-PL&quot;,&quot;bw&quot;:&quot;55&quot;,&quot;idx&quot;:&quot;2&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7&quot;,&quot;name&quot;:&quot;Julian Dusting&quot;,&quot;team&quot;:&quot;VIC&quot;,&quot;year&quot;:&quot;1998&quot;,&quot;division&quot;:&quot;M-CL-PL&quot;,&quot;bw&quot;:&quot;55&quot;,&quot;idx&quot;:&quot;3&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5&quot;,&quot;name&quot;:&quot;Eric Chau&quot;,&quot;team&quot;:&quot;VIC&quot;,&quot;year&quot;:&quot;1998&quot;,&quot;division&quot;:&quot;M-CL-PL&quot;,&quot;bw&quot;:&quot;55&quot;,&quot;idx&quot;:&quot;4&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8&quot;,&quot;name&quot;:&quot;Edwin Gao&quot;,&quot;team&quot;:&quot;VIC&quot;,&quot;year&quot;:&quot;2002&quot;,&quot;division&quot;:&quot;M-CL-PL&quot;,&quot;bw&quot;:&quot;55&quot;,&quot;idx&quot;:&quot;5&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19&quot;,&quot;name&quot;:&quot;Conor Warren&quot;,&quot;team&quot;:&quot;VIC&quot;,&quot;year&quot;:&quot;2000&quot;,&quot;division&quot;:&quot;M-CL-PL&quot;,&quot;bw&quot;:&quot;55&quot;,&quot;idx&quot;:&quot;6&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4&quot;,&quot;name&quot;:&quot;Kevin Ho&quot;,&quot;team&quot;:&quot;VIC&quot;,&quot;year&quot;:&quot;2001&quot;,&quot;division&quot;:&quot;M-CL-PL&quot;,&quot;bw&quot;:&quot;55&quot;,&quot;idx&quot;:&quot;7&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2&quot;,&quot;name&quot;:&quot;Jeffrey Tan&quot;,&quot;team&quot;:&quot;VIC&quot;,&quot;year&quot;:&quot;2000&quot;,&quot;division&quot;:&quot;M-CL-PL&quot;,&quot;bw&quot;:&quot;55&quot;,&quot;idx&quot;:&quot;8&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21&quot;,&quot;name&quot;:&quot;Brodie Palmieri&quot;,&quot;team&quot;:&quot;VIC&quot;,&quot;year&quot;:&quot;2004&quot;,&quot;division&quot;:&quot;M-CL-PL&quot;,&quot;bw&quot;:&quot;55&quot;,&quot;idx&quot;:&quot;9&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B&quot;,&quot;lot&quot;:&quot;23&quot;,&quot;name&quot;:&quot;Daine McDonald&quot;,&quot;team&quot;:&quot;VIC&quot;,&quot;year&quot;:&quot;1982&quot;,&quot;division&quot;:&quot;M-CL-PL&quot;,&quot;bw&quot;:&quot;55&quot;,&quot;idx&quot;:&quot;10&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B&quot;,&quot;lot&quot;:&quot;24&quot;,&quot;name&quot;:&quot;James DallOste&quot;,&quot;team&quot;:&quot;VIC&quot;,&quot;year&quot;:&quot;1999&quot;,&quot;division&quot;:&quot;M-CL-PL&quot;,&quot;bw&quot;:&quot;55&quot;,&quot;idx&quot;:&quot;11&quot;,&quot;sr&quot;:&quot;&quot;,&quot;br&quot;:&quot;&quot;,&quot;row&quot;:2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B&quot;,&quot;lot&quot;:&quot;1&quot;,&quot;name&quot;:&quot;Nick Thompson&quot;,&quot;team&quot;:&quot;VIC&quot;,&quot;year&quot;:&quot;1981&quot;,&quot;division&quot;:&quot;M-CL-PL&quot;,&quot;bw&quot;:&quot;55&quot;,&quot;idx&quot;:&quot;1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3&quot;,&quot;name&quot;:&quot;Damien Hezekiah&quot;,&quot;team&quot;:&quot;VIC&quot;,&quot;year&quot;:&quot;1976&quot;,&quot;division&quot;:&quot;M-CL-PL&quot;,&quot;bw&quot;:&quot;55&quot;,&quot;idx&quot;:&quot;13&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10&quot;,&quot;name&quot;:&quot;Adrian Davis&quot;,&quot;team&quot;:&quot;VIC&quot;,&quot;year&quot;:&quot;1971&quot;,&quot;division&quot;:&quot;M-CL-PL&quot;,&quot;bw&quot;:&quot;55&quot;,&quot;idx&quot;:&quot;14&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22&quot;,&quot;name&quot;:&quot;Clay Bennett&quot;,&quot;team&quot;:&quot;VIC&quot;,&quot;year&quot;:&quot;1995&quot;,&quot;division&quot;:&quot;M-CL-PL&quot;,&quot;bw&quot;:&quot;55&quot;,&quot;idx&quot;:&quot;15&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9&quot;,&quot;name&quot;:&quot;Lloyd Bernardo&quot;,&quot;team&quot;:&quot;VIC&quot;,&quot;year&quot;:&quot;1992&quot;,&quot;division&quot;:&quot;M-CL-PL&quot;,&quot;bw&quot;:&quot;55&quot;,&quot;idx&quot;:&quot;16&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0&quot;,&quot;name&quot;:&quot;Bryson Clews&quot;,&quot;team&quot;:&quot;VIC&quot;,&quot;year&quot;:&quot;1995&quot;,&quot;division&quot;:&quot;M-CL-PL&quot;,&quot;bw&quot;:&quot;55&quot;,&quot;idx&quot;:&quot;17&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15&quot;,&quot;name&quot;:&quot;Ethan Rowles&quot;,&quot;team&quot;:&quot;VIC&quot;,&quot;year&quot;:&quot;2004&quot;,&quot;division&quot;:&quot;M-CL-PL&quot;,&quot;bw&quot;:&quot;55&quot;,&quot;idx&quot;:&quot;18&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6&quot;,&quot;name&quot;:&quot;Dean Sabawo&quot;,&quot;team&quot;:&quot;VIC&quot;,&quot;year&quot;:&quot;1998&quot;,&quot;division&quot;:&quot;M-CL-PL&quot;,&quot;bw&quot;:&quot;55&quot;,&quot;idx&quot;:&quot;1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7&quot;,&quot;name&quot;:&quot;Thomas Burdick&quot;,&quot;team&quot;:&quot;VIC&quot;,&quot;year&quot;:&quot;1993&quot;,&quot;division&quot;:&quot;M-CL-PL&quot;,&quot;bw&quot;:&quot;55&quot;,&quot;idx&quot;:&quot;20&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6&quot;,&quot;name&quot;:&quot;Jarrid Gunn&quot;,&quot;team&quot;:&quot;VIC&quot;,&quot;year&quot;:&quot;1997&quot;,&quot;division&quot;:&quot;M-CL-PL&quot;,&quot;bw&quot;:&quot;55&quot;,&quot;idx&quot;:&quot;2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11&quot;,&quot;name&quot;:&quot;Daniel Lee&quot;,&quot;team&quot;:&quot;VIC&quot;,&quot;year&quot;:&quot;1995&quot;,&quot;division&quot;:&quot;M-CL-PL&quot;,&quot;bw&quot;:&quot;55&quot;,&quot;idx&quot;:&quot;22&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3&quot;:{&quot;group&quot;:&quot;B&quot;,&quot;lot&quot;:&quot;12&quot;,&quot;name&quot;:&quot;Anthony Kourakis&quot;,&quot;team&quot;:&quot;VIC&quot;,&quot;year&quot;:&quot;1996&quot;,&quot;division&quot;:&quot;M-CL-PL&quot;,&quot;bw&quot;:&quot;55&quot;,&quot;idx&quot;:&quot;23&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 id="213" xr16:uid="{00000000-0015-0000-FFFF-FFFFC8000000}" name="Connection93" type="4" refreshedVersion="8" saveData="1">
    <webPr xl2000="1" url="http://cotf.zapto.org/simpleLifter/integrate/saveload.php?s=excel&amp;q=setup&amp;comp=ADM" htmlTables="1" htmlFormat="all"/>
  </connection>
  <connection id="214" xr16:uid="{00000000-0015-0000-FFFF-FFFFC9000000}" name="Connection94" type="4" refreshedVersion="8" saveData="1">
    <webPr xl2000="1" url="http://cotf.zapto.org/simpleLifter/integrate/saveload.php?s=excel&amp;q=setup&amp;comp=AAD" htmlTables="1" htmlFormat="all"/>
  </connection>
  <connection id="215" xr16:uid="{00000000-0015-0000-FFFF-FFFFCA000000}" name="Connection95" type="4" refreshedVersion="8" saveData="1">
    <webPr xl2000="1" url="http://cotf.zapto.org/getcomps.php" htmlTables="1" htmlFormat="all"/>
  </connection>
  <connection id="216" xr16:uid="{00000000-0015-0000-FFFF-FFFFCB000000}" name="Connection96" type="4" refreshedVersion="8" saveData="1">
    <webPr xl2000="1" url="http://cotf.zapto.org/getcomps.php" htmlTables="1" htmlFormat="all"/>
  </connection>
  <connection id="217" xr16:uid="{00000000-0015-0000-FFFF-FFFFCC000000}" name="Connection97" type="4" refreshedVersion="8" saveData="1">
    <webPr xl2000="1" url="http://cotf.zapto.org/getcomps.php" htmlTables="1" htmlFormat="all"/>
  </connection>
  <connection id="218" xr16:uid="{00000000-0015-0000-FFFF-FFFFCD000000}" name="Connection98" type="4" refreshedVersion="8" saveData="1">
    <webPr xl2000="1" url="http://cotf.zapto.org/getcomps.php" htmlTables="1" htmlFormat="all"/>
  </connection>
  <connection id="219" xr16:uid="{00000000-0015-0000-FFFF-FFFFCE000000}" name="Connection99" type="4" refreshedVersion="8" saveData="1">
    <webPr xl2000="1" url="http://cotf.zapto.org/simpleLifter/integrate/saveload.php?s=excel&amp;q=lifters&amp;comp=AAD&amp;pwd=AAD" post="excel={&quot;0&quot;:{&quot;group&quot;:&quot;A&quot;,&quot;lot&quot;:&quot;4&quot;,&quot;name&quot;:&quot;Allan Appleby&quot;,&quot;team&quot;:&quot;0&quot;,&quot;year&quot;:&quot;1990&quot;,&quot;division&quot;:&quot;M-CL-PL&quot;,&quot;bw&quot;:&quot;55&quot;,&quot;idx&quot;:&quot;0&quot;,&quot;sr&quot;:&quot;&quot;,&quot;br&quot;:&quot;&quot;,&quot;row&quot;: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quot;:{&quot;group&quot;:&quot;A&quot;,&quot;lot&quot;:&quot;16&quot;,&quot;name&quot;:&quot;Bryan Brown&quot;,&quot;team&quot;:&quot;0&quot;,&quot;year&quot;:&quot;1990&quot;,&quot;division&quot;:&quot;M-CL-PL&quot;,&quot;bw&quot;:&quot;55&quot;,&quot;idx&quot;:&quot;1&quot;,&quot;sr&quot;:&quot;&quot;,&quot;br&quot;:&quot;&quot;,&quot;row&quot;:1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quot;:{&quot;group&quot;:&quot;A&quot;,&quot;lot&quot;:&quot;1&quot;,&quot;name&quot;:&quot;Charlotte Cupcake&quot;,&quot;team&quot;:&quot;0&quot;,&quot;year&quot;:&quot;1990&quot;,&quot;division&quot;:&quot;F-CL-PL&quot;,&quot;bw&quot;:&quot;55&quot;,&quot;idx&quot;:&quot;2&quot;,&quot;sr&quot;:&quot;&quot;,&quot;br&quot;:&quot;&quot;,&quot;row&quot;: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3&quot;:{&quot;group&quot;:&quot;A&quot;,&quot;lot&quot;:&quot;18&quot;,&quot;name&quot;:&quot;Daniel Deedily&quot;,&quot;team&quot;:&quot;0&quot;,&quot;year&quot;:&quot;1990&quot;,&quot;division&quot;:&quot;M-CL-PL&quot;,&quot;bw&quot;:&quot;55&quot;,&quot;idx&quot;:&quot;3&quot;,&quot;sr&quot;:&quot;&quot;,&quot;br&quot;:&quot;&quot;,&quot;row&quot;:1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4&quot;:{&quot;group&quot;:&quot;A&quot;,&quot;lot&quot;:&quot;2&quot;,&quot;name&quot;:&quot;Engelbert Epstein&quot;,&quot;team&quot;:&quot;0&quot;,&quot;year&quot;:&quot;1990&quot;,&quot;division&quot;:&quot;M-CL-PL&quot;,&quot;bw&quot;:&quot;55&quot;,&quot;idx&quot;:&quot;4&quot;,&quot;sr&quot;:&quot;&quot;,&quot;br&quot;:&quot;&quot;,&quot;row&quot;: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5&quot;:{&quot;group&quot;:&quot;A&quot;,&quot;lot&quot;:&quot;17&quot;,&quot;name&quot;:&quot;Frankie French&quot;,&quot;team&quot;:&quot;0&quot;,&quot;year&quot;:&quot;1990&quot;,&quot;division&quot;:&quot;F-CL-PL&quot;,&quot;bw&quot;:&quot;55&quot;,&quot;idx&quot;:&quot;5&quot;,&quot;sr&quot;:&quot;&quot;,&quot;br&quot;:&quot;&quot;,&quot;row&quot;:1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6&quot;:{&quot;group&quot;:&quot;A&quot;,&quot;lot&quot;:&quot;5&quot;,&quot;name&quot;:&quot;Gertrude Green&quot;,&quot;team&quot;:&quot;0&quot;,&quot;year&quot;:&quot;1990&quot;,&quot;division&quot;:&quot;F-CL-PL&quot;,&quot;bw&quot;:&quot;55&quot;,&quot;idx&quot;:&quot;6&quot;,&quot;sr&quot;:&quot;&quot;,&quot;br&quot;:&quot;&quot;,&quot;row&quot;: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7&quot;:{&quot;group&quot;:&quot;A&quot;,&quot;lot&quot;:&quot;12&quot;,&quot;name&quot;:&quot;Helen Halifax&quot;,&quot;team&quot;:&quot;0&quot;,&quot;year&quot;:&quot;1990&quot;,&quot;division&quot;:&quot;F-CL-PL&quot;,&quot;bw&quot;:&quot;55&quot;,&quot;idx&quot;:&quot;7&quot;,&quot;sr&quot;:&quot;&quot;,&quot;br&quot;:&quot;&quot;,&quot;row&quot;:1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8&quot;:{&quot;group&quot;:&quot;A&quot;,&quot;lot&quot;:&quot;3&quot;,&quot;name&quot;:&quot;Irene Indignant&quot;,&quot;team&quot;:&quot;0&quot;,&quot;year&quot;:&quot;1990&quot;,&quot;division&quot;:&quot;F-CL-PL&quot;,&quot;bw&quot;:&quot;55&quot;,&quot;idx&quot;:&quot;8&quot;,&quot;sr&quot;:&quot;&quot;,&quot;br&quot;:&quot;&quot;,&quot;row&quot;: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9&quot;:{&quot;group&quot;:&quot;A&quot;,&quot;lot&quot;:&quot;6&quot;,&quot;name&quot;:&quot;James James&quot;,&quot;team&quot;:&quot;0&quot;,&quot;year&quot;:&quot;1990&quot;,&quot;division&quot;:&quot;M-CL-PL&quot;,&quot;bw&quot;:&quot;55&quot;,&quot;idx&quot;:&quot;9&quot;,&quot;sr&quot;:&quot;&quot;,&quot;br&quot;:&quot;&quot;,&quot;row&quot;:6,&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0&quot;:{&quot;group&quot;:&quot;A&quot;,&quot;lot&quot;:&quot;11&quot;,&quot;name&quot;:&quot;Kelvin Kraft&quot;,&quot;team&quot;:&quot;0&quot;,&quot;year&quot;:&quot;1990&quot;,&quot;division&quot;:&quot;M-CL-PL&quot;,&quot;bw&quot;:&quot;55&quot;,&quot;idx&quot;:&quot;10&quot;,&quot;sr&quot;:&quot;&quot;,&quot;br&quot;:&quot;&quot;,&quot;row&quot;:1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1&quot;:{&quot;group&quot;:&quot;A&quot;,&quot;lot&quot;:&quot;10&quot;,&quot;name&quot;:&quot;Luke Little&quot;,&quot;team&quot;:&quot;0&quot;,&quot;year&quot;:&quot;1990&quot;,&quot;division&quot;:&quot;M-CL-PL&quot;,&quot;bw&quot;:&quot;55&quot;,&quot;idx&quot;:&quot;11&quot;,&quot;sr&quot;:&quot;&quot;,&quot;br&quot;:&quot;&quot;,&quot;row&quot;:1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2&quot;:{&quot;group&quot;:&quot;A&quot;,&quot;lot&quot;:&quot;21&quot;,&quot;name&quot;:&quot;Mike Millions&quot;,&quot;team&quot;:&quot;0&quot;,&quot;year&quot;:&quot;1990&quot;,&quot;division&quot;:&quot;M-CL-PL&quot;,&quot;bw&quot;:&quot;55&quot;,&quot;idx&quot;:&quot;12&quot;,&quot;sr&quot;:&quot;&quot;,&quot;br&quot;:&quot;&quot;,&quot;row&quot;:21,&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3&quot;:{&quot;group&quot;:&quot;B&quot;,&quot;lot&quot;:&quot;15&quot;,&quot;name&quot;:&quot;Natasha Newbery&quot;,&quot;team&quot;:&quot;0&quot;,&quot;year&quot;:&quot;1990&quot;,&quot;division&quot;:&quot;F-CL-PL&quot;,&quot;bw&quot;:&quot;55&quot;,&quot;idx&quot;:&quot;13&quot;,&quot;sr&quot;:&quot;&quot;,&quot;br&quot;:&quot;&quot;,&quot;row&quot;:15,&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4&quot;:{&quot;group&quot;:&quot;B&quot;,&quot;lot&quot;:&quot;8&quot;,&quot;name&quot;:&quot;October Oranville&quot;,&quot;team&quot;:&quot;0&quot;,&quot;year&quot;:&quot;1990&quot;,&quot;division&quot;:&quot;F-CL-PL&quot;,&quot;bw&quot;:&quot;55&quot;,&quot;idx&quot;:&quot;14&quot;,&quot;sr&quot;:&quot;&quot;,&quot;br&quot;:&quot;&quot;,&quot;row&quot;:8,&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5&quot;:{&quot;group&quot;:&quot;B&quot;,&quot;lot&quot;:&quot;19&quot;,&quot;name&quot;:&quot;Princess Peachy&quot;,&quot;team&quot;:&quot;0&quot;,&quot;year&quot;:&quot;1990&quot;,&quot;division&quot;:&quot;F-CL-PL&quot;,&quot;bw&quot;:&quot;55&quot;,&quot;idx&quot;:&quot;15&quot;,&quot;sr&quot;:&quot;&quot;,&quot;br&quot;:&quot;&quot;,&quot;row&quot;:1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6&quot;:{&quot;group&quot;:&quot;B&quot;,&quot;lot&quot;:&quot;7&quot;,&quot;name&quot;:&quot;Queenie Quirk&quot;,&quot;team&quot;:&quot;0&quot;,&quot;year&quot;:&quot;1990&quot;,&quot;division&quot;:&quot;F-CL-PL&quot;,&quot;bw&quot;:&quot;55&quot;,&quot;idx&quot;:&quot;16&quot;,&quot;sr&quot;:&quot;&quot;,&quot;br&quot;:&quot;&quot;,&quot;row&quot;:7,&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7&quot;:{&quot;group&quot;:&quot;B&quot;,&quot;lot&quot;:&quot;23&quot;,&quot;name&quot;:&quot;Rachel Reckless&quot;,&quot;team&quot;:&quot;0&quot;,&quot;year&quot;:&quot;1990&quot;,&quot;division&quot;:&quot;F-CL-PL&quot;,&quot;bw&quot;:&quot;55&quot;,&quot;idx&quot;:&quot;17&quot;,&quot;sr&quot;:&quot;&quot;,&quot;br&quot;:&quot;&quot;,&quot;row&quot;:2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8&quot;:{&quot;group&quot;:&quot;B&quot;,&quot;lot&quot;:&quot;22&quot;,&quot;name&quot;:&quot;Steve Smith&quot;,&quot;team&quot;:&quot;0&quot;,&quot;year&quot;:&quot;1990&quot;,&quot;division&quot;:&quot;M-CL-PL&quot;,&quot;bw&quot;:&quot;55&quot;,&quot;idx&quot;:&quot;18&quot;,&quot;sr&quot;:&quot;&quot;,&quot;br&quot;:&quot;&quot;,&quot;row&quot;:22,&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19&quot;:{&quot;group&quot;:&quot;B&quot;,&quot;lot&quot;:&quot;9&quot;,&quot;name&quot;:&quot;Tyler Taylor&quot;,&quot;team&quot;:&quot;0&quot;,&quot;year&quot;:&quot;1990&quot;,&quot;division&quot;:&quot;M-CL-PL&quot;,&quot;bw&quot;:&quot;55&quot;,&quot;idx&quot;:&quot;19&quot;,&quot;sr&quot;:&quot;&quot;,&quot;br&quot;:&quot;&quot;,&quot;row&quot;:9,&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0&quot;:{&quot;group&quot;:&quot;B&quot;,&quot;lot&quot;:&quot;13&quot;,&quot;name&quot;:&quot;Ulysses Ultraviolet&quot;,&quot;team&quot;:&quot;0&quot;,&quot;year&quot;:&quot;1990&quot;,&quot;division&quot;:&quot;M-CL-PL&quot;,&quot;bw&quot;:&quot;55&quot;,&quot;idx&quot;:&quot;20&quot;,&quot;sr&quot;:&quot;&quot;,&quot;br&quot;:&quot;&quot;,&quot;row&quot;:13,&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1&quot;:{&quot;group&quot;:&quot;B&quot;,&quot;lot&quot;:&quot;14&quot;,&quot;name&quot;:&quot;Veronica Vertigo&quot;,&quot;team&quot;:&quot;0&quot;,&quot;year&quot;:&quot;1990&quot;,&quot;division&quot;:&quot;F-CL-PL&quot;,&quot;bw&quot;:&quot;55&quot;,&quot;idx&quot;:&quot;21&quot;,&quot;sr&quot;:&quot;&quot;,&quot;br&quot;:&quot;&quot;,&quot;row&quot;:14,&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quot;22&quot;:{&quot;group&quot;:&quot;B&quot;,&quot;lot&quot;:&quot;20&quot;,&quot;name&quot;:&quot;Wilson Woodford&quot;,&quot;team&quot;:&quot;0&quot;,&quot;year&quot;:&quot;1990&quot;,&quot;division&quot;:&quot;M-CL-PL&quot;,&quot;bw&quot;:&quot;55&quot;,&quot;idx&quot;:&quot;22&quot;,&quot;sr&quot;:&quot;&quot;,&quot;br&quot;:&quot;&quot;,&quot;row&quot;:20,&quot;sq&quot;:{&quot;a1&quot;:&quot;&quot;,&quot;a2&quot;:&quot;&quot;,&quot;a3&quot;:&quot;&quot;,&quot;s1&quot;:0,&quot;s2&quot;:0,&quot;s3&quot;:0},&quot;bp&quot;:{&quot;a1&quot;:&quot;&quot;,&quot;a2&quot;:&quot;&quot;,&quot;a3&quot;:&quot;&quot;,&quot;s1&quot;:0,&quot;s2&quot;:0,&quot;s3&quot;:0},&quot;dl&quot;:{&quot;a1&quot;:&quot;&quot;,&quot;a2&quot;:&quot;&quot;,&quot;a3&quot;:&quot;&quot;,&quot;s1&quot;:0,&quot;s2&quot;:0,&quot;s3&quot;:0},&quot;sortOrder&quot;:0,&quot;act&quot;:{}}}" htmlTables="1" htmlFormat="all"/>
  </connection>
</connections>
</file>

<file path=xl/sharedStrings.xml><?xml version="1.0" encoding="utf-8"?>
<sst xmlns="http://schemas.openxmlformats.org/spreadsheetml/2006/main" count="432" uniqueCount="130">
  <si>
    <t>A</t>
  </si>
  <si>
    <t>"group"</t>
  </si>
  <si>
    <t>"lot"</t>
  </si>
  <si>
    <t>"name"</t>
  </si>
  <si>
    <t>"team"</t>
  </si>
  <si>
    <t>"year"</t>
  </si>
  <si>
    <t>"division"</t>
  </si>
  <si>
    <t>"idx"</t>
  </si>
  <si>
    <t>"sr"</t>
  </si>
  <si>
    <t>"br"</t>
  </si>
  <si>
    <t>First Name</t>
  </si>
  <si>
    <t>Lot</t>
  </si>
  <si>
    <t>Team</t>
  </si>
  <si>
    <t>DOB Year</t>
  </si>
  <si>
    <t>Age</t>
  </si>
  <si>
    <t>Group</t>
  </si>
  <si>
    <t>Competition</t>
  </si>
  <si>
    <t>Change?</t>
  </si>
  <si>
    <t>startGroup</t>
  </si>
  <si>
    <t>plates</t>
  </si>
  <si>
    <t>lifterCount</t>
  </si>
  <si>
    <t>auto</t>
  </si>
  <si>
    <t>countUp</t>
  </si>
  <si>
    <t>showLights</t>
  </si>
  <si>
    <t>BP</t>
  </si>
  <si>
    <t>activeLi</t>
  </si>
  <si>
    <t>activeGp</t>
  </si>
  <si>
    <t>autoRefs</t>
  </si>
  <si>
    <t>stream</t>
  </si>
  <si>
    <t>openOnly</t>
  </si>
  <si>
    <t>CAPO</t>
  </si>
  <si>
    <t>activeRow</t>
  </si>
  <si>
    <t>bar</t>
  </si>
  <si>
    <t>25,20,15,10,5,2.5,1.25,0.5,0.25</t>
  </si>
  <si>
    <t>How much does the bar + collars weigh?</t>
  </si>
  <si>
    <t>Starting group (usually A)</t>
  </si>
  <si>
    <t>Ignore this one as it's updated when you upload depending on the number per competition</t>
  </si>
  <si>
    <t>active Row? (just set it to 0 to start)</t>
  </si>
  <si>
    <t>What plates do you have (note I don't know how to draw 50s so this is greyed out, just leave it)</t>
  </si>
  <si>
    <t>Automatically progress - eg when you click goodlift go to the next lifter, attempt, flight, lift. Default is TRUE otherwise you need to manually click</t>
  </si>
  <si>
    <t>TRUE = count up groups in alphabetical order(A-Z)? If FALSE will count from Z to A.</t>
  </si>
  <si>
    <t>Show the lights on the simpleLifter sheet?. Default is TRUE</t>
  </si>
  <si>
    <t>Bench Press only competition? Default is FALSE</t>
  </si>
  <si>
    <t>Stream updates? Note you need this if runnign the plates &amp; lights display remotely. Default is TRUE</t>
  </si>
  <si>
    <t>Open age groups only? Or use the DOB Year to calculate age groups (IPF spec). Default is FALSE</t>
  </si>
  <si>
    <t>Comp Name</t>
  </si>
  <si>
    <t>Comp Access Code</t>
  </si>
  <si>
    <t>Letters</t>
  </si>
  <si>
    <t>i</t>
  </si>
  <si>
    <t>Rack SQ</t>
  </si>
  <si>
    <t>Rack BP</t>
  </si>
  <si>
    <t>SQ1</t>
  </si>
  <si>
    <t>BP1</t>
  </si>
  <si>
    <t>DL1</t>
  </si>
  <si>
    <t>Gender</t>
  </si>
  <si>
    <t>"sq":{"a1":999.5,"a2":"","a3":"","s1":0,"s2":0,"s3":0},"bp":{"a1":888.5,"a2":"","a3":"","s1":0,"s2":0,"s3":0},"dl":{"a1":555.5,"a2":"","a3":"","s1":0,"s2":0,"s3":0},"sortOrder":0,"act":{}}</t>
  </si>
  <si>
    <t>EQ</t>
  </si>
  <si>
    <t>PL</t>
  </si>
  <si>
    <t>M</t>
  </si>
  <si>
    <t>5/5</t>
  </si>
  <si>
    <t>Surname / Full Name</t>
  </si>
  <si>
    <t>Testy</t>
  </si>
  <si>
    <t>McTestface</t>
  </si>
  <si>
    <t>AAA</t>
  </si>
  <si>
    <t>mW</t>
  </si>
  <si>
    <t>fW</t>
  </si>
  <si>
    <t>xW</t>
  </si>
  <si>
    <t>56,59,66,74,83,93,105,120</t>
  </si>
  <si>
    <r>
      <rPr>
        <b/>
        <sz val="11"/>
        <color theme="1"/>
        <rFont val="Calibri"/>
        <family val="2"/>
        <scheme val="minor"/>
      </rPr>
      <t>m</t>
    </r>
    <r>
      <rPr>
        <sz val="11"/>
        <color theme="1"/>
        <rFont val="Calibri"/>
        <family val="2"/>
        <scheme val="minor"/>
      </rPr>
      <t xml:space="preserve">ale </t>
    </r>
    <r>
      <rPr>
        <b/>
        <sz val="11"/>
        <color theme="1"/>
        <rFont val="Calibri"/>
        <family val="2"/>
        <scheme val="minor"/>
      </rPr>
      <t>W</t>
    </r>
    <r>
      <rPr>
        <sz val="11"/>
        <color theme="1"/>
        <rFont val="Calibri"/>
        <family val="2"/>
        <scheme val="minor"/>
      </rPr>
      <t>eight classes separated by comma (ignore  SHW). Subjunior/junior only is the first one. If not required, set it to 0 (eg 0,52,60…)</t>
    </r>
  </si>
  <si>
    <r>
      <rPr>
        <b/>
        <sz val="11"/>
        <color theme="1"/>
        <rFont val="Calibri"/>
        <family val="2"/>
        <scheme val="minor"/>
      </rPr>
      <t>f</t>
    </r>
    <r>
      <rPr>
        <sz val="11"/>
        <color theme="1"/>
        <rFont val="Calibri"/>
        <family val="2"/>
        <scheme val="minor"/>
      </rPr>
      <t xml:space="preserve">emale </t>
    </r>
    <r>
      <rPr>
        <b/>
        <sz val="11"/>
        <color theme="1"/>
        <rFont val="Calibri"/>
        <family val="2"/>
        <scheme val="minor"/>
      </rPr>
      <t>W</t>
    </r>
    <r>
      <rPr>
        <sz val="11"/>
        <color theme="1"/>
        <rFont val="Calibri"/>
        <family val="2"/>
        <scheme val="minor"/>
      </rPr>
      <t>eight classes separated by comma (ignore  SHW). Subjunior/junior only is the first one. If not required, set it to 0 (eg 0,52,60…)</t>
    </r>
  </si>
  <si>
    <t>TRUE = Glossbrenner. FALSE = IPF Points</t>
  </si>
  <si>
    <r>
      <t>M</t>
    </r>
    <r>
      <rPr>
        <b/>
        <sz val="11"/>
        <color theme="1"/>
        <rFont val="Calibri"/>
        <family val="2"/>
        <scheme val="minor"/>
      </rPr>
      <t>X</t>
    </r>
    <r>
      <rPr>
        <sz val="11"/>
        <color theme="1"/>
        <rFont val="Calibri"/>
        <family val="2"/>
        <scheme val="minor"/>
      </rPr>
      <t xml:space="preserve"> </t>
    </r>
    <r>
      <rPr>
        <b/>
        <sz val="11"/>
        <color theme="1"/>
        <rFont val="Calibri"/>
        <family val="2"/>
        <scheme val="minor"/>
      </rPr>
      <t>W</t>
    </r>
    <r>
      <rPr>
        <sz val="11"/>
        <color theme="1"/>
        <rFont val="Calibri"/>
        <family val="2"/>
        <scheme val="minor"/>
      </rPr>
      <t>eight classes (ignore SHW) Subjunior/junior only is the first one. If not required, set it to 0 (eg 0,52,60…)</t>
    </r>
  </si>
  <si>
    <t>setuprow</t>
  </si>
  <si>
    <t>JSON:</t>
  </si>
  <si>
    <t>THIS IS AN EXAMPLE DO NOT DELETE</t>
  </si>
  <si>
    <t>Automatically progress based on referee calls? Default is FALSE as it is hard for the tech desk to work alongside it right now</t>
  </si>
  <si>
    <t>Active Group? (leave to be the same as the start group in 99% of instances)</t>
  </si>
  <si>
    <t>Weigh In</t>
  </si>
  <si>
    <t>IPF:</t>
  </si>
  <si>
    <t>Competition Setup Page</t>
  </si>
  <si>
    <t>43,47,52,57,63,69,76,84</t>
  </si>
  <si>
    <t>B</t>
  </si>
  <si>
    <t>testttt</t>
  </si>
  <si>
    <t>AAD</t>
  </si>
  <si>
    <t>Mock Meet</t>
  </si>
  <si>
    <t>AIH</t>
  </si>
  <si>
    <t>Active Lift (leave at "Weigh In" or "SQ-1" in 99% of instances)</t>
  </si>
  <si>
    <t xml:space="preserve">These columns are all optional, use them if you're weighing in the lifters and using this tool to import weigh in data as well
</t>
  </si>
  <si>
    <t>testttt = 1234 if you want to practice</t>
  </si>
  <si>
    <t xml:space="preserve">testttt,AAD,Mock Meet,AIH,UPA MO State Championship,AIX,sgplchamp,AJG,sgplchamp Session 1,AJH,sgplchamp,AJI,sgplchamp Session 1,AJJ,sgplchamp Session 2,AJK,2023 APU NSW Open Women's State Championships,AJL,2023 APU NSW Open Women's State Championships Day 1 Session 1,AJM,2023 APU NSW Open Women's State Championships Day 1 Session 2,AJN,2023 APU NSW Open Women's State Championships Day 2 Session 2,AJO,2023 APU NSW Open Women's State Championships Day 2 Session 1,AJP, </t>
  </si>
  <si>
    <t>UPA MO State Championship</t>
  </si>
  <si>
    <t>AIX</t>
  </si>
  <si>
    <t>sgplchamp</t>
  </si>
  <si>
    <t>AJG</t>
  </si>
  <si>
    <t>sgplchamp Session 1</t>
  </si>
  <si>
    <t>AJH</t>
  </si>
  <si>
    <t>AJI</t>
  </si>
  <si>
    <t>AJJ</t>
  </si>
  <si>
    <t>sgplchamp Session 2</t>
  </si>
  <si>
    <t>AJK</t>
  </si>
  <si>
    <t>2023 APU NSW Open Women's State Championships</t>
  </si>
  <si>
    <t>AJL</t>
  </si>
  <si>
    <t>2023 APU NSW Open Women's State Championships Day 1 Session 1</t>
  </si>
  <si>
    <t>AJM</t>
  </si>
  <si>
    <t>2023 APU NSW Open Women's State Championships Day 1 Session 2</t>
  </si>
  <si>
    <t>AJN</t>
  </si>
  <si>
    <t>2023 APU NSW Open Women's State Championships Day 2 Session 2</t>
  </si>
  <si>
    <t>AJO</t>
  </si>
  <si>
    <t>2023 APU NSW Open Women's State Championships Day 2 Session 1</t>
  </si>
  <si>
    <t>AJP</t>
  </si>
  <si>
    <t>{"bar":25,"startGroup":"B","plates":[25,20,15,10,5,2.5,1.25,0.5,0.25],"lifterCount":28,"auto":true,"countUp":false,"showLights":true,"BP":false,"activeLi":"Weigh In","activeGp":"B","autoRefs":false,"stream":true,"activeRow":0,"openOnly":true,"CAPO":false,"mW":[56,59,66,74,83,93,105,120,1000],"fW":[43,47,52,57,63,69,76,84,1000],"xW":[56,59,66,74,83,93,105,120,1000]}</t>
  </si>
  <si>
    <t>WC</t>
  </si>
  <si>
    <t>"wc"</t>
  </si>
  <si>
    <t>Gear</t>
  </si>
  <si>
    <t>Lifts</t>
  </si>
  <si>
    <t>"gender"</t>
  </si>
  <si>
    <t>"gear"</t>
  </si>
  <si>
    <t>"lifts"</t>
  </si>
  <si>
    <t>pbS</t>
  </si>
  <si>
    <t>pbB</t>
  </si>
  <si>
    <t>pbD</t>
  </si>
  <si>
    <t>pbT</t>
  </si>
  <si>
    <t>"pbS"</t>
  </si>
  <si>
    <t>"pbB"</t>
  </si>
  <si>
    <t>"pbD"</t>
  </si>
  <si>
    <t>"pbT"</t>
  </si>
  <si>
    <t>bw</t>
  </si>
  <si>
    <t>{"liftList":[{"group":"B","lot":15,"name":"Samantha Fahey","team":"NB","year":"2000","gender":"F","gear":"CL","lifts":"PL","division":"F-CL-PL","wc":"69","bw":"69","pb":[127.5,60,130,317.5],"idx":"0","sr":"0","br":"0","row":15,"sq":{"a1":0,"a2":"","a3":"","s1":0,"s2":0,"s3":0},"bp":{"a1":0,"a2":"","a3":"","s1":0,"s2":0,"s3":0},"dl":{"a1":0,"a2":"","a3":"","s1":0,"s2":0,"s3":0},"sortOrder":0,"act":{}},_x000D_
{"group":"B","lot":83,"name":"Kirsten O'Hara","team":"","year":"1996","gender":"F","gear":"CL","lifts":"PL","division":"F-CL-PL","wc":"69","bw":"69","pb":[117.5,67.5,147.5,327.5],"idx":"1","sr":"0","br":"0","row":83,"sq":{"a1":0,"a2":"","a3":"","s1":0,"s2":0,"s3":0},"bp":{"a1":0,"a2":"","a3":"","s1":0,"s2":0,"s3":0},"dl":{"a1":0,"a2":"","a3":"","s1":0,"s2":0,"s3":0},"sortOrder":0,"act":{}},_x000D_
{"group":"B","lot":64,"name":"Vavani Sionillo","team":"ALP","year":"1996","gender":"F","gear":"CL","lifts":"PL","division":"F-CL-PL","wc":"69","bw":"69","pb":[120,77.5,155,347.5],"idx":"2","sr":"0","br":"0","row":64,"sq":{"a1":0,"a2":"","a3":"","s1":0,"s2":0,"s3":0},"bp":{"a1":0,"a2":"","a3":"","s1":0,"s2":0,"s3":0},"dl":{"a1":0,"a2":"","a3":"","s1":0,"s2":0,"s3":0},"sortOrder":0,"act":{}},_x000D_
{"group":"B","lot":62,"name":"Bernadette Chuan","team":"","year":"1998","gender":"F","gear":"CL","lifts":"PL","division":"F-CL-PL","wc":"69","bw":"69","pb":[140,80,150,370],"idx":"3","sr":"0","br":"0","row":62,"sq":{"a1":0,"a2":"","a3":"","s1":0,"s2":0,"s3":0},"bp":{"a1":0,"a2":"","a3":"","s1":0,"s2":0,"s3":0},"dl":{"a1":0,"a2":"","a3":"","s1":0,"s2":0,"s3":0},"sortOrder":0,"act":{}},_x000D_
{"group":"B","lot":81,"name":"Katelyn Attia","team":"","year":"1995","gender":"F","gear":"CL","lifts":"PL","division":"F-CL-PL","wc":"69","bw":"69","pb":[160,82.5,200,442.5],"idx":"4","sr":"0","br":"0","row":81,"sq":{"a1":0,"a2":"","a3":"","s1":0,"s2":0,"s3":0},"bp":{"a1":0,"a2":"","a3":"","s1":0,"s2":0,"s3":0},"dl":{"a1":0,"a2":"","a3":"","s1":0,"s2":0,"s3":0},"sortOrder":0,"act":{}},_x000D_
{"group":"B","lot":37,"name":"Bianca Thornton","team":"ALP","year":"1992","gender":"F","gear":"CL","lifts":"PL","division":"F-CL-PL","wc":"69","bw":"69","pb":[147.5,72.5,180,397.5],"idx":"5","sr":"0","br":"0","row":37,"sq":{"a1":0,"a2":"","a3":"","s1":0,"s2":0,"s3":0},"bp":{"a1":0,"a2":"","a3":"","s1":0,"s2":0,"s3":0},"dl":{"a1":0,"a2":"","a3":"","s1":0,"s2":0,"s3":0},"sortOrder":0,"act":{}},_x000D_
{"group":"B","lot":11,"name":"Michelle Nguyen","team":"XGYM","year":"1994","gender":"F","gear":"CL","lifts":"PL","division":"F-CL-PL","wc":"69","bw":"69","pb":[117.5,60,135,307.5],"idx":"6","sr":"0","br":"0","row":11,"sq":{"a1":0,"a2":"","a3":"","s1":0,"s2":0,"s3":0},"bp":{"a1":0,"a2":"","a3":"","s1":0,"s2":0,"s3":0},"dl":{"a1":0,"a2":"","a3":"","s1":0,"s2":0,"s3":0},"sortOrder":0,"act":{}},_x000D_
{"group":"B","lot":24,"name":"Elaine Zhang","team":"ALP","year":"1995","gender":"F","gear":"CL","lifts":"PL","division":"F-CL-PL","wc":"69","bw":"69","pb":[112.5,50,140,302.5],"idx":"7","sr":"0","br":"0","row":24,"sq":{"a1":0,"a2":"","a3":"","s1":0,"s2":0,"s3":0},"bp":{"a1":0,"a2":"","a3":"","s1":0,"s2":0,"s3":0},"dl":{"a1":0,"a2":"","a3":"","s1":0,"s2":0,"s3":0},"sortOrder":0,"act":{}},_x000D_
{"group":"B","lot":20,"name":"Vivienne nguyen","team":"","year":"1996","gender":"F","gear":"CL","lifts":"PL","division":"F-CL-PL","wc":"69","bw":"69","pb":[182.5,90,162.5,435],"idx":"8","sr":"0","br":"0","row":20,"sq":{"a1":0,"a2":"","a3":"","s1":0,"s2":0,"s3":0},"bp":{"a1":0,"a2":"","a3":"","s1":0,"s2":0,"s3":0},"dl":{"a1":0,"a2":"","a3":"","s1":0,"s2":0,"s3":0},"sortOrder":0,"act":{}},_x000D_
{"group":"B","lot":78,"name":"Zana Tun","team":"OMNI","year":"1998","gender":"F","gear":"CL","lifts":"PL","division":"F-CL-PL","wc":"69","bw":"69","pb":[107.5,52.5,137.5,297.5],"idx":"9","sr":"0","br":"0","row":78,"sq":{"a1":0,"a2":"","a3":"","s1":0,"s2":0,"s3":0},"bp":{"a1":0,"a2":"","a3":"","s1":0,"s2":0,"s3":0},"dl":{"a1":0,"a2":"","a3":"","s1":0,"s2":0,"s3":0},"sortOrder":0,"act":{}},_x000D_
{"group":"B","lot":12,"name":"Renee Coleman","team":"","year":"1993","gender":"F","gear":"CL","lifts":"PL","division":"F-CL-PL","wc":"69","bw":"69","pb":[120,75,160,355],"idx":"10","sr":"0","br":"0","row":12,"sq":{"a1":0,"a2":"","a3":"","s1":0,"s2":0,"s3":0},"bp":{"a1":0,"a2":"","a3":"","s1":0,"s2":0,"s3":0},"dl":{"a1":0,"a2":"","a3":"","s1":0,"s2":0,"s3":0},"sortOrder":0,"act":{}},_x000D_
{"group":"B","lot":66,"name":"Marah Bonifacio","team":"AA","year":"1996","gender":"F","gear":"CL","lifts":"PL","division":"F-CL-PL","wc":"69","bw":"69","pb":[140,75,157.5,370],"idx":"11","sr":"0","br":"0","row":66,"sq":{"a1":0,"a2":"","a3":"","s1":0,"s2":0,"s3":0},"bp":{"a1":0,"a2":"","a3":"","s1":0,"s2":0,"s3":0},"dl":{"a1":0,"a2":"","a3":"","s1":0,"s2":0,"s3":0},"sortOrder":0,"act":{}},_x000D_
{"group":"B","lot":77,"name":"Maybelle Thieu","team":"","year":"0","gender":"F","gear":"CL","lifts":"PL","division":"F-CL-PL","wc":"69","bw":"69","pb":[162.5,75,185,422.5],"idx":"12","sr":"0","br":"0","row":77,"sq":{"a1":0,"a2":"","a3":"","s1":0,"s2":0,"s3":0},"bp":{"a1":0,"a2":"","a3":"","s1":0,"s2":0,"s3":0},"dl":{"a1":0,"a2":"","a3":"","s1":0,"s2":0,"s3":0},"sortOrder":0,"act":{}},_x000D_
{"group":"B","lot":63,"name":"Mary Kmeir","team":"","year":"0","gender":"F","gear":"CL","lifts":"PL","division":"F-CL-PL","wc":"69","bw":"69","pb":[125,60,145,330],"idx":"13","sr":"0","br":"0","row":63,"sq":{"a1":0,"a2":"","a3":"","s1":0,"s2":0,"s3":0},"bp":{"a1":0,"a2":"","a3":"","s1":0,"s2":0,"s3":0},"dl":{"a1":0,"a2":"","a3":"","s1":0,"s2":0,"s3":0},"sortOrder":0,"act":{}},_x000D_
{"group":"A","lot":7,"name":"Kristy Hayes","team":"NB","year":"1986","gender":"F","gear":"CL","lifts":"PL","division":"F-CL-PL","wc":"76","bw":"76","pb":[125,62.5,130,317.5],"idx":"14","sr":"0","br":"0","row":7,"sq":{"a1":0,"a2":"","a3":"","s1":0,"s2":0,"s3":0},"bp":{"a1":0,"a2":"","a3":"","s1":0,"s2":0,"s3":0},"dl":{"a1":0,"a2":"","a3":"","s1":0,"s2":0,"s3":0},"sortOrder":0,"act":{}},_x000D_
{"group":"A","lot":54,"name":"Sally Corrigan","team":"","year":"1999","gender":"F","gear":"CL","lifts":"PL","division":"F-CL-PL","wc":"76","bw":"76","pb":[150,95,182.5,427.5],"idx":"15","sr":"0","br":"0","row":54,"sq":{"a1":0,"a2":"","a3":"","s1":0,"s2":0,"s3":0},"bp":{"a1":0,"a2":"","a3":"","s1":0,"s2":0,"s3":0},"dl":{"a1":0,"a2":"","a3":"","s1":0,"s2":0,"s3":0},"sortOrder":0,"act":{}},_x000D_
{"group":"A","lot":40,"name":"Aeva Petranovic","team":"XGYM","year":"1999","gender":"F","gear":"CL","lifts":"PL","division":"F-CL-PL","wc":"76","bw":"76","pb":[127.5,70,170,367.5],"idx":"16","sr":"0","br":"0","row":40,"sq":{"a1":0,"a2":"","a3":"","s1":0,"s2":0,"s3":0},"bp":{"a1":0,"a2":"","a3":"","s1":0,"s2":0,"s3":0},"dl":{"a1":0,"a2":"","a3":"","s1":0,"s2":0,"s3":0},"sortOrder":0,"act":{}},_x000D_
{"group":"A","lot":21,"name":"Kathryn Gough","team":"","year":"1995","gender":"F","gear":"CL","lifts":"PL","division":"F-CL-PL","wc":"76","bw":"76","pb":[0,0,0,0],"idx":"17","sr":"0","br":"0","row":21,"sq":{"a1":0,"a2":"","a3":"","s1":0,"s2":0,"s3":0},"bp":{"a1":0,"a2":"","a3":"","s1":0,"s2":0,"s3":0},"dl":{"a1":0,"a2":"","a3":"","s1":0,"s2":0,"s3":0},"sortOrder":0,"act":{}},_x000D_
{"group":"A","lot":5,"name":"Marlee Ly","team":"","year":"1999","gender":"F","gear":"CL","lifts":"PL","division":"F-CL-PL","wc":"76","bw":"76","pb":[145,67.5,157.5,370],"idx":"18","sr":"0","br":"0","row":5,"sq":{"a1":0,"a2":"","a3":"","s1":0,"s2":0,"s3":0},"bp":{"a1":0,"a2":"","a3":"","s1":0,"s2":0,"s3":0},"dl":{"a1":0,"a2":"","a3":"","s1":0,"s2":0,"s3":0},"sortOrder":0,"act":{}},_x000D_
{"group":"A","lot":16,"name":"Kayla Douglas","team":"","year":"1997","gender":"F","gear":"CL","lifts":"PL","division":"F-CL-PL","wc":"76","bw":"76","pb":[120,57.5,130,307.5],"idx":"19","sr":"0","br":"0","row":16,"sq":{"a1":0,"a2":"","a3":"","s1":0,"s2":0,"s3":0},"bp":{"a1":0,"a2":"","a3":"","s1":0,"s2":0,"s3":0},"dl":{"a1":0,"a2":"","a3":"","s1":0,"s2":0,"s3":0},"sortOrder":0,"act":{}},_x000D_
{"group":"A","lot":1,"name":"Anne Zhang","team":"NB","year":"1997","gender":"F","gear":"CL","lifts":"PL","division":"F-CL-PL","wc":"76","bw":"76","pb":[170,82.5,190,442.5],"idx":"20","sr":"0","br":"0","row":1,"sq":{"a1":0,"a2":"","a3":"","s1":0,"s2":0,"s3":0},"bp":{"a1":0,"a2":"","a3":"","s1":0,"s2":0,"s3":0},"dl":{"a1":0,"a2":"","a3":"","s1":0,"s2":0,"s3":0},"sortOrder":0,"act":{}},_x000D_
{"group":"A","lot":47,"name":"Joanne Henry","team":"NB","year":"1987","gender":"F","gear":"CL","lifts":"PL","division":"F-CL-PL","wc":"76","bw":"76","pb":[175,90,182.5,445],"idx":"21","sr":"0","br":"0","row":47,"sq":{"a1":0,"a2":"","a3":"","s1":0,"s2":0,"s3":0},"bp":{"a1":0,"a2":"","a3":"","s1":0,"s2":0,"s3":0},"dl":{"a1":0,"a2":"","a3":"","s1":0,"s2":0,"s3":0},"sortOrder":0,"act":{}},_x000D_
{"group":"A","lot":65,"name":"Rachele Griffin","team":"","year":"1994","gender":"F","gear":"CL","lifts":"PL","division":"F-CL-PL","wc":"76","bw":"76","pb":[170,107.5,192.5,470],"idx":"22","sr":"0","br":"0","row":65,"sq":{"a1":0,"a2":"","a3":"","s1":0,"s2":0,"s3":0},"bp":{"a1":0,"a2":"","a3":"","s1":0,"s2":0,"s3":0},"dl":{"a1":0,"a2":"","a3":"","s1":0,"s2":0,"s3":0},"sortOrder":0,"act":{}},_x000D_
{"group":"A","lot":71,"name":"Tabitha Croton","team":"","year":"1995","gender":"F","gear":"CL","lifts":"PL","division":"F-CL-PL","wc":"76","bw":"76","pb":[152.5,92.5,185,430],"idx":"23","sr":"0","br":"0","row":71,"sq":{"a1":0,"a2":"","a3":"","s1":0,"s2":0,"s3":0},"bp":{"a1":0,"a2":"","a3":"","s1":0,"s2":0,"s3":0},"dl":{"a1":0,"a2":"","a3":"","s1":0,"s2":0,"s3":0},"sortOrder":0,"act":{}},_x000D_
{"group":"A","lot":31,"name":"Holly Ryan","team":"","year":"1999","gender":"F","gear":"CL","lifts":"PL","division":"F-CL-PL","wc":"76","bw":"76","pb":[137.5,67.5,162.5,367.5],"idx":"24","sr":"0","br":"0","row":31,"sq":{"a1":0,"a2":"","a3":"","s1":0,"s2":0,"s3":0},"bp":{"a1":0,"a2":"","a3":"","s1":0,"s2":0,"s3":0},"dl":{"a1":0,"a2":"","a3":"","s1":0,"s2":0,"s3":0},"sortOrder":0,"act":{}},_x000D_
{"group":"A","lot":46,"name":"Ashleigh Long","team":"CCB","year":"1986","gender":"F","gear":"CL","lifts":"PL","division":"F-CL-PL","wc":"76","bw":"76","pb":[130,85,170,377.5],"idx":"25","sr":"0","br":"0","row":46,"sq":{"a1":0,"a2":"","a3":"","s1":0,"s2":0,"s3":0},"bp":{"a1":0,"a2":"","a3":"","s1":0,"s2":0,"s3":0},"dl":{"a1":0,"a2":"","a3":"","s1":0,"s2":0,"s3":0},"sortOrder":0,"act":{}},_x000D_
{"group":"A","lot":39,"name":"Leizlee Dajao","team":"OMNI","year":"1994","gender":"F","gear":"CL","lifts":"PL","division":"F-CL-PL","wc":"76","bw":"76","pb":[130,70,145,345],"idx":"26","sr":"0","br":"0","row":39,"sq":{"a1":0,"a2":"","a3":"","s1":0,"s2":0,"s3":0},"bp":{"a1":0,"a2":"","a3":"","s1":0,"s2":0,"s3":0},"dl":{"a1":0,"a2":"","a3":"","s1":0,"s2":0,"s3":0},"sortOrder":0,"act":{}},_x000D_
{"group":"A","lot":19,"name":"Sarah Trifogli","team":"ALP","year":"1987","gender":"F","gear":"CL","lifts":"PL","division":"F-CL-PL","wc":"63","bw":"63","pb":[140,77.5,172.5,390],"idx":"27","sr":"0","br":"0","row":19,"sq":{"a1":0,"a2":"","a3":"","s1":0,"s2":0,"s3":0},"bp":{"a1":0,"a2":"","a3":"","s1":0,"s2":0,"s3":0},"dl":{"a1":0,"a2":"","a3":"","s1":0,"s2":0,"s3":0},"sortOrder":0,"act":{}}]}</t>
  </si>
  <si>
    <t>wc</t>
  </si>
  <si>
    <r>
      <rPr>
        <b/>
        <sz val="11"/>
        <color theme="1"/>
        <rFont val="Calibri"/>
        <family val="2"/>
        <scheme val="minor"/>
      </rPr>
      <t>INSTRUCTIONS</t>
    </r>
    <r>
      <rPr>
        <sz val="11"/>
        <color theme="1"/>
        <rFont val="Calibri"/>
        <family val="2"/>
        <scheme val="minor"/>
      </rPr>
      <t xml:space="preserve">: This is a bulk upload tool. Load the competition choices using the button on the left and </t>
    </r>
    <r>
      <rPr>
        <b/>
        <sz val="11"/>
        <color theme="1"/>
        <rFont val="Calibri"/>
        <family val="2"/>
        <scheme val="minor"/>
      </rPr>
      <t>ensure you enter the password on the Comps tab</t>
    </r>
    <r>
      <rPr>
        <sz val="11"/>
        <color theme="1"/>
        <rFont val="Calibri"/>
        <family val="2"/>
        <scheme val="minor"/>
      </rPr>
      <t xml:space="preserve">. It will not give you an error message if you get the password wrong. Fill out columns E through V, with W through AB being optional for post weigh-in, then click Upload Data. The macro will work down column E (starting in row 5) until it gets to the 300th row. Please note if you delete or insert rows the macro will have a heartattack! Please just add lifters at the bottom, don't insert a row in the middle of  your data
</t>
    </r>
    <r>
      <rPr>
        <b/>
        <sz val="11"/>
        <color theme="1"/>
        <rFont val="Calibri"/>
        <family val="2"/>
        <scheme val="minor"/>
      </rPr>
      <t xml:space="preserve">Once your competition has begun, do not use this spreadsheet as it will OVERWRITE EVERYTHING for that competition if you have a password and data
</t>
    </r>
    <r>
      <rPr>
        <sz val="11"/>
        <color theme="1"/>
        <rFont val="Calibri"/>
        <family val="2"/>
        <scheme val="minor"/>
      </rPr>
      <t xml:space="preserve">Copy and paste data, or input it in manually, but it must be in plain text, refer to the examples and comments in Row 4. For weight class (wc, column V) add 1kg if they're a SHW. 
</t>
    </r>
    <r>
      <rPr>
        <b/>
        <sz val="11"/>
        <color theme="1"/>
        <rFont val="Calibri"/>
        <family val="2"/>
        <scheme val="minor"/>
      </rPr>
      <t xml:space="preserve">Lot Randomiser: </t>
    </r>
    <r>
      <rPr>
        <sz val="11"/>
        <color theme="1"/>
        <rFont val="Calibri"/>
        <family val="2"/>
        <scheme val="minor"/>
      </rPr>
      <t xml:space="preserve"> If you want to generate random lot numbers from 1-any number, select the range you wish and press RANDOMISE. ie. select all of the lot number cells for your competition, press randomise range, and it will give you random lot numbers
</t>
    </r>
    <r>
      <rPr>
        <b/>
        <sz val="11"/>
        <color theme="1"/>
        <rFont val="Calibri"/>
        <family val="2"/>
        <scheme val="minor"/>
      </rPr>
      <t>Reminder, this tool will overwrite EVERYTHING if you press the upload data button so be careful when you use it!</t>
    </r>
    <r>
      <rPr>
        <sz val="11"/>
        <color theme="1"/>
        <rFont val="Calibri"/>
        <family val="2"/>
        <scheme val="minor"/>
      </rPr>
      <t xml:space="preserve">
</t>
    </r>
    <r>
      <rPr>
        <b/>
        <sz val="11"/>
        <color theme="1"/>
        <rFont val="Calibri"/>
        <family val="2"/>
        <scheme val="minor"/>
      </rPr>
      <t xml:space="preserve">
Setup </t>
    </r>
    <r>
      <rPr>
        <sz val="11"/>
        <color theme="1"/>
        <rFont val="Calibri"/>
        <family val="2"/>
        <scheme val="minor"/>
      </rPr>
      <t xml:space="preserve">data is on the Setup tab. You shouldn't need to change much though.
</t>
    </r>
    <r>
      <rPr>
        <b/>
        <sz val="11"/>
        <color theme="1"/>
        <rFont val="Calibri"/>
        <family val="2"/>
        <scheme val="minor"/>
      </rPr>
      <t xml:space="preserve">PB data. </t>
    </r>
    <r>
      <rPr>
        <sz val="11"/>
        <color theme="1"/>
        <rFont val="Calibri"/>
        <family val="2"/>
        <scheme val="minor"/>
      </rPr>
      <t>If you click 'get openpowerlifting PB data' it will pull the lifter's best SBDT from openpowerlifting.org and insert it into columns R,S,T and U. From there you can review the best attempts and make manual changes if necessary. Giveaways - blank (can't find lifter or need to disambiguate with a number), or weird decimals meaning the data was in pounds and is probably the wrong lifter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</si>
</sst>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sz val="8"/>
      <name val="Calibri"/>
      <family val="2"/>
      <scheme val="minor"/>
    </font>
    <font>
      <b/>
      <sz val="11"/>
      <color theme="1"/>
      <name val="Calibri"/>
      <family val="2"/>
      <scheme val="minor"/>
    </font>
    <font>
      <sz val="26"/>
      <color theme="1"/>
      <name val="Calibri"/>
      <family val="2"/>
      <scheme val="minor"/>
    </font>
    <font>
      <b/>
      <sz val="10"/>
      <color theme="1"/>
      <name val="Calibri"/>
      <family val="2"/>
      <scheme val="minor"/>
    </font>
    <font>
      <sz val="11"/>
      <color rgb="FF000000"/>
      <name val="Calibri"/>
      <family val="2"/>
    </font>
    <font>
      <sz val="10"/>
      <color rgb="FF000000"/>
      <name val="Calibri Light"/>
      <family val="2"/>
      <scheme val="major"/>
    </font>
    <font>
      <sz val="10"/>
      <color rgb="FF3F3F3F"/>
      <name val="Calibri Light"/>
      <family val="2"/>
      <scheme val="major"/>
    </font>
    <font>
      <sz val="10"/>
      <color theme="1"/>
      <name val="Calibri Light"/>
      <family val="2"/>
      <scheme val="major"/>
    </font>
  </fonts>
  <fills count="28">
    <fill>
      <patternFill patternType="none"/>
    </fill>
    <fill>
      <patternFill patternType="gray125"/>
    </fill>
    <fill>
      <patternFill patternType="solid">
        <fgColor theme="0" tint="-0.14999847407452621"/>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rgb="FF000000"/>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9" tint="0.59999389629810485"/>
        <bgColor rgb="FF000000"/>
      </patternFill>
    </fill>
    <fill>
      <patternFill patternType="solid">
        <fgColor theme="9" tint="0.59999389629810485"/>
        <bgColor indexed="64"/>
      </patternFill>
    </fill>
    <fill>
      <patternFill patternType="solid">
        <fgColor theme="7" tint="0.59999389629810485"/>
        <bgColor rgb="FF000000"/>
      </patternFill>
    </fill>
    <fill>
      <patternFill patternType="solid">
        <fgColor theme="7" tint="0.59999389629810485"/>
        <bgColor indexed="64"/>
      </patternFill>
    </fill>
    <fill>
      <patternFill patternType="solid">
        <fgColor theme="2" tint="-0.249977111117893"/>
        <bgColor rgb="FF000000"/>
      </patternFill>
    </fill>
    <fill>
      <patternFill patternType="solid">
        <fgColor theme="2" tint="-0.249977111117893"/>
        <bgColor indexed="64"/>
      </patternFill>
    </fill>
    <fill>
      <patternFill patternType="solid">
        <fgColor theme="3" tint="0.59999389629810485"/>
        <bgColor rgb="FF000000"/>
      </patternFill>
    </fill>
    <fill>
      <patternFill patternType="solid">
        <fgColor theme="3" tint="0.59999389629810485"/>
        <bgColor indexed="64"/>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5" tint="0.59999389629810485"/>
        <bgColor indexed="64"/>
      </patternFill>
    </fill>
    <fill>
      <patternFill patternType="solid">
        <fgColor theme="5" tint="0.59999389629810485"/>
        <bgColor rgb="FF000000"/>
      </patternFill>
    </fill>
    <fill>
      <patternFill patternType="solid">
        <fgColor theme="5" tint="0.39997558519241921"/>
        <bgColor indexed="64"/>
      </patternFill>
    </fill>
    <fill>
      <patternFill patternType="solid">
        <fgColor theme="5" tint="0.39997558519241921"/>
        <bgColor rgb="FF000000"/>
      </patternFill>
    </fill>
    <fill>
      <patternFill patternType="solid">
        <fgColor theme="7" tint="0.39997558519241921"/>
        <bgColor indexed="64"/>
      </patternFill>
    </fill>
    <fill>
      <patternFill patternType="solid">
        <fgColor theme="7" tint="0.39997558519241921"/>
        <bgColor rgb="FF000000"/>
      </patternFill>
    </fill>
    <fill>
      <patternFill patternType="solid">
        <fgColor theme="1" tint="0.34998626667073579"/>
        <bgColor rgb="FF000000"/>
      </patternFill>
    </fill>
    <fill>
      <patternFill patternType="solid">
        <fgColor theme="9" tint="0.39997558519241921"/>
        <bgColor indexed="64"/>
      </patternFill>
    </fill>
    <fill>
      <patternFill patternType="solid">
        <fgColor theme="0" tint="-0.249977111117893"/>
        <bgColor rgb="FF000000"/>
      </patternFill>
    </fill>
  </fills>
  <borders count="2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
    <xf numFmtId="0" fontId="0" fillId="0" borderId="0"/>
  </cellStyleXfs>
  <cellXfs count="149">
    <xf numFmtId="0" fontId="0" fillId="0" borderId="0" xfId="0"/>
    <xf numFmtId="0" fontId="0" fillId="0" borderId="0" xfId="0" applyAlignment="1">
      <alignment horizontal="center"/>
    </xf>
    <xf numFmtId="14" fontId="0" fillId="0" borderId="0" xfId="0" applyNumberFormat="1"/>
    <xf numFmtId="22" fontId="0" fillId="0" borderId="0" xfId="0" applyNumberFormat="1"/>
    <xf numFmtId="0" fontId="0" fillId="0" borderId="0" xfId="0" applyAlignment="1">
      <alignment horizontal="center" vertical="center"/>
    </xf>
    <xf numFmtId="0" fontId="2" fillId="0" borderId="0" xfId="0" applyFont="1"/>
    <xf numFmtId="0" fontId="0" fillId="2" borderId="0" xfId="0" applyFill="1" applyAlignment="1">
      <alignment horizontal="center"/>
    </xf>
    <xf numFmtId="0" fontId="0" fillId="2" borderId="0" xfId="0" applyFill="1"/>
    <xf numFmtId="0" fontId="0" fillId="2" borderId="1" xfId="0" applyFill="1" applyBorder="1" applyAlignment="1">
      <alignment horizontal="center"/>
    </xf>
    <xf numFmtId="0" fontId="0" fillId="2" borderId="4" xfId="0" applyFill="1" applyBorder="1" applyAlignment="1">
      <alignment horizontal="center"/>
    </xf>
    <xf numFmtId="1" fontId="0" fillId="2" borderId="4" xfId="0" applyNumberFormat="1" applyFill="1" applyBorder="1" applyAlignment="1">
      <alignment horizontal="center"/>
    </xf>
    <xf numFmtId="0" fontId="0" fillId="2" borderId="5" xfId="0" applyFill="1" applyBorder="1" applyAlignment="1">
      <alignment horizontal="center"/>
    </xf>
    <xf numFmtId="0" fontId="2" fillId="2" borderId="7" xfId="0" applyFont="1" applyFill="1" applyBorder="1" applyAlignment="1">
      <alignment horizontal="center"/>
    </xf>
    <xf numFmtId="0" fontId="2" fillId="2" borderId="8" xfId="0" applyFont="1" applyFill="1" applyBorder="1" applyAlignment="1">
      <alignment horizontal="center"/>
    </xf>
    <xf numFmtId="0" fontId="2" fillId="2" borderId="6" xfId="0" applyFont="1" applyFill="1" applyBorder="1" applyAlignment="1">
      <alignment horizontal="center"/>
    </xf>
    <xf numFmtId="0" fontId="0" fillId="2" borderId="2" xfId="0" applyFill="1" applyBorder="1" applyAlignment="1">
      <alignment horizontal="center"/>
    </xf>
    <xf numFmtId="0" fontId="2" fillId="0" borderId="6" xfId="0" applyFont="1" applyBorder="1"/>
    <xf numFmtId="0" fontId="2" fillId="0" borderId="7" xfId="0" applyFont="1" applyBorder="1"/>
    <xf numFmtId="0" fontId="2" fillId="0" borderId="8" xfId="0" applyFont="1" applyBorder="1"/>
    <xf numFmtId="0" fontId="2" fillId="2" borderId="0" xfId="0" applyFont="1" applyFill="1" applyAlignment="1">
      <alignment horizontal="center"/>
    </xf>
    <xf numFmtId="49" fontId="0" fillId="0" borderId="0" xfId="0" applyNumberFormat="1" applyAlignment="1">
      <alignment horizontal="center" vertical="center"/>
    </xf>
    <xf numFmtId="0" fontId="2" fillId="0" borderId="0" xfId="0" applyFont="1" applyAlignment="1">
      <alignment horizontal="center" vertical="center"/>
    </xf>
    <xf numFmtId="0" fontId="0" fillId="0" borderId="10" xfId="0" applyBorder="1" applyAlignment="1">
      <alignment horizontal="center" vertical="center"/>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0" borderId="0" xfId="0" applyAlignment="1">
      <alignment horizontal="left"/>
    </xf>
    <xf numFmtId="0" fontId="0" fillId="0" borderId="0" xfId="0" applyAlignment="1">
      <alignment horizontal="left" vertical="center"/>
    </xf>
    <xf numFmtId="0" fontId="0" fillId="8" borderId="9" xfId="0" applyFill="1" applyBorder="1" applyAlignment="1">
      <alignment horizontal="center" vertical="center"/>
    </xf>
    <xf numFmtId="0" fontId="0" fillId="8" borderId="2" xfId="0" applyFill="1" applyBorder="1" applyAlignment="1">
      <alignment horizontal="center" vertical="center"/>
    </xf>
    <xf numFmtId="0" fontId="0" fillId="8" borderId="11" xfId="0" applyFill="1" applyBorder="1" applyAlignment="1">
      <alignment horizontal="center" vertical="center"/>
    </xf>
    <xf numFmtId="0" fontId="0" fillId="7" borderId="13" xfId="0" applyFill="1" applyBorder="1"/>
    <xf numFmtId="0" fontId="0" fillId="7" borderId="14" xfId="0" applyFill="1" applyBorder="1"/>
    <xf numFmtId="0" fontId="0" fillId="7" borderId="15" xfId="0" applyFill="1" applyBorder="1"/>
    <xf numFmtId="0" fontId="0" fillId="7" borderId="20" xfId="0" applyFill="1" applyBorder="1"/>
    <xf numFmtId="0" fontId="0" fillId="7" borderId="0" xfId="0" applyFill="1"/>
    <xf numFmtId="0" fontId="0" fillId="7" borderId="21" xfId="0" applyFill="1" applyBorder="1"/>
    <xf numFmtId="0" fontId="0" fillId="7" borderId="16" xfId="0" applyFill="1" applyBorder="1"/>
    <xf numFmtId="0" fontId="0" fillId="7" borderId="17" xfId="0" applyFill="1" applyBorder="1"/>
    <xf numFmtId="0" fontId="0" fillId="7" borderId="18" xfId="0" applyFill="1" applyBorder="1"/>
    <xf numFmtId="0" fontId="4" fillId="2" borderId="7" xfId="0" applyFont="1" applyFill="1" applyBorder="1" applyAlignment="1">
      <alignment horizontal="center" vertical="center"/>
    </xf>
    <xf numFmtId="0" fontId="4" fillId="2" borderId="8" xfId="0" applyFont="1" applyFill="1" applyBorder="1" applyAlignment="1">
      <alignment horizontal="center" vertical="center"/>
    </xf>
    <xf numFmtId="0" fontId="4" fillId="6" borderId="8" xfId="0" applyFont="1" applyFill="1" applyBorder="1" applyAlignment="1">
      <alignment horizontal="center" vertical="center"/>
    </xf>
    <xf numFmtId="49" fontId="4" fillId="6" borderId="8" xfId="0" applyNumberFormat="1" applyFont="1" applyFill="1" applyBorder="1" applyAlignment="1">
      <alignment horizontal="center" vertical="center"/>
    </xf>
    <xf numFmtId="0" fontId="4" fillId="2" borderId="6" xfId="0" applyFont="1" applyFill="1" applyBorder="1" applyAlignment="1">
      <alignment horizontal="left" vertical="center"/>
    </xf>
    <xf numFmtId="0" fontId="0" fillId="0" borderId="0" xfId="0" applyAlignment="1">
      <alignment wrapText="1"/>
    </xf>
    <xf numFmtId="49" fontId="0" fillId="2" borderId="1" xfId="0" applyNumberFormat="1" applyFill="1" applyBorder="1" applyAlignment="1">
      <alignment horizont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3" fillId="4" borderId="16" xfId="0" applyFont="1" applyFill="1" applyBorder="1" applyAlignment="1">
      <alignment horizontal="center" vertical="center"/>
    </xf>
    <xf numFmtId="0" fontId="3" fillId="4" borderId="17" xfId="0" applyFont="1" applyFill="1" applyBorder="1" applyAlignment="1">
      <alignment horizontal="center" vertical="center"/>
    </xf>
    <xf numFmtId="0" fontId="3" fillId="4" borderId="18" xfId="0" applyFont="1" applyFill="1" applyBorder="1" applyAlignment="1">
      <alignment horizontal="center" vertical="center"/>
    </xf>
    <xf numFmtId="0" fontId="6" fillId="25" borderId="22" xfId="0" applyFont="1" applyFill="1" applyBorder="1" applyAlignment="1">
      <alignment horizontal="center" vertical="center"/>
    </xf>
    <xf numFmtId="0" fontId="6" fillId="25" borderId="23" xfId="0" applyFont="1" applyFill="1" applyBorder="1" applyAlignment="1">
      <alignment horizontal="center" vertical="center" readingOrder="1"/>
    </xf>
    <xf numFmtId="0" fontId="6" fillId="25" borderId="23" xfId="0" applyFont="1" applyFill="1" applyBorder="1" applyAlignment="1">
      <alignment horizontal="center" vertical="center"/>
    </xf>
    <xf numFmtId="0" fontId="7" fillId="25" borderId="23" xfId="0" applyFont="1" applyFill="1" applyBorder="1" applyAlignment="1">
      <alignment horizontal="center" vertical="center"/>
    </xf>
    <xf numFmtId="49" fontId="6" fillId="25" borderId="23" xfId="0" quotePrefix="1" applyNumberFormat="1" applyFont="1" applyFill="1" applyBorder="1" applyAlignment="1">
      <alignment horizontal="center" vertical="center" readingOrder="1"/>
    </xf>
    <xf numFmtId="164" fontId="6" fillId="25" borderId="23" xfId="0" applyNumberFormat="1" applyFont="1" applyFill="1" applyBorder="1" applyAlignment="1">
      <alignment horizontal="center" vertical="center" readingOrder="1"/>
    </xf>
    <xf numFmtId="164" fontId="6" fillId="25" borderId="24" xfId="0" applyNumberFormat="1" applyFont="1" applyFill="1" applyBorder="1" applyAlignment="1">
      <alignment horizontal="center" vertical="center" readingOrder="1"/>
    </xf>
    <xf numFmtId="0" fontId="6" fillId="5" borderId="1" xfId="0" applyFont="1" applyFill="1" applyBorder="1" applyAlignment="1">
      <alignment horizontal="center" vertical="center"/>
    </xf>
    <xf numFmtId="0" fontId="6" fillId="5" borderId="1" xfId="0" applyFont="1" applyFill="1" applyBorder="1" applyAlignment="1">
      <alignment horizontal="center" vertical="center" readingOrder="1"/>
    </xf>
    <xf numFmtId="0" fontId="6" fillId="2" borderId="1" xfId="0" applyFont="1" applyFill="1" applyBorder="1" applyAlignment="1">
      <alignment horizontal="center" vertical="center" wrapText="1"/>
    </xf>
    <xf numFmtId="0" fontId="7" fillId="5" borderId="1" xfId="0" applyFont="1" applyFill="1" applyBorder="1" applyAlignment="1">
      <alignment horizontal="center" vertical="center"/>
    </xf>
    <xf numFmtId="49" fontId="6" fillId="5" borderId="1" xfId="0" applyNumberFormat="1" applyFont="1" applyFill="1" applyBorder="1" applyAlignment="1">
      <alignment horizontal="center" vertical="center" readingOrder="1"/>
    </xf>
    <xf numFmtId="164" fontId="6" fillId="5" borderId="1" xfId="0" applyNumberFormat="1" applyFont="1" applyFill="1" applyBorder="1" applyAlignment="1">
      <alignment horizontal="center" vertical="center" readingOrder="1"/>
    </xf>
    <xf numFmtId="0" fontId="6" fillId="5" borderId="1" xfId="0" applyFont="1" applyFill="1" applyBorder="1" applyAlignment="1">
      <alignment horizontal="center" vertical="center" wrapText="1"/>
    </xf>
    <xf numFmtId="0" fontId="6" fillId="13" borderId="1" xfId="0" applyFont="1" applyFill="1" applyBorder="1" applyAlignment="1">
      <alignment horizontal="center" vertical="center"/>
    </xf>
    <xf numFmtId="0" fontId="6" fillId="13" borderId="1" xfId="0" applyFont="1" applyFill="1" applyBorder="1" applyAlignment="1">
      <alignment horizontal="center" vertical="center" readingOrder="1"/>
    </xf>
    <xf numFmtId="0" fontId="6" fillId="13" borderId="1" xfId="0" applyFont="1" applyFill="1" applyBorder="1" applyAlignment="1">
      <alignment horizontal="center" vertical="center" wrapText="1"/>
    </xf>
    <xf numFmtId="0" fontId="6" fillId="14" borderId="1" xfId="0" applyFont="1" applyFill="1" applyBorder="1" applyAlignment="1">
      <alignment horizontal="center" vertical="center" wrapText="1"/>
    </xf>
    <xf numFmtId="0" fontId="7" fillId="13" borderId="1" xfId="0" applyFont="1" applyFill="1" applyBorder="1" applyAlignment="1">
      <alignment horizontal="center" vertical="center"/>
    </xf>
    <xf numFmtId="49" fontId="6" fillId="13" borderId="1" xfId="0" applyNumberFormat="1" applyFont="1" applyFill="1" applyBorder="1" applyAlignment="1">
      <alignment horizontal="center" vertical="center" readingOrder="1"/>
    </xf>
    <xf numFmtId="164" fontId="6" fillId="13" borderId="1" xfId="0" applyNumberFormat="1" applyFont="1" applyFill="1" applyBorder="1" applyAlignment="1">
      <alignment horizontal="center" vertical="center" readingOrder="1"/>
    </xf>
    <xf numFmtId="0" fontId="8" fillId="14" borderId="1" xfId="0" applyFont="1" applyFill="1" applyBorder="1" applyAlignment="1">
      <alignment horizontal="center" vertical="center" wrapText="1"/>
    </xf>
    <xf numFmtId="0" fontId="6" fillId="15" borderId="1" xfId="0" applyFont="1" applyFill="1" applyBorder="1" applyAlignment="1">
      <alignment horizontal="center" vertical="center"/>
    </xf>
    <xf numFmtId="0" fontId="6" fillId="15" borderId="1" xfId="0" applyFont="1" applyFill="1" applyBorder="1" applyAlignment="1">
      <alignment horizontal="center" vertical="center" readingOrder="1"/>
    </xf>
    <xf numFmtId="0" fontId="8" fillId="16" borderId="1" xfId="0" applyFont="1" applyFill="1" applyBorder="1" applyAlignment="1">
      <alignment horizontal="center" vertical="center" wrapText="1"/>
    </xf>
    <xf numFmtId="0" fontId="7" fillId="15" borderId="1" xfId="0" applyFont="1" applyFill="1" applyBorder="1" applyAlignment="1">
      <alignment horizontal="center" vertical="center"/>
    </xf>
    <xf numFmtId="49" fontId="6" fillId="15" borderId="1" xfId="0" applyNumberFormat="1" applyFont="1" applyFill="1" applyBorder="1" applyAlignment="1">
      <alignment horizontal="center" vertical="center" readingOrder="1"/>
    </xf>
    <xf numFmtId="164" fontId="6" fillId="15" borderId="1" xfId="0" applyNumberFormat="1" applyFont="1" applyFill="1" applyBorder="1" applyAlignment="1">
      <alignment horizontal="center" vertical="center" readingOrder="1"/>
    </xf>
    <xf numFmtId="0" fontId="6" fillId="17" borderId="1" xfId="0" applyFont="1" applyFill="1" applyBorder="1" applyAlignment="1">
      <alignment horizontal="center" vertical="center"/>
    </xf>
    <xf numFmtId="0" fontId="6" fillId="17" borderId="1" xfId="0" applyFont="1" applyFill="1" applyBorder="1" applyAlignment="1">
      <alignment horizontal="center" vertical="center" readingOrder="1"/>
    </xf>
    <xf numFmtId="0" fontId="7" fillId="17" borderId="1" xfId="0" applyFont="1" applyFill="1" applyBorder="1" applyAlignment="1">
      <alignment horizontal="center" vertical="center"/>
    </xf>
    <xf numFmtId="49" fontId="6" fillId="17" borderId="1" xfId="0" applyNumberFormat="1" applyFont="1" applyFill="1" applyBorder="1" applyAlignment="1">
      <alignment horizontal="center" vertical="center" readingOrder="1"/>
    </xf>
    <xf numFmtId="164" fontId="6" fillId="17" borderId="1" xfId="0" applyNumberFormat="1" applyFont="1" applyFill="1" applyBorder="1" applyAlignment="1">
      <alignment horizontal="center" vertical="center" readingOrder="1"/>
    </xf>
    <xf numFmtId="0" fontId="8" fillId="18" borderId="1" xfId="0" applyFont="1" applyFill="1" applyBorder="1" applyAlignment="1">
      <alignment horizontal="center" vertical="center" wrapText="1"/>
    </xf>
    <xf numFmtId="0" fontId="6" fillId="17" borderId="4" xfId="0" applyFont="1" applyFill="1" applyBorder="1" applyAlignment="1">
      <alignment horizontal="center" vertical="center" readingOrder="1"/>
    </xf>
    <xf numFmtId="49" fontId="6" fillId="17" borderId="4" xfId="0" applyNumberFormat="1" applyFont="1" applyFill="1" applyBorder="1" applyAlignment="1">
      <alignment horizontal="center" vertical="center" readingOrder="1"/>
    </xf>
    <xf numFmtId="0" fontId="6" fillId="17" borderId="4" xfId="0" applyFont="1" applyFill="1" applyBorder="1" applyAlignment="1">
      <alignment horizontal="center" vertical="center"/>
    </xf>
    <xf numFmtId="164" fontId="6" fillId="17" borderId="4" xfId="0" applyNumberFormat="1" applyFont="1" applyFill="1" applyBorder="1" applyAlignment="1">
      <alignment horizontal="center" vertical="center" readingOrder="1"/>
    </xf>
    <xf numFmtId="164" fontId="6" fillId="17" borderId="5" xfId="0" applyNumberFormat="1" applyFont="1" applyFill="1" applyBorder="1" applyAlignment="1">
      <alignment horizontal="center" vertical="center" readingOrder="1"/>
    </xf>
    <xf numFmtId="0" fontId="8" fillId="19" borderId="2" xfId="0" applyFont="1" applyFill="1" applyBorder="1" applyAlignment="1">
      <alignment horizontal="center" vertical="center"/>
    </xf>
    <xf numFmtId="0" fontId="6" fillId="20" borderId="1" xfId="0" applyFont="1" applyFill="1" applyBorder="1" applyAlignment="1">
      <alignment horizontal="center" vertical="center" readingOrder="1"/>
    </xf>
    <xf numFmtId="0" fontId="6" fillId="20" borderId="1" xfId="0" applyFont="1" applyFill="1" applyBorder="1" applyAlignment="1">
      <alignment horizontal="center" vertical="center"/>
    </xf>
    <xf numFmtId="0" fontId="6" fillId="20" borderId="4" xfId="0" applyFont="1" applyFill="1" applyBorder="1" applyAlignment="1">
      <alignment horizontal="center" vertical="center"/>
    </xf>
    <xf numFmtId="0" fontId="7" fillId="20" borderId="1" xfId="0" applyFont="1" applyFill="1" applyBorder="1" applyAlignment="1">
      <alignment horizontal="center" vertical="center"/>
    </xf>
    <xf numFmtId="49" fontId="6" fillId="20" borderId="1" xfId="0" applyNumberFormat="1" applyFont="1" applyFill="1" applyBorder="1" applyAlignment="1">
      <alignment horizontal="center" vertical="center" readingOrder="1"/>
    </xf>
    <xf numFmtId="164" fontId="6" fillId="20" borderId="1" xfId="0" applyNumberFormat="1" applyFont="1" applyFill="1" applyBorder="1" applyAlignment="1">
      <alignment horizontal="center" vertical="center" readingOrder="1"/>
    </xf>
    <xf numFmtId="164" fontId="6" fillId="20" borderId="3" xfId="0" applyNumberFormat="1" applyFont="1" applyFill="1" applyBorder="1" applyAlignment="1">
      <alignment horizontal="center" vertical="center" readingOrder="1"/>
    </xf>
    <xf numFmtId="0" fontId="6" fillId="19" borderId="1" xfId="0" applyFont="1" applyFill="1" applyBorder="1" applyAlignment="1">
      <alignment horizontal="center" vertical="center" readingOrder="1"/>
    </xf>
    <xf numFmtId="49" fontId="6" fillId="19" borderId="1" xfId="0" applyNumberFormat="1" applyFont="1" applyFill="1" applyBorder="1" applyAlignment="1">
      <alignment horizontal="center" vertical="center" readingOrder="1"/>
    </xf>
    <xf numFmtId="0" fontId="8" fillId="19" borderId="1" xfId="0" applyFont="1" applyFill="1" applyBorder="1" applyAlignment="1">
      <alignment horizontal="center" vertical="center"/>
    </xf>
    <xf numFmtId="49" fontId="8" fillId="19" borderId="1" xfId="0" applyNumberFormat="1" applyFont="1" applyFill="1" applyBorder="1" applyAlignment="1">
      <alignment horizontal="center" vertical="center"/>
    </xf>
    <xf numFmtId="164" fontId="8" fillId="19" borderId="1" xfId="0" applyNumberFormat="1" applyFont="1" applyFill="1" applyBorder="1" applyAlignment="1">
      <alignment horizontal="center" vertical="center"/>
    </xf>
    <xf numFmtId="164" fontId="6" fillId="19" borderId="1" xfId="0" applyNumberFormat="1" applyFont="1" applyFill="1" applyBorder="1" applyAlignment="1">
      <alignment horizontal="center" vertical="center" readingOrder="1"/>
    </xf>
    <xf numFmtId="164" fontId="6" fillId="19" borderId="3" xfId="0" applyNumberFormat="1" applyFont="1" applyFill="1" applyBorder="1" applyAlignment="1">
      <alignment horizontal="center" vertical="center" readingOrder="1"/>
    </xf>
    <xf numFmtId="164" fontId="8" fillId="19" borderId="3" xfId="0" applyNumberFormat="1" applyFont="1" applyFill="1" applyBorder="1" applyAlignment="1">
      <alignment horizontal="center" vertical="center"/>
    </xf>
    <xf numFmtId="0" fontId="8" fillId="21" borderId="2" xfId="0" applyFont="1" applyFill="1" applyBorder="1" applyAlignment="1">
      <alignment horizontal="center" vertical="center"/>
    </xf>
    <xf numFmtId="0" fontId="8" fillId="21" borderId="1" xfId="0" applyFont="1" applyFill="1" applyBorder="1" applyAlignment="1">
      <alignment horizontal="center" vertical="center"/>
    </xf>
    <xf numFmtId="0" fontId="6" fillId="22" borderId="1" xfId="0" applyFont="1" applyFill="1" applyBorder="1" applyAlignment="1">
      <alignment horizontal="center" vertical="center"/>
    </xf>
    <xf numFmtId="0" fontId="7" fillId="22" borderId="1" xfId="0" applyFont="1" applyFill="1" applyBorder="1" applyAlignment="1">
      <alignment horizontal="center" vertical="center"/>
    </xf>
    <xf numFmtId="49" fontId="8" fillId="21" borderId="1" xfId="0" applyNumberFormat="1" applyFont="1" applyFill="1" applyBorder="1" applyAlignment="1">
      <alignment horizontal="center" vertical="center"/>
    </xf>
    <xf numFmtId="164" fontId="8" fillId="21" borderId="1" xfId="0" applyNumberFormat="1" applyFont="1" applyFill="1" applyBorder="1" applyAlignment="1">
      <alignment horizontal="center" vertical="center"/>
    </xf>
    <xf numFmtId="164" fontId="8" fillId="21" borderId="3" xfId="0" applyNumberFormat="1" applyFont="1" applyFill="1" applyBorder="1" applyAlignment="1">
      <alignment horizontal="center" vertical="center"/>
    </xf>
    <xf numFmtId="0" fontId="8" fillId="12" borderId="2" xfId="0" applyFont="1" applyFill="1" applyBorder="1" applyAlignment="1">
      <alignment horizontal="center" vertical="center"/>
    </xf>
    <xf numFmtId="0" fontId="8" fillId="12" borderId="1" xfId="0" applyFont="1" applyFill="1" applyBorder="1" applyAlignment="1">
      <alignment horizontal="center" vertical="center"/>
    </xf>
    <xf numFmtId="0" fontId="6" fillId="11" borderId="1" xfId="0" applyFont="1" applyFill="1" applyBorder="1" applyAlignment="1">
      <alignment horizontal="center" vertical="center"/>
    </xf>
    <xf numFmtId="0" fontId="7" fillId="11" borderId="1" xfId="0" applyFont="1" applyFill="1" applyBorder="1" applyAlignment="1">
      <alignment horizontal="center" vertical="center"/>
    </xf>
    <xf numFmtId="49" fontId="8" fillId="12" borderId="1" xfId="0" applyNumberFormat="1" applyFont="1" applyFill="1" applyBorder="1" applyAlignment="1">
      <alignment horizontal="center" vertical="center"/>
    </xf>
    <xf numFmtId="164" fontId="8" fillId="12" borderId="1" xfId="0" applyNumberFormat="1" applyFont="1" applyFill="1" applyBorder="1" applyAlignment="1">
      <alignment horizontal="center" vertical="center"/>
    </xf>
    <xf numFmtId="164" fontId="8" fillId="12" borderId="3" xfId="0" applyNumberFormat="1" applyFont="1" applyFill="1" applyBorder="1" applyAlignment="1">
      <alignment horizontal="center" vertical="center"/>
    </xf>
    <xf numFmtId="0" fontId="8" fillId="23" borderId="2" xfId="0" applyFont="1" applyFill="1" applyBorder="1" applyAlignment="1">
      <alignment horizontal="center" vertical="center"/>
    </xf>
    <xf numFmtId="0" fontId="8" fillId="23" borderId="1" xfId="0" applyFont="1" applyFill="1" applyBorder="1" applyAlignment="1">
      <alignment horizontal="center" vertical="center"/>
    </xf>
    <xf numFmtId="0" fontId="6" fillId="24" borderId="1" xfId="0" applyFont="1" applyFill="1" applyBorder="1" applyAlignment="1">
      <alignment horizontal="center" vertical="center"/>
    </xf>
    <xf numFmtId="0" fontId="7" fillId="24" borderId="1" xfId="0" applyFont="1" applyFill="1" applyBorder="1" applyAlignment="1">
      <alignment horizontal="center" vertical="center"/>
    </xf>
    <xf numFmtId="49" fontId="8" fillId="23" borderId="1" xfId="0" applyNumberFormat="1" applyFont="1" applyFill="1" applyBorder="1" applyAlignment="1">
      <alignment horizontal="center" vertical="center"/>
    </xf>
    <xf numFmtId="164" fontId="8" fillId="23" borderId="1" xfId="0" applyNumberFormat="1" applyFont="1" applyFill="1" applyBorder="1" applyAlignment="1">
      <alignment horizontal="center" vertical="center"/>
    </xf>
    <xf numFmtId="164" fontId="8" fillId="23" borderId="3" xfId="0" applyNumberFormat="1" applyFont="1" applyFill="1" applyBorder="1" applyAlignment="1">
      <alignment horizontal="center" vertical="center"/>
    </xf>
    <xf numFmtId="0" fontId="8" fillId="10" borderId="2" xfId="0" applyFont="1" applyFill="1" applyBorder="1" applyAlignment="1">
      <alignment horizontal="center" vertical="center"/>
    </xf>
    <xf numFmtId="0" fontId="8" fillId="10" borderId="1" xfId="0" applyFont="1" applyFill="1" applyBorder="1" applyAlignment="1">
      <alignment horizontal="center" vertical="center"/>
    </xf>
    <xf numFmtId="0" fontId="6" fillId="9" borderId="1" xfId="0" applyFont="1" applyFill="1" applyBorder="1" applyAlignment="1">
      <alignment horizontal="center" vertical="center"/>
    </xf>
    <xf numFmtId="0" fontId="7" fillId="9" borderId="1" xfId="0" applyFont="1" applyFill="1" applyBorder="1" applyAlignment="1">
      <alignment horizontal="center" vertical="center"/>
    </xf>
    <xf numFmtId="49" fontId="8" fillId="10" borderId="1" xfId="0" applyNumberFormat="1" applyFont="1" applyFill="1" applyBorder="1" applyAlignment="1">
      <alignment horizontal="center" vertical="center"/>
    </xf>
    <xf numFmtId="164" fontId="8" fillId="10" borderId="1" xfId="0" applyNumberFormat="1" applyFont="1" applyFill="1" applyBorder="1" applyAlignment="1">
      <alignment horizontal="center" vertical="center"/>
    </xf>
    <xf numFmtId="164" fontId="8" fillId="10" borderId="3" xfId="0" applyNumberFormat="1" applyFont="1" applyFill="1" applyBorder="1" applyAlignment="1">
      <alignment horizontal="center" vertical="center"/>
    </xf>
    <xf numFmtId="0" fontId="8" fillId="10" borderId="11" xfId="0" applyFont="1" applyFill="1" applyBorder="1" applyAlignment="1">
      <alignment horizontal="center" vertical="center"/>
    </xf>
    <xf numFmtId="0" fontId="8" fillId="10" borderId="19" xfId="0" applyFont="1" applyFill="1" applyBorder="1" applyAlignment="1">
      <alignment horizontal="center" vertical="center"/>
    </xf>
    <xf numFmtId="49" fontId="8" fillId="10" borderId="19" xfId="0" applyNumberFormat="1" applyFont="1" applyFill="1" applyBorder="1" applyAlignment="1">
      <alignment horizontal="center" vertical="center"/>
    </xf>
    <xf numFmtId="164" fontId="8" fillId="10" borderId="19" xfId="0" applyNumberFormat="1" applyFont="1" applyFill="1" applyBorder="1" applyAlignment="1">
      <alignment horizontal="center" vertical="center"/>
    </xf>
    <xf numFmtId="164" fontId="8" fillId="10" borderId="12" xfId="0" applyNumberFormat="1" applyFont="1" applyFill="1" applyBorder="1" applyAlignment="1">
      <alignment horizontal="center" vertical="center"/>
    </xf>
    <xf numFmtId="0" fontId="8" fillId="2" borderId="1" xfId="0" applyFont="1" applyFill="1" applyBorder="1" applyAlignment="1">
      <alignment horizontal="center" vertical="center" wrapText="1"/>
    </xf>
    <xf numFmtId="0" fontId="0" fillId="0" borderId="0" xfId="0" applyFill="1"/>
    <xf numFmtId="0" fontId="0" fillId="0" borderId="0" xfId="0" applyFill="1" applyAlignment="1">
      <alignment horizontal="center"/>
    </xf>
    <xf numFmtId="0" fontId="0" fillId="19" borderId="0" xfId="0" applyFill="1" applyAlignment="1">
      <alignment horizontal="center" vertical="center" wrapText="1"/>
    </xf>
    <xf numFmtId="0" fontId="0" fillId="26" borderId="0" xfId="0" applyFill="1"/>
    <xf numFmtId="0" fontId="0" fillId="19" borderId="0" xfId="0" applyFill="1" applyAlignment="1">
      <alignment horizontal="center" vertical="center" wrapText="1"/>
    </xf>
    <xf numFmtId="0" fontId="2" fillId="21" borderId="17" xfId="0" applyFont="1" applyFill="1" applyBorder="1" applyAlignment="1">
      <alignment horizontal="center" wrapText="1"/>
    </xf>
    <xf numFmtId="0" fontId="0" fillId="21" borderId="0" xfId="0" applyFill="1"/>
    <xf numFmtId="0" fontId="6" fillId="27" borderId="1"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8</xdr:row>
          <xdr:rowOff>190500</xdr:rowOff>
        </xdr:from>
        <xdr:to>
          <xdr:col>3</xdr:col>
          <xdr:colOff>381000</xdr:colOff>
          <xdr:row>12</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Upload comp &amp; PB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13</xdr:row>
          <xdr:rowOff>0</xdr:rowOff>
        </xdr:from>
        <xdr:to>
          <xdr:col>3</xdr:col>
          <xdr:colOff>381000</xdr:colOff>
          <xdr:row>17</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Randomise 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4</xdr:row>
          <xdr:rowOff>9525</xdr:rowOff>
        </xdr:from>
        <xdr:to>
          <xdr:col>3</xdr:col>
          <xdr:colOff>371475</xdr:colOff>
          <xdr:row>8</xdr:row>
          <xdr:rowOff>133350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Load Comps CLICK ME FIRST!</a:t>
              </a:r>
            </a:p>
            <a:p>
              <a:pPr algn="ctr" rtl="0">
                <a:defRPr sz="1000"/>
              </a:pPr>
              <a:r>
                <a:rPr lang="en-AU" sz="1100" b="0" i="0" u="none" strike="noStrike" baseline="0">
                  <a:solidFill>
                    <a:srgbClr val="000000"/>
                  </a:solidFill>
                  <a:latin typeface="Calibri"/>
                  <a:ea typeface="Calibri"/>
                  <a:cs typeface="Calibri"/>
                </a:rPr>
                <a:t>(this isn't automatic due to Excel Macro security rules)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17</xdr:row>
          <xdr:rowOff>57150</xdr:rowOff>
        </xdr:from>
        <xdr:to>
          <xdr:col>3</xdr:col>
          <xdr:colOff>400050</xdr:colOff>
          <xdr:row>21</xdr:row>
          <xdr:rowOff>66675</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Get openpowerlifting PB data</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Evan McCloy" id="{5518FBDC-BB4E-42F8-AC0C-9D975850DEBD}" userId="fae6e0a56fb7c2c6"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83" backgroundRefresh="0" growShrinkType="overwriteClear" connectionId="200" xr16:uid="{00000000-0016-0000-0400-000073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1" backgroundRefresh="0" growShrinkType="overwriteClear" connectionId="102" xr16:uid="{00000000-0016-0000-0400-0000BE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3" backgroundRefresh="0" growShrinkType="overwriteClear" connectionId="219" xr16:uid="{00000000-0016-0000-0400-00001C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2" backgroundRefresh="0" growShrinkType="overwriteClear" connectionId="144" xr16:uid="{00000000-0016-0000-0400-000055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35" backgroundRefresh="0" growShrinkType="overwriteClear" connectionId="116" xr16:uid="{00000000-0016-0000-0400-000058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21" backgroundRefresh="0" growShrinkType="overwriteClear" connectionId="217" xr16:uid="{00000000-0016-0000-0400-00007D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6" backgroundRefresh="0" growShrinkType="overwriteClear" connectionId="137" xr16:uid="{00000000-0016-0000-0400-000020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56" backgroundRefresh="0" growShrinkType="overwriteClear" connectionId="170" xr16:uid="{00000000-0016-0000-0400-000083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58" backgroundRefresh="0" growShrinkType="overwriteClear" connectionId="41" xr16:uid="{00000000-0016-0000-0400-0000CA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25" backgroundRefresh="0" growShrinkType="overwriteClear" connectionId="100" xr16:uid="{00000000-0016-0000-0400-00002D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44" backgroundRefresh="0" growShrinkType="overwriteClear" connectionId="119" xr16:uid="{00000000-0016-0000-0400-000057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3" backgroundRefresh="0" growShrinkType="overwriteClear" connectionId="125" xr16:uid="{00000000-0016-0000-0400-000078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74" backgroundRefresh="0" growShrinkType="overwriteClear" connectionId="190" xr16:uid="{00000000-0016-0000-0400-000006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15" backgroundRefresh="0" growShrinkType="overwriteClear" connectionId="98" xr16:uid="{00000000-0016-0000-0400-000001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96" backgroundRefresh="0" growShrinkType="overwriteClear" connectionId="81" xr16:uid="{00000000-0016-0000-0400-000035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52" backgroundRefresh="0" growShrinkType="overwriteClear" connectionId="34" xr16:uid="{00000000-0016-0000-0400-000034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75" backgroundRefresh="0" growShrinkType="overwriteClear" connectionId="60" xr16:uid="{00000000-0016-0000-0400-0000BB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1" backgroundRefresh="0" growShrinkType="overwriteClear" connectionId="3" xr16:uid="{00000000-0016-0000-0400-000099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40" backgroundRefresh="0" growShrinkType="overwriteClear" connectionId="111" xr16:uid="{00000000-0016-0000-0400-0000B5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24" backgroundRefresh="0" growShrinkType="overwriteClear" connectionId="131" xr16:uid="{00000000-0016-0000-0400-0000A7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44" backgroundRefresh="0" growShrinkType="overwriteClear" connectionId="157" xr16:uid="{00000000-0016-0000-0400-000002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2" backgroundRefresh="0" growShrinkType="overwriteClear" connectionId="12" xr16:uid="{00000000-0016-0000-0400-00003E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47" backgroundRefresh="0" growShrinkType="overwriteClear" connectionId="29" xr16:uid="{00000000-0016-0000-0400-00006F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88" backgroundRefresh="0" growShrinkType="overwriteClear" connectionId="205" xr16:uid="{00000000-0016-0000-0400-0000CC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11" backgroundRefresh="0" growShrinkType="overwriteClear" connectionId="175" xr16:uid="{00000000-0016-0000-0400-000004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16" backgroundRefresh="0" growShrinkType="overwriteClear" connectionId="197" xr16:uid="{00000000-0016-0000-0400-00007E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28" backgroundRefresh="0" growShrinkType="overwriteClear" connectionId="107" xr16:uid="{00000000-0016-0000-0400-00004F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56" backgroundRefresh="0" growShrinkType="overwriteClear" connectionId="39" xr16:uid="{00000000-0016-0000-0400-00000D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18" backgroundRefresh="0" growShrinkType="overwriteClear" connectionId="214" xr16:uid="{00000000-0016-0000-0400-0000A5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205" backgroundRefresh="0" growShrinkType="overwriteClear" connectionId="87" xr16:uid="{00000000-0016-0000-0400-000054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78" backgroundRefresh="0" growShrinkType="overwriteClear" connectionId="63" xr16:uid="{00000000-0016-0000-0400-000047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59" backgroundRefresh="0" growShrinkType="overwriteClear" connectionId="42" xr16:uid="{00000000-0016-0000-0400-000080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94" backgroundRefresh="0" growShrinkType="overwriteClear" connectionId="212" xr16:uid="{00000000-0016-0000-0400-000010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170" backgroundRefresh="0" growShrinkType="overwriteClear" connectionId="54" xr16:uid="{00000000-0016-0000-0400-00005C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9" backgroundRefresh="0" growShrinkType="overwriteClear" connectionId="171" xr16:uid="{00000000-0016-0000-0400-00007F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93" backgroundRefresh="0" growShrinkType="overwriteClear" connectionId="76" xr16:uid="{00000000-0016-0000-0400-00004B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218" backgroundRefresh="0" growShrinkType="overwriteClear" connectionId="101" xr16:uid="{00000000-0016-0000-0400-000026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29" backgroundRefresh="0" growShrinkType="overwriteClear" connectionId="9" xr16:uid="{00000000-0016-0000-0400-00007B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92" backgroundRefresh="0" growShrinkType="overwriteClear" connectionId="210" xr16:uid="{00000000-0016-0000-0400-0000A3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60" backgroundRefresh="0" growShrinkType="overwriteClear" connectionId="43" xr16:uid="{00000000-0016-0000-0400-000017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8" backgroundRefresh="0" growShrinkType="overwriteClear" connectionId="69" xr16:uid="{00000000-0016-0000-0400-000008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42" backgroundRefresh="0" growShrinkType="overwriteClear" connectionId="23" xr16:uid="{00000000-0016-0000-0400-000086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45" backgroundRefresh="0" growShrinkType="overwriteClear" connectionId="27" xr16:uid="{00000000-0016-0000-0400-00003D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19" backgroundRefresh="0" growShrinkType="overwriteClear" connectionId="215" xr16:uid="{00000000-0016-0000-0400-000088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64" backgroundRefresh="0" growShrinkType="overwriteClear" connectionId="48" xr16:uid="{00000000-0016-0000-0400-000033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86" backgroundRefresh="0" growShrinkType="overwriteClear" connectionId="203" xr16:uid="{00000000-0016-0000-0400-00002C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110" backgroundRefresh="0" growShrinkType="overwriteClear" connectionId="173" xr16:uid="{00000000-0016-0000-0400-00009D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26" backgroundRefresh="0" growShrinkType="overwriteClear" connectionId="103" xr16:uid="{00000000-0016-0000-0400-00009A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3" backgroundRefresh="0" growShrinkType="overwriteClear" connectionId="113" xr16:uid="{00000000-0016-0000-0400-0000C0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85" backgroundRefresh="0" growShrinkType="overwriteClear" connectionId="202" xr16:uid="{00000000-0016-0000-0400-00001A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112" backgroundRefresh="0" growShrinkType="overwriteClear" connectionId="178" xr16:uid="{00000000-0016-0000-0400-000084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167" backgroundRefresh="0" growShrinkType="overwriteClear" connectionId="51" xr16:uid="{00000000-0016-0000-0400-0000A0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105" backgroundRefresh="0" growShrinkType="overwriteClear" connectionId="160" xr16:uid="{00000000-0016-0000-0400-000064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ExternalData_5" backgroundRefresh="0" growShrinkType="overwriteClear" connectionId="154" xr16:uid="{00000000-0016-0000-0400-0000C1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ExternalData_90" backgroundRefresh="0" growShrinkType="overwriteClear" connectionId="207" xr16:uid="{00000000-0016-0000-0400-000030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ExternalData_102" backgroundRefresh="0" growShrinkType="overwriteClear" connectionId="153" xr16:uid="{00000000-0016-0000-0400-000000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ExternalData_243" backgroundRefresh="0" growShrinkType="overwriteClear" connectionId="117" xr16:uid="{00000000-0016-0000-0400-00003C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ExternalData_58" backgroundRefresh="0" growShrinkType="overwriteClear" connectionId="172" xr16:uid="{00000000-0016-0000-0400-000091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ExternalData_253" backgroundRefresh="0" growShrinkType="overwriteClear" connectionId="132" xr16:uid="{D36C6F89-7114-427F-92AB-4EC7BF4DC7C5}"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ExternalData_98" backgroundRefresh="0" growShrinkType="overwriteClear" connectionId="142" xr16:uid="{00000000-0016-0000-0400-000087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ExternalData_113" backgroundRefresh="0" growShrinkType="overwriteClear" connectionId="180" xr16:uid="{00000000-0016-0000-0400-00000B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ExternalData_239" backgroundRefresh="0" growShrinkType="overwriteClear" connectionId="110" xr16:uid="{00000000-0016-0000-0400-00006D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ExternalData_22" backgroundRefresh="0" growShrinkType="overwriteClear" connectionId="114" xr16:uid="{00000000-0016-0000-0400-00006B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ExternalData_260" backgroundRefresh="0" growShrinkType="overwriteClear" connectionId="133" xr16:uid="{78300274-30F0-4877-94E1-2E50B8D4309B}"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ExternalData_97" backgroundRefresh="0" growShrinkType="overwriteClear" connectionId="140" xr16:uid="{00000000-0016-0000-0400-0000C7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ExternalData_103" backgroundRefresh="0" growShrinkType="overwriteClear" connectionId="156" xr16:uid="{00000000-0016-0000-0400-0000BF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ExternalData_20" backgroundRefresh="0" growShrinkType="overwriteClear" connectionId="91" xr16:uid="{00000000-0016-0000-0400-00006C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ExternalData_16" backgroundRefresh="0" growShrinkType="overwriteClear" connectionId="47" xr16:uid="{00000000-0016-0000-0400-000044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ExternalData_254" backgroundRefresh="0" growShrinkType="overwriteClear" connectionId="124" xr16:uid="{A77E275F-1F81-4E72-9E93-702806739358}"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ExternalData_207" backgroundRefresh="0" growShrinkType="overwriteClear" connectionId="90" xr16:uid="{00000000-0016-0000-0400-0000B9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ExternalData_171" backgroundRefresh="0" growShrinkType="overwriteClear" connectionId="55" xr16:uid="{00000000-0016-0000-0400-00001B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ExternalData_155" backgroundRefresh="0" growShrinkType="overwriteClear" connectionId="38" xr16:uid="{00000000-0016-0000-0400-00003A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ExternalData_62" backgroundRefresh="0" growShrinkType="overwriteClear" connectionId="177" xr16:uid="{00000000-0016-0000-0400-0000B2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ExternalData_173" backgroundRefresh="0" growShrinkType="overwriteClear" connectionId="57" xr16:uid="{00000000-0016-0000-0400-00008E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ExternalData_101" backgroundRefresh="0" growShrinkType="overwriteClear" connectionId="152" xr16:uid="{00000000-0016-0000-0400-00005B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ExternalData_122" backgroundRefresh="0" growShrinkType="overwriteClear" connectionId="218" xr16:uid="{00000000-0016-0000-0400-000042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ExternalData_14" backgroundRefresh="0" growShrinkType="overwriteClear" connectionId="25" xr16:uid="{00000000-0016-0000-0400-000012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ExternalData_139" backgroundRefresh="0" growShrinkType="overwriteClear" connectionId="20" xr16:uid="{00000000-0016-0000-0400-00000A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ExternalData_222" backgroundRefresh="0" growShrinkType="overwriteClear" connectionId="106" xr16:uid="{00000000-0016-0000-0400-0000C9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ExternalData_224" backgroundRefresh="0" growShrinkType="overwriteClear" connectionId="97" xr16:uid="{00000000-0016-0000-0400-0000BC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ExternalData_130" backgroundRefresh="0" growShrinkType="overwriteClear" connectionId="10" xr16:uid="{00000000-0016-0000-0400-0000C6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ExternalData_204" backgroundRefresh="0" growShrinkType="overwriteClear" connectionId="85" xr16:uid="{00000000-0016-0000-0400-00007C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ExternalData_165" backgroundRefresh="0" growShrinkType="overwriteClear" connectionId="49" xr16:uid="{00000000-0016-0000-0400-000019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ExternalData_72" backgroundRefresh="0" growShrinkType="overwriteClear" connectionId="188" xr16:uid="{00000000-0016-0000-0400-000046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ExternalData_127" backgroundRefresh="0" growShrinkType="overwriteClear" connectionId="7" xr16:uid="{00000000-0016-0000-0400-00008A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ExternalData_194" backgroundRefresh="0" growShrinkType="overwriteClear" connectionId="77" xr16:uid="{00000000-0016-0000-0400-00005D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ExternalData_181" backgroundRefresh="0" growShrinkType="overwriteClear" connectionId="66" xr16:uid="{00000000-0016-0000-0400-000032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ExternalData_241" backgroundRefresh="0" growShrinkType="overwriteClear" connectionId="112" xr16:uid="{00000000-0016-0000-0400-0000C2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ExternalData_8" backgroundRefresh="0" growShrinkType="overwriteClear" connectionId="187" xr16:uid="{00000000-0016-0000-0400-000061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ExternalData_183" backgroundRefresh="0" growShrinkType="overwriteClear" connectionId="68" xr16:uid="{00000000-0016-0000-0400-000069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ExternalData_124" backgroundRefresh="0" growShrinkType="overwriteClear" connectionId="4" xr16:uid="{00000000-0016-0000-0400-000040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ExternalData_189" backgroundRefresh="0" growShrinkType="overwriteClear" connectionId="75" xr16:uid="{00000000-0016-0000-0400-000082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ExternalData_82" backgroundRefresh="0" growShrinkType="overwriteClear" connectionId="199" xr16:uid="{00000000-0016-0000-0400-000036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ExternalData_6" backgroundRefresh="0" growShrinkType="overwriteClear" connectionId="165" xr16:uid="{00000000-0016-0000-0400-00004E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ExternalData_46" backgroundRefresh="0" growShrinkType="overwriteClear" connectionId="159" xr16:uid="{00000000-0016-0000-0400-000003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ExternalData_79" backgroundRefresh="0" growShrinkType="overwriteClear" connectionId="195" xr16:uid="{00000000-0016-0000-0400-0000BA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ExternalData_64" backgroundRefresh="0" growShrinkType="overwriteClear" connectionId="179" xr16:uid="{00000000-0016-0000-0400-000072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ExternalData_33" backgroundRefresh="0" growShrinkType="overwriteClear" connectionId="145" xr16:uid="{00000000-0016-0000-0400-000065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ExternalData_162" backgroundRefresh="0" growShrinkType="overwriteClear" connectionId="45" xr16:uid="{00000000-0016-0000-0400-000031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ExternalData_188" backgroundRefresh="0" growShrinkType="overwriteClear" connectionId="74" xr16:uid="{00000000-0016-0000-0400-000063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ExternalData_25" backgroundRefresh="0" growShrinkType="overwriteClear" connectionId="136" xr16:uid="{00000000-0016-0000-0400-0000A1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ExternalData_255" backgroundRefresh="0" growShrinkType="overwriteClear" connectionId="126" xr16:uid="{373EF249-45EB-40B9-A4F4-1B4F940F11B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ExternalData_114" backgroundRefresh="0" growShrinkType="overwriteClear" connectionId="184" xr16:uid="{00000000-0016-0000-0400-000016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ExternalData_237" backgroundRefresh="0" growShrinkType="overwriteClear" connectionId="118" xr16:uid="{00000000-0016-0000-0400-00008D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ExternalData_210" backgroundRefresh="0" growShrinkType="overwriteClear" connectionId="93" xr16:uid="{00000000-0016-0000-0400-00008C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overwriteClear" connectionId="143" xr16:uid="{00000000-0016-0000-0400-0000B8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ExternalData_17" backgroundRefresh="0" growShrinkType="overwriteClear" connectionId="58" xr16:uid="{00000000-0016-0000-0400-00007A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ExternalData_12" backgroundRefresh="0" growShrinkType="overwriteClear" connectionId="198" xr16:uid="{00000000-0016-0000-0400-000081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ExternalData_84" backgroundRefresh="0" growShrinkType="overwriteClear" connectionId="201" xr16:uid="{00000000-0016-0000-0400-0000AB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ExternalData_13" backgroundRefresh="0" growShrinkType="overwriteClear" connectionId="14" xr16:uid="{00000000-0016-0000-0400-000076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ExternalData_220" backgroundRefresh="0" growShrinkType="overwriteClear" connectionId="104" xr16:uid="{00000000-0016-0000-0400-00002F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ExternalData_163" backgroundRefresh="0" growShrinkType="overwriteClear" connectionId="46" xr16:uid="{00000000-0016-0000-0400-00002A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ExternalData_76" backgroundRefresh="0" growShrinkType="overwriteClear" connectionId="192" xr16:uid="{00000000-0016-0000-0400-00000E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ExternalData_37" growShrinkType="overwriteClear" connectionId="149" xr16:uid="{00000000-0016-0000-0400-000043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ExternalData_78" backgroundRefresh="0" growShrinkType="overwriteClear" connectionId="194" xr16:uid="{00000000-0016-0000-0400-000024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ExternalData_93" backgroundRefresh="0" growShrinkType="overwriteClear" connectionId="211" xr16:uid="{00000000-0016-0000-0400-000018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ExternalData_153" backgroundRefresh="0" growShrinkType="overwriteClear" connectionId="35" xr16:uid="{00000000-0016-0000-0400-000093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ExternalData_180" backgroundRefresh="0" growShrinkType="overwriteClear" connectionId="65" xr16:uid="{00000000-0016-0000-0400-000014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ExternalData_182" backgroundRefresh="0" growShrinkType="overwriteClear" connectionId="67" xr16:uid="{00000000-0016-0000-0400-0000A8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ExternalData_247" backgroundRefresh="0" growShrinkType="overwriteClear" connectionId="122" xr16:uid="{9C25938A-FAD8-457A-8D30-7633600A643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ExternalData_150" backgroundRefresh="0" growShrinkType="overwriteClear" connectionId="32" xr16:uid="{00000000-0016-0000-0400-0000CD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ExternalData_177" backgroundRefresh="0" growShrinkType="overwriteClear" connectionId="62" xr16:uid="{00000000-0016-0000-0400-00008B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ExternalData_211" backgroundRefresh="0" growShrinkType="overwriteClear" connectionId="94" xr16:uid="{00000000-0016-0000-0400-00009C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ExternalData_172" backgroundRefresh="0" growShrinkType="overwriteClear" connectionId="56" xr16:uid="{00000000-0016-0000-0400-000048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ExternalData_161" backgroundRefresh="0" growShrinkType="overwriteClear" connectionId="44" xr16:uid="{00000000-0016-0000-0400-0000A4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ExternalData_227" backgroundRefresh="0" growShrinkType="overwriteClear" connectionId="105" xr16:uid="{00000000-0016-0000-0400-0000B7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ExternalData_186" backgroundRefresh="0" growShrinkType="overwriteClear" connectionId="72" xr16:uid="{00000000-0016-0000-0400-0000B1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ExternalData_106" backgroundRefresh="0" growShrinkType="overwriteClear" connectionId="163" xr16:uid="{00000000-0016-0000-0400-00000500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ExternalData_203" backgroundRefresh="0" growShrinkType="overwriteClear" connectionId="88" xr16:uid="{00000000-0016-0000-0400-00002900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ExternalData_39" backgroundRefresh="0" growShrinkType="overwriteClear" connectionId="151" xr16:uid="{00000000-0016-0000-0400-0000AE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ExternalData_209" backgroundRefresh="0" growShrinkType="overwriteClear" connectionId="89" xr16:uid="{00000000-0016-0000-0400-00005A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ExternalData_126" backgroundRefresh="0" growShrinkType="overwriteClear" connectionId="6" xr16:uid="{00000000-0016-0000-0400-00003F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ExternalData_151" backgroundRefresh="0" growShrinkType="overwriteClear" connectionId="33" xr16:uid="{00000000-0016-0000-0400-00002200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ExternalData_197" backgroundRefresh="0" growShrinkType="overwriteClear" connectionId="82" xr16:uid="{00000000-0016-0000-0400-000039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ExternalData_131" backgroundRefresh="0" growShrinkType="overwriteClear" connectionId="11" xr16:uid="{00000000-0016-0000-0400-000089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ExternalData_104" backgroundRefresh="0" growShrinkType="overwriteClear" connectionId="158" xr16:uid="{00000000-0016-0000-0400-000038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ExternalData_120" backgroundRefresh="0" growShrinkType="overwriteClear" connectionId="216" xr16:uid="{00000000-0016-0000-0400-000094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ExternalData_48" backgroundRefresh="0" growShrinkType="overwriteClear" connectionId="161" xr16:uid="{00000000-0016-0000-0400-0000C8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ExternalData_125" backgroundRefresh="0" growShrinkType="overwriteClear" connectionId="5" xr16:uid="{00000000-0016-0000-0400-000037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ExternalData_134" backgroundRefresh="0" growShrinkType="overwriteClear" connectionId="15" xr16:uid="{00000000-0016-0000-0400-00004500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ExternalData_30" backgroundRefresh="0" growShrinkType="overwriteClear" connectionId="141" xr16:uid="{00000000-0016-0000-0400-000051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ExternalData_136" backgroundRefresh="0" growShrinkType="overwriteClear" connectionId="17" xr16:uid="{00000000-0016-0000-0400-000062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ExternalData_77" backgroundRefresh="0" growShrinkType="overwriteClear" connectionId="193" xr16:uid="{00000000-0016-0000-0400-00008F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ExternalData_115" backgroundRefresh="0" growShrinkType="overwriteClear" connectionId="185" xr16:uid="{00000000-0016-0000-0400-0000CB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ExternalData_49" backgroundRefresh="0" growShrinkType="overwriteClear" connectionId="162" xr16:uid="{00000000-0016-0000-0400-0000B4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ExternalData_187" backgroundRefresh="0" growShrinkType="overwriteClear" connectionId="73" xr16:uid="{00000000-0016-0000-0400-00004C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ExternalData_166" backgroundRefresh="0" growShrinkType="overwriteClear" connectionId="50" xr16:uid="{00000000-0016-0000-0400-00007100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ExternalData_223" backgroundRefresh="0" growShrinkType="overwriteClear" connectionId="95" xr16:uid="{00000000-0016-0000-0400-00009800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ExternalData_198" backgroundRefresh="0" growShrinkType="overwriteClear" connectionId="83" xr16:uid="{00000000-0016-0000-0400-00007700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ExternalData_42" backgroundRefresh="0" growShrinkType="overwriteClear" connectionId="155" xr16:uid="{00000000-0016-0000-0400-000096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ExternalData_117" backgroundRefresh="0" growShrinkType="overwriteClear" connectionId="208" xr16:uid="{00000000-0016-0000-0400-000097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ExternalData_2" backgroundRefresh="0" growShrinkType="overwriteClear" connectionId="2" xr16:uid="{00000000-0016-0000-0400-0000AF00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ExternalData_261" backgroundRefresh="0" growShrinkType="overwriteClear" connectionId="134" xr16:uid="{1933CF2B-AD35-4C12-AAD0-245FAAF5405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ExternalData_51" backgroundRefresh="0" growShrinkType="overwriteClear" connectionId="164" xr16:uid="{00000000-0016-0000-0400-000090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ExternalData_96" backgroundRefresh="0" growShrinkType="overwriteClear" connectionId="138" xr16:uid="{00000000-0016-0000-0400-0000C3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ExternalData_201" backgroundRefresh="0" growShrinkType="overwriteClear" connectionId="86" xr16:uid="{00000000-0016-0000-0400-00005000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ExternalData_168" backgroundRefresh="0" growShrinkType="overwriteClear" connectionId="52" xr16:uid="{00000000-0016-0000-0400-000059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ExternalData_54" backgroundRefresh="0" growShrinkType="overwriteClear" connectionId="168" xr16:uid="{00000000-0016-0000-0400-0000CE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ExternalData_34" backgroundRefresh="0" growShrinkType="overwriteClear" connectionId="146" xr16:uid="{00000000-0016-0000-0400-000009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ExternalData_89" backgroundRefresh="0" growShrinkType="overwriteClear" connectionId="206" xr16:uid="{00000000-0016-0000-0400-0000C400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ExternalData_242" backgroundRefresh="0" growShrinkType="overwriteClear" connectionId="115" xr16:uid="{00000000-0016-0000-0400-00005E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ExternalData_19" backgroundRefresh="0" growShrinkType="overwriteClear" connectionId="80" xr16:uid="{00000000-0016-0000-0400-0000B600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ExternalData_133" backgroundRefresh="0" growShrinkType="overwriteClear" connectionId="13" xr16:uid="{00000000-0016-0000-0400-0000B0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ExternalData_213" backgroundRefresh="0" growShrinkType="overwriteClear" connectionId="96" xr16:uid="{00000000-0016-0000-0400-000070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ExternalData_138" backgroundRefresh="0" growShrinkType="overwriteClear" connectionId="19" xr16:uid="{00000000-0016-0000-0400-00007900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ExternalData_100" backgroundRefresh="0" growShrinkType="overwriteClear" connectionId="150" xr16:uid="{00000000-0016-0000-0400-000074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ExternalData_140" backgroundRefresh="0" growShrinkType="overwriteClear" connectionId="21" xr16:uid="{00000000-0016-0000-0400-00002800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ExternalData_262" backgroundRefresh="0" growShrinkType="overwriteClear" connectionId="135" xr16:uid="{D14084BD-A5BB-41B5-AFD1-9D6F78A44E3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ExternalData_80" backgroundRefresh="0" growShrinkType="overwriteClear" connectionId="196" xr16:uid="{00000000-0016-0000-0400-000066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ExternalData_230" backgroundRefresh="0" growShrinkType="overwriteClear" connectionId="109" xr16:uid="{00000000-0016-0000-0400-000023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ExternalData_246" backgroundRefresh="0" growShrinkType="overwriteClear" connectionId="121" xr16:uid="{00000000-0016-0000-0400-00000F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ExternalData_238" backgroundRefresh="0" growShrinkType="overwriteClear" connectionId="108" xr16:uid="{00000000-0016-0000-0400-00009B00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ExternalData_35" backgroundRefresh="0" growShrinkType="overwriteClear" connectionId="147" xr16:uid="{00000000-0016-0000-0400-00004D00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ExternalData_68" backgroundRefresh="0" growShrinkType="overwriteClear" connectionId="183" xr16:uid="{00000000-0016-0000-0400-000075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ExternalData_108" backgroundRefresh="0" growShrinkType="overwriteClear" connectionId="169" xr16:uid="{00000000-0016-0000-0400-0000A9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ExternalData_143" backgroundRefresh="0" growShrinkType="overwriteClear" connectionId="24" xr16:uid="{00000000-0016-0000-0400-00001D00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ExternalData_66" backgroundRefresh="0" growShrinkType="overwriteClear" connectionId="181" xr16:uid="{00000000-0016-0000-0400-00001E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ExternalData_60" backgroundRefresh="0" growShrinkType="overwriteClear" connectionId="174" xr16:uid="{00000000-0016-0000-0400-0000BD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ExternalData_216" backgroundRefresh="0" growShrinkType="overwriteClear" connectionId="99" xr16:uid="{00000000-0016-0000-0400-0000A200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ExternalData_95" backgroundRefresh="0" growShrinkType="overwriteClear" connectionId="213" xr16:uid="{00000000-0016-0000-0400-0000A6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ExternalData_154" backgroundRefresh="0" growShrinkType="overwriteClear" connectionId="37" xr16:uid="{00000000-0016-0000-0400-000049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ExternalData_71" backgroundRefresh="0" growShrinkType="overwriteClear" connectionId="186" xr16:uid="{00000000-0016-0000-0400-0000C500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ExternalData_146" backgroundRefresh="0" growShrinkType="overwriteClear" connectionId="28" xr16:uid="{00000000-0016-0000-0400-00006800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ExternalData_128" backgroundRefresh="0" growShrinkType="overwriteClear" connectionId="8" xr16:uid="{00000000-0016-0000-0400-00000C00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ExternalData_208" backgroundRefresh="0" growShrinkType="overwriteClear" connectionId="92" xr16:uid="{00000000-0016-0000-0400-000011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ExternalData_176" backgroundRefresh="0" growShrinkType="overwriteClear" connectionId="61" xr16:uid="{00000000-0016-0000-0400-000041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ExternalData_99" backgroundRefresh="0" growShrinkType="overwriteClear" connectionId="148" xr16:uid="{00000000-0016-0000-0400-0000AC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ExternalData_7" backgroundRefresh="0" growShrinkType="overwriteClear" connectionId="176" xr16:uid="{00000000-0016-0000-0400-00002500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ExternalData_174" backgroundRefresh="0" growShrinkType="overwriteClear" connectionId="59" xr16:uid="{00000000-0016-0000-0400-0000AD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ExternalData_75" backgroundRefresh="0" growShrinkType="overwriteClear" connectionId="191" xr16:uid="{00000000-0016-0000-0400-00006E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ExternalData_192" backgroundRefresh="0" growShrinkType="overwriteClear" connectionId="78" xr16:uid="{00000000-0016-0000-0400-000021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ExternalData_137" backgroundRefresh="0" growShrinkType="overwriteClear" connectionId="18" xr16:uid="{00000000-0016-0000-0400-00008500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ExternalData_256" backgroundRefresh="0" growShrinkType="overwriteClear" connectionId="127" xr16:uid="{A7923D69-9629-4AAF-87A9-917938826543}"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ExternalData_148" backgroundRefresh="0" growShrinkType="overwriteClear" connectionId="30" xr16:uid="{00000000-0016-0000-0400-00003B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ExternalData_248" backgroundRefresh="0" growShrinkType="overwriteClear" connectionId="123" xr16:uid="{2AA895A8-9D93-45DC-81FC-BFA6FE9CF3E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ExternalData_87" backgroundRefresh="0" growShrinkType="overwriteClear" connectionId="204" xr16:uid="{00000000-0016-0000-0400-00009200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ExternalData_258" backgroundRefresh="0" growShrinkType="overwriteClear" connectionId="129" xr16:uid="{18A336EA-170B-42F0-922C-EDE4DE5D50D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ExternalData_73" backgroundRefresh="0" growShrinkType="overwriteClear" connectionId="189" xr16:uid="{00000000-0016-0000-0400-0000B3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ExternalData_149" backgroundRefresh="0" growShrinkType="overwriteClear" connectionId="31" xr16:uid="{00000000-0016-0000-0400-00006A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ExternalData_257" backgroundRefresh="0" growShrinkType="overwriteClear" connectionId="128" xr16:uid="{929BD69D-D5ED-4D7E-8A4A-58B520BCC7A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ExternalData_179" backgroundRefresh="0" growShrinkType="overwriteClear" connectionId="64" xr16:uid="{00000000-0016-0000-0400-00002B00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ExternalData_53" backgroundRefresh="0" growShrinkType="overwriteClear" connectionId="167" xr16:uid="{00000000-0016-0000-0400-00005F00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ExternalData_141" backgroundRefresh="0" growShrinkType="overwriteClear" connectionId="22" xr16:uid="{00000000-0016-0000-0400-000052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ExternalData_157" backgroundRefresh="0" growShrinkType="overwriteClear" connectionId="40" xr16:uid="{00000000-0016-0000-0400-00005600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ExternalData_67" backgroundRefresh="0" growShrinkType="overwriteClear" connectionId="182" xr16:uid="{00000000-0016-0000-0400-0000AA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ExternalData_259" backgroundRefresh="0" growShrinkType="overwriteClear" connectionId="130" xr16:uid="{4E8294D4-CABA-402C-BB10-DF1E3661996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ExternalData_28" backgroundRefresh="0" growShrinkType="overwriteClear" connectionId="139" xr16:uid="{00000000-0016-0000-0400-000015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ExternalData_107" backgroundRefresh="0" growShrinkType="overwriteClear" connectionId="166" xr16:uid="{00000000-0016-0000-0400-00004A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overwriteClear" connectionId="1" xr16:uid="{00000000-0016-0000-0400-00009F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ExternalData_15" backgroundRefresh="0" growShrinkType="overwriteClear" connectionId="36" xr16:uid="{00000000-0016-0000-0400-000027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ExternalData_184" backgroundRefresh="0" growShrinkType="overwriteClear" connectionId="70" xr16:uid="{00000000-0016-0000-0400-00009500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ExternalData_199" backgroundRefresh="0" growShrinkType="overwriteClear" connectionId="84" xr16:uid="{00000000-0016-0000-0400-00000700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ExternalData_245" backgroundRefresh="0" growShrinkType="overwriteClear" connectionId="120" xr16:uid="{00000000-0016-0000-0400-00005300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ExternalData_10" backgroundRefresh="0" growShrinkType="overwriteClear" connectionId="209" xr16:uid="{00000000-0016-0000-0400-000060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ExternalData_195" backgroundRefresh="0" growShrinkType="overwriteClear" connectionId="79" xr16:uid="{00000000-0016-0000-0400-000013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ExternalData_185" backgroundRefresh="0" growShrinkType="overwriteClear" connectionId="71" xr16:uid="{00000000-0016-0000-0400-00001F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ExternalData_144" backgroundRefresh="0" growShrinkType="overwriteClear" connectionId="26" xr16:uid="{00000000-0016-0000-0400-00002E00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ExternalData_135" backgroundRefresh="0" growShrinkType="overwriteClear" connectionId="16" xr16:uid="{00000000-0016-0000-0400-00009E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ExternalData_169" backgroundRefresh="0" growShrinkType="overwriteClear" connectionId="53" xr16:uid="{00000000-0016-0000-0400-000067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3" dT="2022-11-05T05:38:17.79" personId="{5518FBDC-BB4E-42F8-AC0C-9D975850DEBD}" id="{25754854-317A-432C-A94E-79BAA21B6231}">
    <text>Pick from the dropdown</text>
  </threadedComment>
  <threadedComment ref="F3" dT="2022-11-05T05:38:37.71" personId="{5518FBDC-BB4E-42F8-AC0C-9D975850DEBD}" id="{90ADF3E1-711F-4B1E-AD6D-050B8FF33D74}">
    <text>This is for multiple competition bulk uploads</text>
  </threadedComment>
  <threadedComment ref="G3" dT="2022-11-05T05:38:48.48" personId="{5518FBDC-BB4E-42F8-AC0C-9D975850DEBD}" id="{12B7E9D5-3056-480D-ABB4-D4E7112C04FB}">
    <text>Randomise me</text>
  </threadedComment>
  <threadedComment ref="H3" dT="2022-11-05T05:38:55.17" personId="{5518FBDC-BB4E-42F8-AC0C-9D975850DEBD}" id="{879B212F-8810-48ED-8598-E1315A7FDCD5}">
    <text>Only input data in this column if you have split first and surnames</text>
  </threadedComment>
  <threadedComment ref="I3" dT="2022-11-05T05:39:01.37" personId="{5518FBDC-BB4E-42F8-AC0C-9D975850DEBD}" id="{5216D83A-0B87-46BF-8795-AB2EA538D78D}">
    <text>If you have first name and surname split, put just the surname here. IF you have combined first and surnames, put the whole name here AND LEAVE COLUMN H BLANK</text>
  </threadedComment>
  <threadedComment ref="J3" dT="2022-11-05T05:39:17.21" personId="{5518FBDC-BB4E-42F8-AC0C-9D975850DEBD}" id="{BEB54C8F-2943-46D4-A377-9A7090513034}">
    <text>Leave blank if not required. 2-4 letters usually</text>
  </threadedComment>
  <threadedComment ref="K3" dT="2022-11-05T05:39:34.80" personId="{5518FBDC-BB4E-42F8-AC0C-9D975850DEBD}" id="{86E065D2-0ECF-40EC-B02B-AB7A6DDEE8EF}">
    <text>Self explanatory.
Providing full DOB was unnecessary and meant we were collecting identifiable data form lifters. Just the year</text>
  </threadedComment>
  <threadedComment ref="L3" dT="2022-12-12T10:12:05.99" personId="{5518FBDC-BB4E-42F8-AC0C-9D975850DEBD}" id="{2D4EBA1A-CDAF-40DF-9FA7-57F4F5A67B55}">
    <text>For IPF:
CL - Classic
EQ - Equipped
Others:
CR - Classic Raw
SP - Single Ply
MP - Multi Ply
SO - Special Olympics
AD - Adaptive</text>
  </threadedComment>
  <threadedComment ref="M3" dT="2022-12-12T10:13:14.79" personId="{5518FBDC-BB4E-42F8-AC0C-9D975850DEBD}" id="{1BB135C2-7C8F-4763-8369-CA8F36BF6A38}">
    <text>PL - 3 lift
BP - Bench Only
PP - Push Pull (Bench/Dead)
SQ/BP/DL - single lift
SB - Squat / Bench (is this a thing?)
SD - Squat / Dead</text>
  </threadedComment>
  <threadedComment ref="N3" dT="2022-11-05T05:40:15.68" personId="{5518FBDC-BB4E-42F8-AC0C-9D975850DEBD}" id="{E120F1C1-F335-4A0F-95DA-145F08178DC8}">
    <text>F/M - used for IPF and Glos points calculation, weight classes, and for live stream information.
X (for Mx) is a third option. The software only supports one character right now. It will use Male weight classes &amp; points calculators</text>
  </threadedComment>
  <threadedComment ref="O3" dT="2022-11-05T05:40:21.45" personId="{5518FBDC-BB4E-42F8-AC0C-9D975850DEBD}" id="{ECF9A729-A0EE-401C-A000-8998F12538EF}">
    <text>Auto calculated based on year of birth - it doesn't do anything but will help fact check</text>
  </threadedComment>
  <threadedComment ref="P3" dT="2022-11-05T05:40:27.97" personId="{5518FBDC-BB4E-42F8-AC0C-9D975850DEBD}" id="{5497937D-D8EC-46DA-ACB9-CB7D0CBE37F0}">
    <text>Blank</text>
  </threadedComment>
  <threadedComment ref="Q3" dT="2022-11-05T05:40:41.18" personId="{5518FBDC-BB4E-42F8-AC0C-9D975850DEBD}" id="{9CC2D784-41BA-4CB4-B995-41CB981F535B}">
    <text xml:space="preserve">Flight / group. Used interchangably. </text>
  </threadedComment>
  <threadedComment ref="W3" dT="2023-01-10T23:24:45.27" personId="{5518FBDC-BB4E-42F8-AC0C-9D975850DEBD}" id="{1DF38124-A0B5-4547-AF10-647D8EDEBB32}">
    <text>Bodyweight - if you're using this prior to weigh in and will use simpleLifter for weigh in, type in the nominated weight class here.
If you're putting in weight classes andd the lifter is a SHW, just add a kg. eg. 
84+ -&gt; 85
120+ -&gt; 121
etc</text>
  </threadedComment>
  <threadedComment ref="X3" dT="2023-01-10T23:25:13.88" personId="{5518FBDC-BB4E-42F8-AC0C-9D975850DEBD}" id="{4AE4CC67-6640-42EC-A4CC-674921D0CD8B}">
    <text xml:space="preserve">Squat Rack Height
</text>
  </threadedComment>
  <threadedComment ref="Y3" dT="2023-01-10T23:25:50.99" personId="{5518FBDC-BB4E-42F8-AC0C-9D975850DEBD}" id="{11E35A56-6424-4BA5-945A-19AD024998AE}">
    <text>Bench / Safety rack height. Note this is free text to input what you want how you want.
Eg. 5/5, 5E, 5.5, etc they're all fine</text>
  </threadedComment>
  <threadedComment ref="Z3" dT="2023-01-10T23:25:59.81" personId="{5518FBDC-BB4E-42F8-AC0C-9D975850DEBD}" id="{5A06785B-9C45-40F0-9D2A-58339E0EDDDE}">
    <text>Opening squat</text>
  </threadedComment>
  <threadedComment ref="AA3" dT="2023-01-10T23:26:05.00" personId="{5518FBDC-BB4E-42F8-AC0C-9D975850DEBD}" id="{43A28E22-CC94-411F-B800-D6BDA553CE53}">
    <text>Opening Bench</text>
  </threadedComment>
  <threadedComment ref="AB3" dT="2023-01-10T23:26:12.72" personId="{5518FBDC-BB4E-42F8-AC0C-9D975850DEBD}" id="{CBC0868C-DB63-48B2-846F-449682F86EBA}">
    <text>Opening deadlift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17" Type="http://schemas.openxmlformats.org/officeDocument/2006/relationships/queryTable" Target="../queryTables/queryTable117.xml"/><Relationship Id="rId21" Type="http://schemas.openxmlformats.org/officeDocument/2006/relationships/queryTable" Target="../queryTables/queryTable21.xml"/><Relationship Id="rId42" Type="http://schemas.openxmlformats.org/officeDocument/2006/relationships/queryTable" Target="../queryTables/queryTable42.xml"/><Relationship Id="rId63" Type="http://schemas.openxmlformats.org/officeDocument/2006/relationships/queryTable" Target="../queryTables/queryTable63.xml"/><Relationship Id="rId84" Type="http://schemas.openxmlformats.org/officeDocument/2006/relationships/queryTable" Target="../queryTables/queryTable84.xml"/><Relationship Id="rId138" Type="http://schemas.openxmlformats.org/officeDocument/2006/relationships/queryTable" Target="../queryTables/queryTable138.xml"/><Relationship Id="rId159" Type="http://schemas.openxmlformats.org/officeDocument/2006/relationships/queryTable" Target="../queryTables/queryTable159.xml"/><Relationship Id="rId170" Type="http://schemas.openxmlformats.org/officeDocument/2006/relationships/queryTable" Target="../queryTables/queryTable170.xml"/><Relationship Id="rId191" Type="http://schemas.openxmlformats.org/officeDocument/2006/relationships/queryTable" Target="../queryTables/queryTable191.xml"/><Relationship Id="rId205" Type="http://schemas.openxmlformats.org/officeDocument/2006/relationships/queryTable" Target="../queryTables/queryTable205.xml"/><Relationship Id="rId107" Type="http://schemas.openxmlformats.org/officeDocument/2006/relationships/queryTable" Target="../queryTables/queryTable107.xml"/><Relationship Id="rId11" Type="http://schemas.openxmlformats.org/officeDocument/2006/relationships/queryTable" Target="../queryTables/queryTable11.xml"/><Relationship Id="rId32" Type="http://schemas.openxmlformats.org/officeDocument/2006/relationships/queryTable" Target="../queryTables/queryTable32.xml"/><Relationship Id="rId53" Type="http://schemas.openxmlformats.org/officeDocument/2006/relationships/queryTable" Target="../queryTables/queryTable53.xml"/><Relationship Id="rId74" Type="http://schemas.openxmlformats.org/officeDocument/2006/relationships/queryTable" Target="../queryTables/queryTable74.xml"/><Relationship Id="rId128" Type="http://schemas.openxmlformats.org/officeDocument/2006/relationships/queryTable" Target="../queryTables/queryTable128.xml"/><Relationship Id="rId149" Type="http://schemas.openxmlformats.org/officeDocument/2006/relationships/queryTable" Target="../queryTables/queryTable149.xml"/><Relationship Id="rId5" Type="http://schemas.openxmlformats.org/officeDocument/2006/relationships/queryTable" Target="../queryTables/queryTable5.xml"/><Relationship Id="rId90" Type="http://schemas.openxmlformats.org/officeDocument/2006/relationships/queryTable" Target="../queryTables/queryTable90.xml"/><Relationship Id="rId95" Type="http://schemas.openxmlformats.org/officeDocument/2006/relationships/queryTable" Target="../queryTables/queryTable95.xml"/><Relationship Id="rId160" Type="http://schemas.openxmlformats.org/officeDocument/2006/relationships/queryTable" Target="../queryTables/queryTable160.xml"/><Relationship Id="rId165" Type="http://schemas.openxmlformats.org/officeDocument/2006/relationships/queryTable" Target="../queryTables/queryTable165.xml"/><Relationship Id="rId181" Type="http://schemas.openxmlformats.org/officeDocument/2006/relationships/queryTable" Target="../queryTables/queryTable181.xml"/><Relationship Id="rId186" Type="http://schemas.openxmlformats.org/officeDocument/2006/relationships/queryTable" Target="../queryTables/queryTable186.xml"/><Relationship Id="rId216" Type="http://schemas.openxmlformats.org/officeDocument/2006/relationships/queryTable" Target="../queryTables/queryTable216.xml"/><Relationship Id="rId211" Type="http://schemas.openxmlformats.org/officeDocument/2006/relationships/queryTable" Target="../queryTables/queryTable211.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113" Type="http://schemas.openxmlformats.org/officeDocument/2006/relationships/queryTable" Target="../queryTables/queryTable113.xml"/><Relationship Id="rId118" Type="http://schemas.openxmlformats.org/officeDocument/2006/relationships/queryTable" Target="../queryTables/queryTable118.xml"/><Relationship Id="rId134" Type="http://schemas.openxmlformats.org/officeDocument/2006/relationships/queryTable" Target="../queryTables/queryTable134.xml"/><Relationship Id="rId139" Type="http://schemas.openxmlformats.org/officeDocument/2006/relationships/queryTable" Target="../queryTables/queryTable139.xml"/><Relationship Id="rId80" Type="http://schemas.openxmlformats.org/officeDocument/2006/relationships/queryTable" Target="../queryTables/queryTable80.xml"/><Relationship Id="rId85" Type="http://schemas.openxmlformats.org/officeDocument/2006/relationships/queryTable" Target="../queryTables/queryTable85.xml"/><Relationship Id="rId150" Type="http://schemas.openxmlformats.org/officeDocument/2006/relationships/queryTable" Target="../queryTables/queryTable150.xml"/><Relationship Id="rId155" Type="http://schemas.openxmlformats.org/officeDocument/2006/relationships/queryTable" Target="../queryTables/queryTable155.xml"/><Relationship Id="rId171" Type="http://schemas.openxmlformats.org/officeDocument/2006/relationships/queryTable" Target="../queryTables/queryTable171.xml"/><Relationship Id="rId176" Type="http://schemas.openxmlformats.org/officeDocument/2006/relationships/queryTable" Target="../queryTables/queryTable176.xml"/><Relationship Id="rId192" Type="http://schemas.openxmlformats.org/officeDocument/2006/relationships/queryTable" Target="../queryTables/queryTable192.xml"/><Relationship Id="rId197" Type="http://schemas.openxmlformats.org/officeDocument/2006/relationships/queryTable" Target="../queryTables/queryTable197.xml"/><Relationship Id="rId206" Type="http://schemas.openxmlformats.org/officeDocument/2006/relationships/queryTable" Target="../queryTables/queryTable206.xml"/><Relationship Id="rId201" Type="http://schemas.openxmlformats.org/officeDocument/2006/relationships/queryTable" Target="../queryTables/queryTable201.xml"/><Relationship Id="rId12" Type="http://schemas.openxmlformats.org/officeDocument/2006/relationships/queryTable" Target="../queryTables/queryTable12.xml"/><Relationship Id="rId17" Type="http://schemas.openxmlformats.org/officeDocument/2006/relationships/queryTable" Target="../queryTables/queryTable17.xml"/><Relationship Id="rId33" Type="http://schemas.openxmlformats.org/officeDocument/2006/relationships/queryTable" Target="../queryTables/queryTable33.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08" Type="http://schemas.openxmlformats.org/officeDocument/2006/relationships/queryTable" Target="../queryTables/queryTable108.xml"/><Relationship Id="rId124" Type="http://schemas.openxmlformats.org/officeDocument/2006/relationships/queryTable" Target="../queryTables/queryTable124.xml"/><Relationship Id="rId129" Type="http://schemas.openxmlformats.org/officeDocument/2006/relationships/queryTable" Target="../queryTables/queryTable129.xml"/><Relationship Id="rId54" Type="http://schemas.openxmlformats.org/officeDocument/2006/relationships/queryTable" Target="../queryTables/queryTable54.xml"/><Relationship Id="rId70" Type="http://schemas.openxmlformats.org/officeDocument/2006/relationships/queryTable" Target="../queryTables/queryTable70.xml"/><Relationship Id="rId75" Type="http://schemas.openxmlformats.org/officeDocument/2006/relationships/queryTable" Target="../queryTables/queryTable75.xml"/><Relationship Id="rId91" Type="http://schemas.openxmlformats.org/officeDocument/2006/relationships/queryTable" Target="../queryTables/queryTable91.xml"/><Relationship Id="rId96" Type="http://schemas.openxmlformats.org/officeDocument/2006/relationships/queryTable" Target="../queryTables/queryTable96.xml"/><Relationship Id="rId140" Type="http://schemas.openxmlformats.org/officeDocument/2006/relationships/queryTable" Target="../queryTables/queryTable140.xml"/><Relationship Id="rId145" Type="http://schemas.openxmlformats.org/officeDocument/2006/relationships/queryTable" Target="../queryTables/queryTable145.xml"/><Relationship Id="rId161" Type="http://schemas.openxmlformats.org/officeDocument/2006/relationships/queryTable" Target="../queryTables/queryTable161.xml"/><Relationship Id="rId166" Type="http://schemas.openxmlformats.org/officeDocument/2006/relationships/queryTable" Target="../queryTables/queryTable166.xml"/><Relationship Id="rId182" Type="http://schemas.openxmlformats.org/officeDocument/2006/relationships/queryTable" Target="../queryTables/queryTable182.xml"/><Relationship Id="rId187" Type="http://schemas.openxmlformats.org/officeDocument/2006/relationships/queryTable" Target="../queryTables/queryTable187.xml"/><Relationship Id="rId217" Type="http://schemas.openxmlformats.org/officeDocument/2006/relationships/queryTable" Target="../queryTables/queryTable217.xml"/><Relationship Id="rId1" Type="http://schemas.openxmlformats.org/officeDocument/2006/relationships/queryTable" Target="../queryTables/queryTable1.xml"/><Relationship Id="rId6" Type="http://schemas.openxmlformats.org/officeDocument/2006/relationships/queryTable" Target="../queryTables/queryTable6.xml"/><Relationship Id="rId212" Type="http://schemas.openxmlformats.org/officeDocument/2006/relationships/queryTable" Target="../queryTables/queryTable212.xml"/><Relationship Id="rId23" Type="http://schemas.openxmlformats.org/officeDocument/2006/relationships/queryTable" Target="../queryTables/queryTable23.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119" Type="http://schemas.openxmlformats.org/officeDocument/2006/relationships/queryTable" Target="../queryTables/queryTable119.xml"/><Relationship Id="rId44" Type="http://schemas.openxmlformats.org/officeDocument/2006/relationships/queryTable" Target="../queryTables/queryTable44.xml"/><Relationship Id="rId60" Type="http://schemas.openxmlformats.org/officeDocument/2006/relationships/queryTable" Target="../queryTables/queryTable60.xml"/><Relationship Id="rId65" Type="http://schemas.openxmlformats.org/officeDocument/2006/relationships/queryTable" Target="../queryTables/queryTable65.xml"/><Relationship Id="rId81" Type="http://schemas.openxmlformats.org/officeDocument/2006/relationships/queryTable" Target="../queryTables/queryTable81.xml"/><Relationship Id="rId86" Type="http://schemas.openxmlformats.org/officeDocument/2006/relationships/queryTable" Target="../queryTables/queryTable86.xml"/><Relationship Id="rId130" Type="http://schemas.openxmlformats.org/officeDocument/2006/relationships/queryTable" Target="../queryTables/queryTable130.xml"/><Relationship Id="rId135" Type="http://schemas.openxmlformats.org/officeDocument/2006/relationships/queryTable" Target="../queryTables/queryTable135.xml"/><Relationship Id="rId151" Type="http://schemas.openxmlformats.org/officeDocument/2006/relationships/queryTable" Target="../queryTables/queryTable151.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2" Type="http://schemas.openxmlformats.org/officeDocument/2006/relationships/queryTable" Target="../queryTables/queryTable202.xml"/><Relationship Id="rId207" Type="http://schemas.openxmlformats.org/officeDocument/2006/relationships/queryTable" Target="../queryTables/queryTable207.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109" Type="http://schemas.openxmlformats.org/officeDocument/2006/relationships/queryTable" Target="../queryTables/queryTable10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04" Type="http://schemas.openxmlformats.org/officeDocument/2006/relationships/queryTable" Target="../queryTables/queryTable104.xml"/><Relationship Id="rId120" Type="http://schemas.openxmlformats.org/officeDocument/2006/relationships/queryTable" Target="../queryTables/queryTable120.xml"/><Relationship Id="rId125" Type="http://schemas.openxmlformats.org/officeDocument/2006/relationships/queryTable" Target="../queryTables/queryTable125.xml"/><Relationship Id="rId141" Type="http://schemas.openxmlformats.org/officeDocument/2006/relationships/queryTable" Target="../queryTables/queryTable141.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3" Type="http://schemas.openxmlformats.org/officeDocument/2006/relationships/queryTable" Target="../queryTables/queryTable213.xml"/><Relationship Id="rId218" Type="http://schemas.openxmlformats.org/officeDocument/2006/relationships/queryTable" Target="../queryTables/queryTable218.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15" Type="http://schemas.openxmlformats.org/officeDocument/2006/relationships/queryTable" Target="../queryTables/queryTable115.xml"/><Relationship Id="rId131" Type="http://schemas.openxmlformats.org/officeDocument/2006/relationships/queryTable" Target="../queryTables/queryTable131.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61" Type="http://schemas.openxmlformats.org/officeDocument/2006/relationships/queryTable" Target="../queryTables/queryTable61.xml"/><Relationship Id="rId82" Type="http://schemas.openxmlformats.org/officeDocument/2006/relationships/queryTable" Target="../queryTables/queryTable82.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199" Type="http://schemas.openxmlformats.org/officeDocument/2006/relationships/queryTable" Target="../queryTables/queryTable199.xml"/><Relationship Id="rId203" Type="http://schemas.openxmlformats.org/officeDocument/2006/relationships/queryTable" Target="../queryTables/queryTable203.xml"/><Relationship Id="rId208" Type="http://schemas.openxmlformats.org/officeDocument/2006/relationships/queryTable" Target="../queryTables/queryTable208.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189" Type="http://schemas.openxmlformats.org/officeDocument/2006/relationships/queryTable" Target="../queryTables/queryTable189.xml"/><Relationship Id="rId219" Type="http://schemas.openxmlformats.org/officeDocument/2006/relationships/queryTable" Target="../queryTables/queryTable219.xml"/><Relationship Id="rId3" Type="http://schemas.openxmlformats.org/officeDocument/2006/relationships/queryTable" Target="../queryTables/queryTable3.xml"/><Relationship Id="rId214" Type="http://schemas.openxmlformats.org/officeDocument/2006/relationships/queryTable" Target="../queryTables/queryTable214.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79" Type="http://schemas.openxmlformats.org/officeDocument/2006/relationships/queryTable" Target="../queryTables/queryTable179.xml"/><Relationship Id="rId195" Type="http://schemas.openxmlformats.org/officeDocument/2006/relationships/queryTable" Target="../queryTables/queryTable195.xml"/><Relationship Id="rId209" Type="http://schemas.openxmlformats.org/officeDocument/2006/relationships/queryTable" Target="../queryTables/queryTable20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106" Type="http://schemas.openxmlformats.org/officeDocument/2006/relationships/queryTable" Target="../queryTables/queryTable106.xml"/><Relationship Id="rId127" Type="http://schemas.openxmlformats.org/officeDocument/2006/relationships/queryTable" Target="../queryTables/queryTable127.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78" Type="http://schemas.openxmlformats.org/officeDocument/2006/relationships/queryTable" Target="../queryTables/queryTable78.xml"/><Relationship Id="rId94" Type="http://schemas.openxmlformats.org/officeDocument/2006/relationships/queryTable" Target="../queryTables/queryTable94.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48" Type="http://schemas.openxmlformats.org/officeDocument/2006/relationships/queryTable" Target="../queryTables/queryTable148.xml"/><Relationship Id="rId164" Type="http://schemas.openxmlformats.org/officeDocument/2006/relationships/queryTable" Target="../queryTables/queryTable164.xml"/><Relationship Id="rId169" Type="http://schemas.openxmlformats.org/officeDocument/2006/relationships/queryTable" Target="../queryTables/queryTable169.xml"/><Relationship Id="rId185" Type="http://schemas.openxmlformats.org/officeDocument/2006/relationships/queryTable" Target="../queryTables/queryTable185.xml"/><Relationship Id="rId4" Type="http://schemas.openxmlformats.org/officeDocument/2006/relationships/queryTable" Target="../queryTables/queryTable4.xml"/><Relationship Id="rId9" Type="http://schemas.openxmlformats.org/officeDocument/2006/relationships/queryTable" Target="../queryTables/queryTable9.xml"/><Relationship Id="rId180" Type="http://schemas.openxmlformats.org/officeDocument/2006/relationships/queryTable" Target="../queryTables/queryTable180.xml"/><Relationship Id="rId210" Type="http://schemas.openxmlformats.org/officeDocument/2006/relationships/queryTable" Target="../queryTables/queryTable210.xml"/><Relationship Id="rId215" Type="http://schemas.openxmlformats.org/officeDocument/2006/relationships/queryTable" Target="../queryTables/queryTable215.xml"/><Relationship Id="rId26" Type="http://schemas.openxmlformats.org/officeDocument/2006/relationships/queryTable" Target="../queryTables/queryTable26.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196" Type="http://schemas.openxmlformats.org/officeDocument/2006/relationships/queryTable" Target="../queryTables/queryTable196.xml"/><Relationship Id="rId200" Type="http://schemas.openxmlformats.org/officeDocument/2006/relationships/queryTable" Target="../queryTables/queryTable200.xml"/><Relationship Id="rId16" Type="http://schemas.openxmlformats.org/officeDocument/2006/relationships/queryTable" Target="../queryTables/queryTable16.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4BF56-A988-4DB5-93AE-5B8669CB3ADA}">
  <sheetPr codeName="Sheet1"/>
  <dimension ref="A1:BR299"/>
  <sheetViews>
    <sheetView showGridLines="0" tabSelected="1" zoomScaleNormal="100" workbookViewId="0">
      <selection activeCell="E2" sqref="E2:Q2"/>
    </sheetView>
  </sheetViews>
  <sheetFormatPr defaultColWidth="8.85546875" defaultRowHeight="15" x14ac:dyDescent="0.25"/>
  <cols>
    <col min="5" max="5" width="56.28515625" bestFit="1" customWidth="1"/>
    <col min="6" max="6" width="12.42578125" hidden="1" customWidth="1"/>
    <col min="7" max="7" width="9.140625" style="4"/>
    <col min="8" max="8" width="19.7109375" style="4" bestFit="1" customWidth="1"/>
    <col min="9" max="9" width="20.7109375" style="4" bestFit="1" customWidth="1"/>
    <col min="10" max="10" width="6.7109375" style="4" bestFit="1" customWidth="1"/>
    <col min="11" max="11" width="12.85546875" style="4" bestFit="1" customWidth="1"/>
    <col min="12" max="12" width="12.85546875" style="4" customWidth="1"/>
    <col min="13" max="13" width="8.85546875" style="4" bestFit="1" customWidth="1"/>
    <col min="14" max="14" width="7.7109375" style="4" bestFit="1" customWidth="1"/>
    <col min="15" max="15" width="7.85546875" style="4" customWidth="1"/>
    <col min="16" max="16" width="0" style="4" hidden="1" customWidth="1"/>
    <col min="17" max="17" width="9.140625" style="4"/>
    <col min="18" max="24" width="8.85546875" style="4"/>
    <col min="25" max="25" width="8.85546875" style="20"/>
    <col min="26" max="28" width="8.85546875" style="4"/>
    <col min="29" max="30" width="8.85546875" customWidth="1"/>
    <col min="31" max="32" width="9.140625" style="1" hidden="1" customWidth="1"/>
    <col min="33" max="33" width="26.42578125" style="1" hidden="1" customWidth="1"/>
    <col min="34" max="38" width="9.140625" style="1" hidden="1" customWidth="1"/>
    <col min="39" max="39" width="12.42578125" style="1" hidden="1" customWidth="1"/>
    <col min="40" max="51" width="9.140625" style="1" hidden="1" customWidth="1"/>
    <col min="52" max="52" width="12.28515625" hidden="1" customWidth="1"/>
    <col min="53" max="53" width="9" hidden="1" customWidth="1"/>
    <col min="54" max="56" width="12.28515625" hidden="1" customWidth="1"/>
    <col min="57" max="60" width="20.42578125" hidden="1" customWidth="1"/>
    <col min="61" max="66" width="12.28515625" hidden="1" customWidth="1"/>
    <col min="67" max="67" width="9.140625" hidden="1" customWidth="1"/>
    <col min="68" max="68" width="11.85546875" hidden="1" customWidth="1"/>
    <col min="69" max="69" width="172.140625" hidden="1" customWidth="1"/>
    <col min="70" max="70" width="9.140625" hidden="1" customWidth="1"/>
  </cols>
  <sheetData>
    <row r="1" spans="1:70" x14ac:dyDescent="0.25">
      <c r="V1" s="4" t="s">
        <v>111</v>
      </c>
      <c r="AA1" s="4" t="s">
        <v>48</v>
      </c>
    </row>
    <row r="2" spans="1:70" s="141" customFormat="1" ht="321" customHeight="1" thickBot="1" x14ac:dyDescent="0.3">
      <c r="A2" s="147"/>
      <c r="B2" s="147"/>
      <c r="C2" s="147"/>
      <c r="D2" s="147"/>
      <c r="E2" s="143" t="s">
        <v>129</v>
      </c>
      <c r="F2" s="143"/>
      <c r="G2" s="143"/>
      <c r="H2" s="143"/>
      <c r="I2" s="143"/>
      <c r="J2" s="143"/>
      <c r="K2" s="143"/>
      <c r="L2" s="143"/>
      <c r="M2" s="143"/>
      <c r="N2" s="143"/>
      <c r="O2" s="143"/>
      <c r="P2" s="143"/>
      <c r="Q2" s="143"/>
      <c r="R2" s="145"/>
      <c r="S2" s="145"/>
      <c r="T2" s="145"/>
      <c r="U2" s="145"/>
      <c r="V2" s="145"/>
      <c r="W2" s="146" t="s">
        <v>87</v>
      </c>
      <c r="X2" s="146"/>
      <c r="Y2" s="146"/>
      <c r="Z2" s="146"/>
      <c r="AA2" s="146"/>
      <c r="AB2" s="146"/>
      <c r="AE2" s="142"/>
      <c r="AF2" s="142"/>
      <c r="AG2" s="142"/>
      <c r="AH2" s="142"/>
      <c r="AI2" s="142"/>
      <c r="AJ2" s="142"/>
      <c r="AK2" s="142"/>
      <c r="AL2" s="142"/>
      <c r="AM2" s="142"/>
      <c r="AN2" s="142"/>
      <c r="AO2" s="142"/>
      <c r="AP2" s="142"/>
      <c r="AQ2" s="142"/>
      <c r="AR2" s="142"/>
      <c r="AS2" s="142"/>
      <c r="AT2" s="142"/>
      <c r="AU2" s="142"/>
      <c r="AV2" s="142"/>
      <c r="AW2" s="142"/>
      <c r="AX2" s="142"/>
      <c r="AY2" s="142"/>
    </row>
    <row r="3" spans="1:70" ht="15.75" thickBot="1" x14ac:dyDescent="0.3">
      <c r="A3" s="144"/>
      <c r="B3" s="144"/>
      <c r="C3" s="144"/>
      <c r="D3" s="144"/>
      <c r="E3" s="43" t="s">
        <v>16</v>
      </c>
      <c r="F3" s="39" t="s">
        <v>17</v>
      </c>
      <c r="G3" s="39" t="s">
        <v>11</v>
      </c>
      <c r="H3" s="39" t="s">
        <v>10</v>
      </c>
      <c r="I3" s="39" t="s">
        <v>60</v>
      </c>
      <c r="J3" s="39" t="s">
        <v>12</v>
      </c>
      <c r="K3" s="39" t="s">
        <v>13</v>
      </c>
      <c r="L3" s="39" t="s">
        <v>113</v>
      </c>
      <c r="M3" s="39" t="s">
        <v>114</v>
      </c>
      <c r="N3" s="39" t="s">
        <v>54</v>
      </c>
      <c r="O3" s="39" t="s">
        <v>14</v>
      </c>
      <c r="P3" s="39"/>
      <c r="Q3" s="40" t="s">
        <v>15</v>
      </c>
      <c r="R3" s="40" t="s">
        <v>118</v>
      </c>
      <c r="S3" s="40" t="s">
        <v>119</v>
      </c>
      <c r="T3" s="40" t="s">
        <v>120</v>
      </c>
      <c r="U3" s="40" t="s">
        <v>121</v>
      </c>
      <c r="V3" s="40" t="s">
        <v>128</v>
      </c>
      <c r="W3" s="41" t="s">
        <v>126</v>
      </c>
      <c r="X3" s="41" t="s">
        <v>49</v>
      </c>
      <c r="Y3" s="42" t="s">
        <v>50</v>
      </c>
      <c r="Z3" s="41" t="s">
        <v>51</v>
      </c>
      <c r="AA3" s="41" t="s">
        <v>52</v>
      </c>
      <c r="AB3" s="41" t="s">
        <v>53</v>
      </c>
      <c r="AC3" s="7"/>
      <c r="AD3" s="7"/>
      <c r="AE3" s="14" t="s">
        <v>1</v>
      </c>
      <c r="AF3" s="12" t="s">
        <v>2</v>
      </c>
      <c r="AG3" s="12" t="s">
        <v>3</v>
      </c>
      <c r="AH3" s="12" t="s">
        <v>4</v>
      </c>
      <c r="AI3" s="12" t="s">
        <v>5</v>
      </c>
      <c r="AJ3" s="12" t="s">
        <v>115</v>
      </c>
      <c r="AK3" s="12" t="s">
        <v>116</v>
      </c>
      <c r="AL3" s="12" t="s">
        <v>117</v>
      </c>
      <c r="AM3" s="12" t="s">
        <v>6</v>
      </c>
      <c r="AN3" s="12" t="s">
        <v>112</v>
      </c>
      <c r="AO3" s="12" t="s">
        <v>122</v>
      </c>
      <c r="AP3" s="12" t="s">
        <v>123</v>
      </c>
      <c r="AQ3" s="12" t="s">
        <v>124</v>
      </c>
      <c r="AR3" s="12" t="s">
        <v>125</v>
      </c>
      <c r="AS3" s="12" t="s">
        <v>7</v>
      </c>
      <c r="AT3" s="12" t="s">
        <v>8</v>
      </c>
      <c r="AU3" s="13" t="s">
        <v>9</v>
      </c>
      <c r="AV3" s="19"/>
      <c r="AW3" s="19"/>
      <c r="AX3" s="19"/>
      <c r="AZ3" s="5"/>
    </row>
    <row r="4" spans="1:70" x14ac:dyDescent="0.25">
      <c r="A4" s="144"/>
      <c r="B4" s="144"/>
      <c r="C4" s="144"/>
      <c r="D4" s="144"/>
      <c r="E4" s="52" t="s">
        <v>74</v>
      </c>
      <c r="F4" s="53"/>
      <c r="G4" s="53">
        <v>69</v>
      </c>
      <c r="H4" s="54" t="s">
        <v>61</v>
      </c>
      <c r="I4" s="54" t="s">
        <v>62</v>
      </c>
      <c r="J4" s="54" t="s">
        <v>63</v>
      </c>
      <c r="K4" s="54">
        <v>1990</v>
      </c>
      <c r="L4" s="54" t="s">
        <v>56</v>
      </c>
      <c r="M4" s="55" t="s">
        <v>57</v>
      </c>
      <c r="N4" s="54" t="s">
        <v>58</v>
      </c>
      <c r="O4" s="54">
        <f ca="1">YEAR(TODAY())-K4</f>
        <v>33</v>
      </c>
      <c r="P4" s="53"/>
      <c r="Q4" s="53" t="s">
        <v>0</v>
      </c>
      <c r="R4" s="53"/>
      <c r="S4" s="53"/>
      <c r="T4" s="53"/>
      <c r="U4" s="53"/>
      <c r="V4" s="53"/>
      <c r="W4" s="53">
        <v>55</v>
      </c>
      <c r="X4" s="53">
        <v>15</v>
      </c>
      <c r="Y4" s="56" t="s">
        <v>59</v>
      </c>
      <c r="Z4" s="57">
        <v>100</v>
      </c>
      <c r="AA4" s="57">
        <v>200</v>
      </c>
      <c r="AB4" s="58">
        <v>200</v>
      </c>
      <c r="AE4" s="15" t="str">
        <f t="shared" ref="AE4:AE51" si="0">IF(Q4="","A",PROPER(Q4))</f>
        <v>A</v>
      </c>
      <c r="AF4" s="9">
        <f t="shared" ref="AF4:AF67" si="1">G4</f>
        <v>69</v>
      </c>
      <c r="AG4" s="9" t="str">
        <f>IF(ISBLANK(H4),I4,H4&amp;" " &amp;I4)</f>
        <v>Testy McTestface</v>
      </c>
      <c r="AH4" s="9" t="str">
        <f>IF(ISBLANK(J4),"",J4)</f>
        <v>AAA</v>
      </c>
      <c r="AI4" s="9">
        <f t="shared" ref="AI4:AI67" si="2">K4</f>
        <v>1990</v>
      </c>
      <c r="AJ4" s="45" t="str">
        <f>N4</f>
        <v>M</v>
      </c>
      <c r="AK4" s="45" t="str">
        <f>L4</f>
        <v>EQ</v>
      </c>
      <c r="AL4" s="45" t="str">
        <f>M4</f>
        <v>PL</v>
      </c>
      <c r="AM4" s="8" t="str">
        <f>LEFT(N4,1)&amp;"-"&amp;L4&amp;"-"&amp;M4</f>
        <v>M-EQ-PL</v>
      </c>
      <c r="AN4" s="10">
        <f>W4</f>
        <v>55</v>
      </c>
      <c r="AO4" s="10">
        <v>20</v>
      </c>
      <c r="AP4" s="10">
        <v>30</v>
      </c>
      <c r="AQ4" s="10">
        <v>40</v>
      </c>
      <c r="AR4" s="10">
        <v>50</v>
      </c>
      <c r="AS4" s="9">
        <v>0</v>
      </c>
      <c r="AT4" s="9">
        <f>X4</f>
        <v>15</v>
      </c>
      <c r="AU4" s="11" t="str">
        <f>Y4</f>
        <v>5/5</v>
      </c>
      <c r="AV4" s="6"/>
      <c r="AW4" s="6"/>
      <c r="AX4" s="6"/>
      <c r="AZ4" t="str">
        <f>"{"&amp;AE$3&amp;":"&amp;CHAR(34)&amp;AE4&amp;CHAR(34)&amp;","</f>
        <v>{"group":"A",</v>
      </c>
      <c r="BA4" t="str">
        <f t="shared" ref="BA4:BA67" si="3">AF$3&amp;":"&amp;AF4&amp;","</f>
        <v>"lot":69,</v>
      </c>
      <c r="BB4" t="str">
        <f t="shared" ref="BB4" si="4">AG$3&amp;":"&amp;CHAR(34)&amp;AG4&amp;CHAR(34)&amp;","</f>
        <v>"name":"Testy McTestface",</v>
      </c>
      <c r="BC4" t="str">
        <f t="shared" ref="BC4" si="5">AH$3&amp;":"&amp;CHAR(34)&amp;AH4&amp;CHAR(34)&amp;","</f>
        <v>"team":"AAA",</v>
      </c>
      <c r="BD4" t="str">
        <f t="shared" ref="BD4" si="6">AI$3&amp;":"&amp;CHAR(34)&amp;AI4&amp;CHAR(34)&amp;","</f>
        <v>"year":"1990",</v>
      </c>
      <c r="BE4" t="str">
        <f t="shared" ref="BE4" si="7">AJ$3&amp;":"&amp;CHAR(34)&amp;AJ4&amp;CHAR(34)&amp;","</f>
        <v>"gender":"M",</v>
      </c>
      <c r="BF4" t="str">
        <f t="shared" ref="BF4" si="8">AK$3&amp;":"&amp;CHAR(34)&amp;AK4&amp;CHAR(34)&amp;","</f>
        <v>"gear":"EQ",</v>
      </c>
      <c r="BG4" t="str">
        <f t="shared" ref="BG4" si="9">AL$3&amp;":"&amp;CHAR(34)&amp;AL4&amp;CHAR(34)&amp;","</f>
        <v>"lifts":"PL",</v>
      </c>
      <c r="BH4" t="str">
        <f>AM$3&amp;":"&amp;CHAR(34)&amp;AM4&amp;CHAR(34)&amp;","</f>
        <v>"division":"M-EQ-PL",</v>
      </c>
      <c r="BI4" t="str">
        <f>AN$3&amp;":"&amp;CHAR(34)&amp;AN4&amp;CHAR(34)&amp;","</f>
        <v>"wc":"55",</v>
      </c>
      <c r="BJ4" t="str">
        <f>CHAR(34)&amp;W$3&amp;CHAR(34)&amp;":"&amp;CHAR(34)&amp;W4&amp;CHAR(34)&amp;","</f>
        <v>"bw":"55",</v>
      </c>
      <c r="BK4" t="str">
        <f>CHAR(34)&amp;"pb"&amp;CHAR(34)&amp;":["&amp;AO4&amp;","&amp;AP4&amp;","&amp;AQ4&amp;","&amp;AR4&amp;"],"</f>
        <v>"pb":[20,30,40,50],</v>
      </c>
      <c r="BL4" t="str">
        <f t="shared" ref="BL4:BL67" si="10">AS$3&amp;":"&amp;CHAR(34)&amp;AS4&amp;CHAR(34)&amp;","</f>
        <v>"idx":"0",</v>
      </c>
      <c r="BM4" t="str">
        <f t="shared" ref="BM4:BM67" si="11">AT$3&amp;":"&amp;CHAR(34)&amp;AT4&amp;CHAR(34)&amp;","</f>
        <v>"sr":"15",</v>
      </c>
      <c r="BN4" t="str">
        <f t="shared" ref="BN4:BN67" si="12">AU$3&amp;":"&amp;CHAR(34)&amp;AU4&amp;CHAR(34)&amp;","</f>
        <v>"br":"5/5",</v>
      </c>
      <c r="BO4" t="str">
        <f t="shared" ref="BO4:BO67" si="13">CHAR(34)&amp;"row"&amp;CHAR(34)&amp;":"&amp;AF4&amp;","</f>
        <v>"row":69,</v>
      </c>
      <c r="BP4" t="s">
        <v>55</v>
      </c>
      <c r="BQ4" t="str">
        <f t="shared" ref="BQ4:BQ67" si="14">SUBSTITUTE(SUBSTITUTE(SUBSTITUTE(BP4,"999.5",IF(ISBLANK(Z4),"0",Z4)),"888.5",IF(ISBLANK(AA4),"0",AA4)),"555.5",IF(ISBLANK(AB4),"0",AB4))</f>
        <v>"sq":{"a1":100,"a2":"","a3":"","s1":0,"s2":0,"s3":0},"bp":{"a1":200,"a2":"","a3":"","s1":0,"s2":0,"s3":0},"dl":{"a1":200,"a2":"","a3":"","s1":0,"s2":0,"s3":0},"sortOrder":0,"act":{}}</v>
      </c>
      <c r="BR4">
        <v>7</v>
      </c>
    </row>
    <row r="5" spans="1:70" x14ac:dyDescent="0.25">
      <c r="A5" s="144"/>
      <c r="B5" s="144"/>
      <c r="C5" s="144"/>
      <c r="D5" s="144"/>
      <c r="E5" s="59"/>
      <c r="F5" s="60"/>
      <c r="G5" s="60"/>
      <c r="H5" s="140"/>
      <c r="I5" s="61"/>
      <c r="J5" s="59"/>
      <c r="K5" s="140"/>
      <c r="L5" s="59"/>
      <c r="M5" s="62"/>
      <c r="N5" s="59"/>
      <c r="O5" s="148">
        <f t="shared" ref="O5:O41" ca="1" si="15">YEAR(TODAY())-K5</f>
        <v>2023</v>
      </c>
      <c r="P5" s="60"/>
      <c r="Q5" s="60"/>
      <c r="R5" s="60"/>
      <c r="S5" s="60"/>
      <c r="T5" s="60"/>
      <c r="U5" s="60"/>
      <c r="V5" s="60"/>
      <c r="W5" s="60"/>
      <c r="X5" s="60"/>
      <c r="Y5" s="63"/>
      <c r="Z5" s="64"/>
      <c r="AA5" s="64"/>
      <c r="AB5" s="64"/>
      <c r="AE5" s="15" t="str">
        <f t="shared" si="0"/>
        <v>A</v>
      </c>
      <c r="AF5" s="8">
        <f t="shared" si="1"/>
        <v>0</v>
      </c>
      <c r="AG5" s="9">
        <f t="shared" ref="AG5:AG68" si="16">IF(ISBLANK(H5),I5,H5&amp;" " &amp;I5)</f>
        <v>0</v>
      </c>
      <c r="AH5" s="9" t="str">
        <f t="shared" ref="AH5:AH68" si="17">IF(ISBLANK(J5),"",J5)</f>
        <v/>
      </c>
      <c r="AI5" s="9">
        <f t="shared" si="2"/>
        <v>0</v>
      </c>
      <c r="AJ5" s="45">
        <f t="shared" ref="AJ5:AJ68" si="18">N5</f>
        <v>0</v>
      </c>
      <c r="AK5" s="45">
        <f t="shared" ref="AK5:AK68" si="19">L5</f>
        <v>0</v>
      </c>
      <c r="AL5" s="45">
        <f t="shared" ref="AL5:AL68" si="20">M5</f>
        <v>0</v>
      </c>
      <c r="AM5" s="8" t="str">
        <f t="shared" ref="AM5:AM68" si="21">LEFT(N5,1)&amp;"-"&amp;L5&amp;"-"&amp;M5</f>
        <v>--</v>
      </c>
      <c r="AN5" s="10">
        <f t="shared" ref="AN5:AN68" si="22">W5</f>
        <v>0</v>
      </c>
      <c r="AO5" s="10">
        <f t="shared" ref="AO5:AO68" si="23">R5</f>
        <v>0</v>
      </c>
      <c r="AP5" s="10">
        <f t="shared" ref="AP5:AP68" si="24">S5</f>
        <v>0</v>
      </c>
      <c r="AQ5" s="10">
        <f t="shared" ref="AQ5:AQ68" si="25">T5</f>
        <v>0</v>
      </c>
      <c r="AR5" s="10">
        <f t="shared" ref="AR5:AR68" si="26">U5</f>
        <v>0</v>
      </c>
      <c r="AS5" s="8">
        <v>0</v>
      </c>
      <c r="AT5" s="9">
        <f t="shared" ref="AT5:AT68" si="27">X5</f>
        <v>0</v>
      </c>
      <c r="AU5" s="11">
        <f t="shared" ref="AU5:AU68" si="28">Y5</f>
        <v>0</v>
      </c>
      <c r="AV5" s="6"/>
      <c r="AW5" s="6"/>
      <c r="AX5" s="6"/>
      <c r="AZ5" t="str">
        <f t="shared" ref="AZ5:AZ68" si="29">"{"&amp;AE$3&amp;":"&amp;CHAR(34)&amp;AE5&amp;CHAR(34)&amp;","</f>
        <v>{"group":"A",</v>
      </c>
      <c r="BA5" t="str">
        <f t="shared" si="3"/>
        <v>"lot":0,</v>
      </c>
      <c r="BB5" t="str">
        <f t="shared" ref="BB5:BB68" si="30">AG$3&amp;":"&amp;CHAR(34)&amp;AG5&amp;CHAR(34)&amp;","</f>
        <v>"name":"0",</v>
      </c>
      <c r="BC5" t="str">
        <f t="shared" ref="BC5:BC68" si="31">AH$3&amp;":"&amp;CHAR(34)&amp;AH5&amp;CHAR(34)&amp;","</f>
        <v>"team":"",</v>
      </c>
      <c r="BD5" t="str">
        <f t="shared" ref="BD5:BD68" si="32">AI$3&amp;":"&amp;CHAR(34)&amp;AI5&amp;CHAR(34)&amp;","</f>
        <v>"year":"0",</v>
      </c>
      <c r="BE5" t="str">
        <f t="shared" ref="BE5:BE68" si="33">AJ$3&amp;":"&amp;CHAR(34)&amp;AJ5&amp;CHAR(34)&amp;","</f>
        <v>"gender":"0",</v>
      </c>
      <c r="BF5" t="str">
        <f t="shared" ref="BF5:BF68" si="34">AK$3&amp;":"&amp;CHAR(34)&amp;AK5&amp;CHAR(34)&amp;","</f>
        <v>"gear":"0",</v>
      </c>
      <c r="BG5" t="str">
        <f t="shared" ref="BG5:BG68" si="35">AL$3&amp;":"&amp;CHAR(34)&amp;AL5&amp;CHAR(34)&amp;","</f>
        <v>"lifts":"0",</v>
      </c>
      <c r="BH5" t="str">
        <f t="shared" ref="BH5:BH68" si="36">AM$3&amp;":"&amp;CHAR(34)&amp;AM5&amp;CHAR(34)&amp;","</f>
        <v>"division":"--",</v>
      </c>
      <c r="BI5" t="str">
        <f t="shared" ref="BI5:BI68" si="37">AN$3&amp;":"&amp;CHAR(34)&amp;AN5&amp;CHAR(34)&amp;","</f>
        <v>"wc":"0",</v>
      </c>
      <c r="BJ5" t="str">
        <f t="shared" ref="BJ5:BJ68" si="38">CHAR(34)&amp;W$3&amp;CHAR(34)&amp;":"&amp;CHAR(34)&amp;W5&amp;CHAR(34)&amp;","</f>
        <v>"bw":"",</v>
      </c>
      <c r="BK5" t="str">
        <f t="shared" ref="BK5:BK68" si="39">CHAR(34)&amp;"pb"&amp;CHAR(34)&amp;":["&amp;AO5&amp;","&amp;AP5&amp;","&amp;AQ5&amp;","&amp;AR5&amp;"],"</f>
        <v>"pb":[0,0,0,0],</v>
      </c>
      <c r="BL5" t="str">
        <f t="shared" si="10"/>
        <v>"idx":"0",</v>
      </c>
      <c r="BM5" t="str">
        <f t="shared" si="11"/>
        <v>"sr":"0",</v>
      </c>
      <c r="BN5" t="str">
        <f t="shared" si="12"/>
        <v>"br":"0",</v>
      </c>
      <c r="BO5" t="str">
        <f t="shared" si="13"/>
        <v>"row":0,</v>
      </c>
      <c r="BP5" t="s">
        <v>55</v>
      </c>
      <c r="BQ5" t="str">
        <f t="shared" si="14"/>
        <v>"sq":{"a1":0,"a2":"","a3":"","s1":0,"s2":0,"s3":0},"bp":{"a1":0,"a2":"","a3":"","s1":0,"s2":0,"s3":0},"dl":{"a1":0,"a2":"","a3":"","s1":0,"s2":0,"s3":0},"sortOrder":0,"act":{}}</v>
      </c>
      <c r="BR5" t="str">
        <f t="shared" ref="BR5:BR68" si="40">AZ5&amp;BA5&amp;BB5&amp;BC5&amp;BD5&amp;BE5&amp;BF5&amp;BG5&amp;BH5&amp;BI5&amp;BJ5&amp;BK5&amp;BL5&amp;BM5&amp;BN5&amp;BO5&amp;BQ5</f>
        <v>{"group":"A","lot":0,"name":"0","team":"","year":"0","gender":"0","gear":"0","lifts":"0","division":"--","wc":"0","bw":"","pb":[0,0,0,0],"idx":"0","sr":"0","br":"0","row":0,"sq":{"a1":0,"a2":"","a3":"","s1":0,"s2":0,"s3":0},"bp":{"a1":0,"a2":"","a3":"","s1":0,"s2":0,"s3":0},"dl":{"a1":0,"a2":"","a3":"","s1":0,"s2":0,"s3":0},"sortOrder":0,"act":{}}</v>
      </c>
    </row>
    <row r="6" spans="1:70" x14ac:dyDescent="0.25">
      <c r="A6" s="144"/>
      <c r="B6" s="144"/>
      <c r="C6" s="144"/>
      <c r="D6" s="144"/>
      <c r="E6" s="59"/>
      <c r="F6" s="60"/>
      <c r="G6" s="60"/>
      <c r="H6" s="140"/>
      <c r="I6" s="61"/>
      <c r="J6" s="59"/>
      <c r="K6" s="140"/>
      <c r="L6" s="59"/>
      <c r="M6" s="62"/>
      <c r="N6" s="59"/>
      <c r="O6" s="148">
        <f t="shared" ca="1" si="15"/>
        <v>2023</v>
      </c>
      <c r="P6" s="60"/>
      <c r="Q6" s="60"/>
      <c r="R6" s="60"/>
      <c r="S6" s="60"/>
      <c r="T6" s="60"/>
      <c r="U6" s="60"/>
      <c r="V6" s="60"/>
      <c r="W6" s="60"/>
      <c r="X6" s="60"/>
      <c r="Y6" s="63"/>
      <c r="Z6" s="64"/>
      <c r="AA6" s="64"/>
      <c r="AB6" s="64"/>
      <c r="AE6" s="15" t="str">
        <f t="shared" si="0"/>
        <v>A</v>
      </c>
      <c r="AF6" s="8">
        <f t="shared" si="1"/>
        <v>0</v>
      </c>
      <c r="AG6" s="9">
        <f t="shared" si="16"/>
        <v>0</v>
      </c>
      <c r="AH6" s="9" t="str">
        <f t="shared" si="17"/>
        <v/>
      </c>
      <c r="AI6" s="8">
        <f>K6</f>
        <v>0</v>
      </c>
      <c r="AJ6" s="45">
        <f t="shared" si="18"/>
        <v>0</v>
      </c>
      <c r="AK6" s="45">
        <f t="shared" si="19"/>
        <v>0</v>
      </c>
      <c r="AL6" s="45">
        <f t="shared" si="20"/>
        <v>0</v>
      </c>
      <c r="AM6" s="8" t="str">
        <f t="shared" si="21"/>
        <v>--</v>
      </c>
      <c r="AN6" s="10">
        <f t="shared" si="22"/>
        <v>0</v>
      </c>
      <c r="AO6" s="10">
        <f t="shared" si="23"/>
        <v>0</v>
      </c>
      <c r="AP6" s="10">
        <f t="shared" si="24"/>
        <v>0</v>
      </c>
      <c r="AQ6" s="10">
        <f t="shared" si="25"/>
        <v>0</v>
      </c>
      <c r="AR6" s="10">
        <f t="shared" si="26"/>
        <v>0</v>
      </c>
      <c r="AS6" s="8">
        <v>1</v>
      </c>
      <c r="AT6" s="9">
        <f t="shared" si="27"/>
        <v>0</v>
      </c>
      <c r="AU6" s="11">
        <f t="shared" si="28"/>
        <v>0</v>
      </c>
      <c r="AV6" s="6"/>
      <c r="AW6" s="6"/>
      <c r="AX6" s="6"/>
      <c r="AZ6" t="str">
        <f t="shared" si="29"/>
        <v>{"group":"A",</v>
      </c>
      <c r="BA6" t="str">
        <f t="shared" si="3"/>
        <v>"lot":0,</v>
      </c>
      <c r="BB6" t="str">
        <f t="shared" si="30"/>
        <v>"name":"0",</v>
      </c>
      <c r="BC6" t="str">
        <f t="shared" si="31"/>
        <v>"team":"",</v>
      </c>
      <c r="BD6" t="str">
        <f t="shared" si="32"/>
        <v>"year":"0",</v>
      </c>
      <c r="BE6" t="str">
        <f t="shared" si="33"/>
        <v>"gender":"0",</v>
      </c>
      <c r="BF6" t="str">
        <f t="shared" si="34"/>
        <v>"gear":"0",</v>
      </c>
      <c r="BG6" t="str">
        <f t="shared" si="35"/>
        <v>"lifts":"0",</v>
      </c>
      <c r="BH6" t="str">
        <f t="shared" si="36"/>
        <v>"division":"--",</v>
      </c>
      <c r="BI6" t="str">
        <f t="shared" si="37"/>
        <v>"wc":"0",</v>
      </c>
      <c r="BJ6" t="str">
        <f t="shared" si="38"/>
        <v>"bw":"",</v>
      </c>
      <c r="BK6" t="str">
        <f t="shared" si="39"/>
        <v>"pb":[0,0,0,0],</v>
      </c>
      <c r="BL6" t="str">
        <f t="shared" si="10"/>
        <v>"idx":"1",</v>
      </c>
      <c r="BM6" t="str">
        <f t="shared" si="11"/>
        <v>"sr":"0",</v>
      </c>
      <c r="BN6" t="str">
        <f t="shared" si="12"/>
        <v>"br":"0",</v>
      </c>
      <c r="BO6" t="str">
        <f t="shared" si="13"/>
        <v>"row":0,</v>
      </c>
      <c r="BP6" t="s">
        <v>55</v>
      </c>
      <c r="BQ6" t="str">
        <f t="shared" si="14"/>
        <v>"sq":{"a1":0,"a2":"","a3":"","s1":0,"s2":0,"s3":0},"bp":{"a1":0,"a2":"","a3":"","s1":0,"s2":0,"s3":0},"dl":{"a1":0,"a2":"","a3":"","s1":0,"s2":0,"s3":0},"sortOrder":0,"act":{}}</v>
      </c>
      <c r="BR6" t="str">
        <f t="shared" si="40"/>
        <v>{"group":"A","lot":0,"name":"0","team":"","year":"0","gender":"0","gear":"0","lifts":"0","division":"--","wc":"0","bw":"","pb":[0,0,0,0],"idx":"1","sr":"0","br":"0","row":0,"sq":{"a1":0,"a2":"","a3":"","s1":0,"s2":0,"s3":0},"bp":{"a1":0,"a2":"","a3":"","s1":0,"s2":0,"s3":0},"dl":{"a1":0,"a2":"","a3":"","s1":0,"s2":0,"s3":0},"sortOrder":0,"act":{}}</v>
      </c>
    </row>
    <row r="7" spans="1:70" x14ac:dyDescent="0.25">
      <c r="A7" s="144"/>
      <c r="B7" s="144"/>
      <c r="C7" s="144"/>
      <c r="D7" s="144"/>
      <c r="E7" s="59"/>
      <c r="F7" s="60"/>
      <c r="G7" s="60"/>
      <c r="H7" s="140"/>
      <c r="I7" s="61"/>
      <c r="J7" s="59"/>
      <c r="K7" s="140"/>
      <c r="L7" s="59"/>
      <c r="M7" s="62"/>
      <c r="N7" s="59"/>
      <c r="O7" s="148">
        <f t="shared" ca="1" si="15"/>
        <v>2023</v>
      </c>
      <c r="P7" s="60"/>
      <c r="Q7" s="60"/>
      <c r="R7" s="60"/>
      <c r="S7" s="60"/>
      <c r="T7" s="60"/>
      <c r="U7" s="60"/>
      <c r="V7" s="60"/>
      <c r="W7" s="60"/>
      <c r="X7" s="60"/>
      <c r="Y7" s="63"/>
      <c r="Z7" s="64"/>
      <c r="AA7" s="64"/>
      <c r="AB7" s="64"/>
      <c r="AE7" s="15" t="str">
        <f t="shared" si="0"/>
        <v>A</v>
      </c>
      <c r="AF7" s="8">
        <f t="shared" si="1"/>
        <v>0</v>
      </c>
      <c r="AG7" s="9">
        <f t="shared" si="16"/>
        <v>0</v>
      </c>
      <c r="AH7" s="9" t="str">
        <f t="shared" si="17"/>
        <v/>
      </c>
      <c r="AI7" s="8">
        <f t="shared" si="2"/>
        <v>0</v>
      </c>
      <c r="AJ7" s="45">
        <f t="shared" si="18"/>
        <v>0</v>
      </c>
      <c r="AK7" s="45">
        <f t="shared" si="19"/>
        <v>0</v>
      </c>
      <c r="AL7" s="45">
        <f t="shared" si="20"/>
        <v>0</v>
      </c>
      <c r="AM7" s="8" t="str">
        <f t="shared" si="21"/>
        <v>--</v>
      </c>
      <c r="AN7" s="10">
        <f t="shared" si="22"/>
        <v>0</v>
      </c>
      <c r="AO7" s="10">
        <f t="shared" si="23"/>
        <v>0</v>
      </c>
      <c r="AP7" s="10">
        <f t="shared" si="24"/>
        <v>0</v>
      </c>
      <c r="AQ7" s="10">
        <f t="shared" si="25"/>
        <v>0</v>
      </c>
      <c r="AR7" s="10">
        <f t="shared" si="26"/>
        <v>0</v>
      </c>
      <c r="AS7" s="8">
        <v>2</v>
      </c>
      <c r="AT7" s="9">
        <f t="shared" si="27"/>
        <v>0</v>
      </c>
      <c r="AU7" s="11">
        <f t="shared" si="28"/>
        <v>0</v>
      </c>
      <c r="AV7" s="6"/>
      <c r="AW7" s="6"/>
      <c r="AX7" s="6"/>
      <c r="AZ7" t="str">
        <f t="shared" si="29"/>
        <v>{"group":"A",</v>
      </c>
      <c r="BA7" t="str">
        <f t="shared" si="3"/>
        <v>"lot":0,</v>
      </c>
      <c r="BB7" t="str">
        <f t="shared" si="30"/>
        <v>"name":"0",</v>
      </c>
      <c r="BC7" t="str">
        <f t="shared" si="31"/>
        <v>"team":"",</v>
      </c>
      <c r="BD7" t="str">
        <f t="shared" si="32"/>
        <v>"year":"0",</v>
      </c>
      <c r="BE7" t="str">
        <f t="shared" si="33"/>
        <v>"gender":"0",</v>
      </c>
      <c r="BF7" t="str">
        <f t="shared" si="34"/>
        <v>"gear":"0",</v>
      </c>
      <c r="BG7" t="str">
        <f t="shared" si="35"/>
        <v>"lifts":"0",</v>
      </c>
      <c r="BH7" t="str">
        <f t="shared" si="36"/>
        <v>"division":"--",</v>
      </c>
      <c r="BI7" t="str">
        <f t="shared" si="37"/>
        <v>"wc":"0",</v>
      </c>
      <c r="BJ7" t="str">
        <f t="shared" si="38"/>
        <v>"bw":"",</v>
      </c>
      <c r="BK7" t="str">
        <f t="shared" si="39"/>
        <v>"pb":[0,0,0,0],</v>
      </c>
      <c r="BL7" t="str">
        <f t="shared" si="10"/>
        <v>"idx":"2",</v>
      </c>
      <c r="BM7" t="str">
        <f t="shared" si="11"/>
        <v>"sr":"0",</v>
      </c>
      <c r="BN7" t="str">
        <f t="shared" si="12"/>
        <v>"br":"0",</v>
      </c>
      <c r="BO7" t="str">
        <f t="shared" si="13"/>
        <v>"row":0,</v>
      </c>
      <c r="BP7" t="s">
        <v>55</v>
      </c>
      <c r="BQ7" t="str">
        <f t="shared" si="14"/>
        <v>"sq":{"a1":0,"a2":"","a3":"","s1":0,"s2":0,"s3":0},"bp":{"a1":0,"a2":"","a3":"","s1":0,"s2":0,"s3":0},"dl":{"a1":0,"a2":"","a3":"","s1":0,"s2":0,"s3":0},"sortOrder":0,"act":{}}</v>
      </c>
      <c r="BR7" t="str">
        <f t="shared" si="40"/>
        <v>{"group":"A","lot":0,"name":"0","team":"","year":"0","gender":"0","gear":"0","lifts":"0","division":"--","wc":"0","bw":"","pb":[0,0,0,0],"idx":"2","sr":"0","br":"0","row":0,"sq":{"a1":0,"a2":"","a3":"","s1":0,"s2":0,"s3":0},"bp":{"a1":0,"a2":"","a3":"","s1":0,"s2":0,"s3":0},"dl":{"a1":0,"a2":"","a3":"","s1":0,"s2":0,"s3":0},"sortOrder":0,"act":{}}</v>
      </c>
    </row>
    <row r="8" spans="1:70" x14ac:dyDescent="0.25">
      <c r="A8" s="144"/>
      <c r="B8" s="144"/>
      <c r="C8" s="144"/>
      <c r="D8" s="144"/>
      <c r="E8" s="59"/>
      <c r="F8" s="60"/>
      <c r="G8" s="60"/>
      <c r="H8" s="140"/>
      <c r="I8" s="61"/>
      <c r="J8" s="59"/>
      <c r="K8" s="140"/>
      <c r="L8" s="59"/>
      <c r="M8" s="62"/>
      <c r="N8" s="59"/>
      <c r="O8" s="148">
        <f t="shared" ca="1" si="15"/>
        <v>2023</v>
      </c>
      <c r="P8" s="60"/>
      <c r="Q8" s="60"/>
      <c r="R8" s="60"/>
      <c r="S8" s="60"/>
      <c r="T8" s="60"/>
      <c r="U8" s="60"/>
      <c r="V8" s="60"/>
      <c r="W8" s="60"/>
      <c r="X8" s="60"/>
      <c r="Y8" s="63"/>
      <c r="Z8" s="64"/>
      <c r="AA8" s="64"/>
      <c r="AB8" s="64"/>
      <c r="AE8" s="15" t="str">
        <f t="shared" si="0"/>
        <v>A</v>
      </c>
      <c r="AF8" s="8">
        <f t="shared" si="1"/>
        <v>0</v>
      </c>
      <c r="AG8" s="9">
        <f t="shared" si="16"/>
        <v>0</v>
      </c>
      <c r="AH8" s="9" t="str">
        <f t="shared" si="17"/>
        <v/>
      </c>
      <c r="AI8" s="8">
        <f t="shared" si="2"/>
        <v>0</v>
      </c>
      <c r="AJ8" s="45">
        <f t="shared" si="18"/>
        <v>0</v>
      </c>
      <c r="AK8" s="45">
        <f t="shared" si="19"/>
        <v>0</v>
      </c>
      <c r="AL8" s="45">
        <f t="shared" si="20"/>
        <v>0</v>
      </c>
      <c r="AM8" s="8" t="str">
        <f t="shared" si="21"/>
        <v>--</v>
      </c>
      <c r="AN8" s="10">
        <f t="shared" si="22"/>
        <v>0</v>
      </c>
      <c r="AO8" s="10">
        <f t="shared" si="23"/>
        <v>0</v>
      </c>
      <c r="AP8" s="10">
        <f t="shared" si="24"/>
        <v>0</v>
      </c>
      <c r="AQ8" s="10">
        <f t="shared" si="25"/>
        <v>0</v>
      </c>
      <c r="AR8" s="10">
        <f t="shared" si="26"/>
        <v>0</v>
      </c>
      <c r="AS8" s="8">
        <v>3</v>
      </c>
      <c r="AT8" s="9">
        <f t="shared" si="27"/>
        <v>0</v>
      </c>
      <c r="AU8" s="11">
        <f t="shared" si="28"/>
        <v>0</v>
      </c>
      <c r="AV8" s="6"/>
      <c r="AW8" s="6"/>
      <c r="AX8" s="6"/>
      <c r="AZ8" t="str">
        <f t="shared" si="29"/>
        <v>{"group":"A",</v>
      </c>
      <c r="BA8" t="str">
        <f t="shared" si="3"/>
        <v>"lot":0,</v>
      </c>
      <c r="BB8" t="str">
        <f t="shared" si="30"/>
        <v>"name":"0",</v>
      </c>
      <c r="BC8" t="str">
        <f t="shared" si="31"/>
        <v>"team":"",</v>
      </c>
      <c r="BD8" t="str">
        <f t="shared" si="32"/>
        <v>"year":"0",</v>
      </c>
      <c r="BE8" t="str">
        <f t="shared" si="33"/>
        <v>"gender":"0",</v>
      </c>
      <c r="BF8" t="str">
        <f t="shared" si="34"/>
        <v>"gear":"0",</v>
      </c>
      <c r="BG8" t="str">
        <f t="shared" si="35"/>
        <v>"lifts":"0",</v>
      </c>
      <c r="BH8" t="str">
        <f t="shared" si="36"/>
        <v>"division":"--",</v>
      </c>
      <c r="BI8" t="str">
        <f t="shared" si="37"/>
        <v>"wc":"0",</v>
      </c>
      <c r="BJ8" t="str">
        <f t="shared" si="38"/>
        <v>"bw":"",</v>
      </c>
      <c r="BK8" t="str">
        <f t="shared" si="39"/>
        <v>"pb":[0,0,0,0],</v>
      </c>
      <c r="BL8" t="str">
        <f t="shared" si="10"/>
        <v>"idx":"3",</v>
      </c>
      <c r="BM8" t="str">
        <f t="shared" si="11"/>
        <v>"sr":"0",</v>
      </c>
      <c r="BN8" t="str">
        <f t="shared" si="12"/>
        <v>"br":"0",</v>
      </c>
      <c r="BO8" t="str">
        <f t="shared" si="13"/>
        <v>"row":0,</v>
      </c>
      <c r="BP8" t="s">
        <v>55</v>
      </c>
      <c r="BQ8" t="str">
        <f t="shared" si="14"/>
        <v>"sq":{"a1":0,"a2":"","a3":"","s1":0,"s2":0,"s3":0},"bp":{"a1":0,"a2":"","a3":"","s1":0,"s2":0,"s3":0},"dl":{"a1":0,"a2":"","a3":"","s1":0,"s2":0,"s3":0},"sortOrder":0,"act":{}}</v>
      </c>
      <c r="BR8" t="str">
        <f t="shared" si="40"/>
        <v>{"group":"A","lot":0,"name":"0","team":"","year":"0","gender":"0","gear":"0","lifts":"0","division":"--","wc":"0","bw":"","pb":[0,0,0,0],"idx":"3","sr":"0","br":"0","row":0,"sq":{"a1":0,"a2":"","a3":"","s1":0,"s2":0,"s3":0},"bp":{"a1":0,"a2":"","a3":"","s1":0,"s2":0,"s3":0},"dl":{"a1":0,"a2":"","a3":"","s1":0,"s2":0,"s3":0},"sortOrder":0,"act":{}}</v>
      </c>
    </row>
    <row r="9" spans="1:70" x14ac:dyDescent="0.25">
      <c r="A9" s="144"/>
      <c r="B9" s="144"/>
      <c r="C9" s="144"/>
      <c r="D9" s="144"/>
      <c r="E9" s="59"/>
      <c r="F9" s="60"/>
      <c r="G9" s="65"/>
      <c r="H9" s="140"/>
      <c r="I9" s="61"/>
      <c r="J9" s="59"/>
      <c r="K9" s="140"/>
      <c r="L9" s="59"/>
      <c r="M9" s="62"/>
      <c r="N9" s="59"/>
      <c r="O9" s="148">
        <f t="shared" ca="1" si="15"/>
        <v>2023</v>
      </c>
      <c r="P9" s="60"/>
      <c r="Q9" s="60"/>
      <c r="R9" s="60"/>
      <c r="S9" s="60"/>
      <c r="T9" s="60"/>
      <c r="U9" s="60"/>
      <c r="V9" s="60"/>
      <c r="W9" s="60"/>
      <c r="X9" s="60"/>
      <c r="Y9" s="63"/>
      <c r="Z9" s="64"/>
      <c r="AA9" s="64"/>
      <c r="AB9" s="64"/>
      <c r="AE9" s="15" t="str">
        <f t="shared" si="0"/>
        <v>A</v>
      </c>
      <c r="AF9" s="8">
        <f t="shared" si="1"/>
        <v>0</v>
      </c>
      <c r="AG9" s="9">
        <f t="shared" si="16"/>
        <v>0</v>
      </c>
      <c r="AH9" s="9" t="str">
        <f t="shared" si="17"/>
        <v/>
      </c>
      <c r="AI9" s="8">
        <f t="shared" si="2"/>
        <v>0</v>
      </c>
      <c r="AJ9" s="45">
        <f t="shared" si="18"/>
        <v>0</v>
      </c>
      <c r="AK9" s="45">
        <f t="shared" si="19"/>
        <v>0</v>
      </c>
      <c r="AL9" s="45">
        <f t="shared" si="20"/>
        <v>0</v>
      </c>
      <c r="AM9" s="8" t="str">
        <f t="shared" si="21"/>
        <v>--</v>
      </c>
      <c r="AN9" s="10">
        <f t="shared" si="22"/>
        <v>0</v>
      </c>
      <c r="AO9" s="10">
        <f t="shared" si="23"/>
        <v>0</v>
      </c>
      <c r="AP9" s="10">
        <f t="shared" si="24"/>
        <v>0</v>
      </c>
      <c r="AQ9" s="10">
        <f t="shared" si="25"/>
        <v>0</v>
      </c>
      <c r="AR9" s="10">
        <f t="shared" si="26"/>
        <v>0</v>
      </c>
      <c r="AS9" s="8">
        <v>4</v>
      </c>
      <c r="AT9" s="9">
        <f t="shared" si="27"/>
        <v>0</v>
      </c>
      <c r="AU9" s="11">
        <f t="shared" si="28"/>
        <v>0</v>
      </c>
      <c r="AV9" s="6"/>
      <c r="AW9" s="6"/>
      <c r="AX9" s="6"/>
      <c r="AZ9" t="str">
        <f t="shared" si="29"/>
        <v>{"group":"A",</v>
      </c>
      <c r="BA9" t="str">
        <f t="shared" si="3"/>
        <v>"lot":0,</v>
      </c>
      <c r="BB9" t="str">
        <f t="shared" si="30"/>
        <v>"name":"0",</v>
      </c>
      <c r="BC9" t="str">
        <f t="shared" si="31"/>
        <v>"team":"",</v>
      </c>
      <c r="BD9" t="str">
        <f t="shared" si="32"/>
        <v>"year":"0",</v>
      </c>
      <c r="BE9" t="str">
        <f t="shared" si="33"/>
        <v>"gender":"0",</v>
      </c>
      <c r="BF9" t="str">
        <f t="shared" si="34"/>
        <v>"gear":"0",</v>
      </c>
      <c r="BG9" t="str">
        <f t="shared" si="35"/>
        <v>"lifts":"0",</v>
      </c>
      <c r="BH9" t="str">
        <f t="shared" si="36"/>
        <v>"division":"--",</v>
      </c>
      <c r="BI9" t="str">
        <f t="shared" si="37"/>
        <v>"wc":"0",</v>
      </c>
      <c r="BJ9" t="str">
        <f t="shared" si="38"/>
        <v>"bw":"",</v>
      </c>
      <c r="BK9" t="str">
        <f t="shared" si="39"/>
        <v>"pb":[0,0,0,0],</v>
      </c>
      <c r="BL9" t="str">
        <f t="shared" si="10"/>
        <v>"idx":"4",</v>
      </c>
      <c r="BM9" t="str">
        <f t="shared" si="11"/>
        <v>"sr":"0",</v>
      </c>
      <c r="BN9" t="str">
        <f t="shared" si="12"/>
        <v>"br":"0",</v>
      </c>
      <c r="BO9" t="str">
        <f t="shared" si="13"/>
        <v>"row":0,</v>
      </c>
      <c r="BP9" t="s">
        <v>55</v>
      </c>
      <c r="BQ9" t="str">
        <f t="shared" si="14"/>
        <v>"sq":{"a1":0,"a2":"","a3":"","s1":0,"s2":0,"s3":0},"bp":{"a1":0,"a2":"","a3":"","s1":0,"s2":0,"s3":0},"dl":{"a1":0,"a2":"","a3":"","s1":0,"s2":0,"s3":0},"sortOrder":0,"act":{}}</v>
      </c>
      <c r="BR9" t="str">
        <f t="shared" si="40"/>
        <v>{"group":"A","lot":0,"name":"0","team":"","year":"0","gender":"0","gear":"0","lifts":"0","division":"--","wc":"0","bw":"","pb":[0,0,0,0],"idx":"4","sr":"0","br":"0","row":0,"sq":{"a1":0,"a2":"","a3":"","s1":0,"s2":0,"s3":0},"bp":{"a1":0,"a2":"","a3":"","s1":0,"s2":0,"s3":0},"dl":{"a1":0,"a2":"","a3":"","s1":0,"s2":0,"s3":0},"sortOrder":0,"act":{}}</v>
      </c>
    </row>
    <row r="10" spans="1:70" x14ac:dyDescent="0.25">
      <c r="A10" s="144"/>
      <c r="B10" s="144"/>
      <c r="C10" s="144"/>
      <c r="D10" s="144"/>
      <c r="E10" s="59"/>
      <c r="F10" s="60"/>
      <c r="G10" s="65"/>
      <c r="H10" s="140"/>
      <c r="I10" s="61"/>
      <c r="J10" s="59"/>
      <c r="K10" s="140"/>
      <c r="L10" s="59"/>
      <c r="M10" s="62"/>
      <c r="N10" s="59"/>
      <c r="O10" s="148">
        <f t="shared" ca="1" si="15"/>
        <v>2023</v>
      </c>
      <c r="P10" s="60"/>
      <c r="Q10" s="60"/>
      <c r="R10" s="60"/>
      <c r="S10" s="60"/>
      <c r="T10" s="60"/>
      <c r="U10" s="60"/>
      <c r="V10" s="60"/>
      <c r="W10" s="60"/>
      <c r="X10" s="60"/>
      <c r="Y10" s="63"/>
      <c r="Z10" s="64"/>
      <c r="AA10" s="64"/>
      <c r="AB10" s="64"/>
      <c r="AE10" s="15" t="str">
        <f t="shared" si="0"/>
        <v>A</v>
      </c>
      <c r="AF10" s="8">
        <f t="shared" si="1"/>
        <v>0</v>
      </c>
      <c r="AG10" s="9">
        <f t="shared" si="16"/>
        <v>0</v>
      </c>
      <c r="AH10" s="9" t="str">
        <f t="shared" si="17"/>
        <v/>
      </c>
      <c r="AI10" s="8">
        <f t="shared" si="2"/>
        <v>0</v>
      </c>
      <c r="AJ10" s="45">
        <f t="shared" si="18"/>
        <v>0</v>
      </c>
      <c r="AK10" s="45">
        <f t="shared" si="19"/>
        <v>0</v>
      </c>
      <c r="AL10" s="45">
        <f t="shared" si="20"/>
        <v>0</v>
      </c>
      <c r="AM10" s="8" t="str">
        <f t="shared" si="21"/>
        <v>--</v>
      </c>
      <c r="AN10" s="10">
        <f t="shared" si="22"/>
        <v>0</v>
      </c>
      <c r="AO10" s="10">
        <f t="shared" si="23"/>
        <v>0</v>
      </c>
      <c r="AP10" s="10">
        <f t="shared" si="24"/>
        <v>0</v>
      </c>
      <c r="AQ10" s="10">
        <f t="shared" si="25"/>
        <v>0</v>
      </c>
      <c r="AR10" s="10">
        <f t="shared" si="26"/>
        <v>0</v>
      </c>
      <c r="AS10" s="8">
        <v>5</v>
      </c>
      <c r="AT10" s="9">
        <f t="shared" si="27"/>
        <v>0</v>
      </c>
      <c r="AU10" s="11">
        <f t="shared" si="28"/>
        <v>0</v>
      </c>
      <c r="AV10" s="6"/>
      <c r="AW10" s="6"/>
      <c r="AX10" s="6"/>
      <c r="AZ10" t="str">
        <f t="shared" si="29"/>
        <v>{"group":"A",</v>
      </c>
      <c r="BA10" t="str">
        <f t="shared" si="3"/>
        <v>"lot":0,</v>
      </c>
      <c r="BB10" t="str">
        <f t="shared" si="30"/>
        <v>"name":"0",</v>
      </c>
      <c r="BC10" t="str">
        <f t="shared" si="31"/>
        <v>"team":"",</v>
      </c>
      <c r="BD10" t="str">
        <f t="shared" si="32"/>
        <v>"year":"0",</v>
      </c>
      <c r="BE10" t="str">
        <f t="shared" si="33"/>
        <v>"gender":"0",</v>
      </c>
      <c r="BF10" t="str">
        <f t="shared" si="34"/>
        <v>"gear":"0",</v>
      </c>
      <c r="BG10" t="str">
        <f t="shared" si="35"/>
        <v>"lifts":"0",</v>
      </c>
      <c r="BH10" t="str">
        <f t="shared" si="36"/>
        <v>"division":"--",</v>
      </c>
      <c r="BI10" t="str">
        <f t="shared" si="37"/>
        <v>"wc":"0",</v>
      </c>
      <c r="BJ10" t="str">
        <f t="shared" si="38"/>
        <v>"bw":"",</v>
      </c>
      <c r="BK10" t="str">
        <f t="shared" si="39"/>
        <v>"pb":[0,0,0,0],</v>
      </c>
      <c r="BL10" t="str">
        <f t="shared" si="10"/>
        <v>"idx":"5",</v>
      </c>
      <c r="BM10" t="str">
        <f t="shared" si="11"/>
        <v>"sr":"0",</v>
      </c>
      <c r="BN10" t="str">
        <f t="shared" si="12"/>
        <v>"br":"0",</v>
      </c>
      <c r="BO10" t="str">
        <f t="shared" si="13"/>
        <v>"row":0,</v>
      </c>
      <c r="BP10" t="s">
        <v>55</v>
      </c>
      <c r="BQ10" t="str">
        <f t="shared" si="14"/>
        <v>"sq":{"a1":0,"a2":"","a3":"","s1":0,"s2":0,"s3":0},"bp":{"a1":0,"a2":"","a3":"","s1":0,"s2":0,"s3":0},"dl":{"a1":0,"a2":"","a3":"","s1":0,"s2":0,"s3":0},"sortOrder":0,"act":{}}</v>
      </c>
      <c r="BR10" t="str">
        <f t="shared" si="40"/>
        <v>{"group":"A","lot":0,"name":"0","team":"","year":"0","gender":"0","gear":"0","lifts":"0","division":"--","wc":"0","bw":"","pb":[0,0,0,0],"idx":"5","sr":"0","br":"0","row":0,"sq":{"a1":0,"a2":"","a3":"","s1":0,"s2":0,"s3":0},"bp":{"a1":0,"a2":"","a3":"","s1":0,"s2":0,"s3":0},"dl":{"a1":0,"a2":"","a3":"","s1":0,"s2":0,"s3":0},"sortOrder":0,"act":{}}</v>
      </c>
    </row>
    <row r="11" spans="1:70" x14ac:dyDescent="0.25">
      <c r="A11" s="144"/>
      <c r="B11" s="144"/>
      <c r="C11" s="144"/>
      <c r="D11" s="144"/>
      <c r="E11" s="59"/>
      <c r="F11" s="60"/>
      <c r="G11" s="65"/>
      <c r="H11" s="140"/>
      <c r="I11" s="61"/>
      <c r="J11" s="59"/>
      <c r="K11" s="140"/>
      <c r="L11" s="59"/>
      <c r="M11" s="62"/>
      <c r="N11" s="59"/>
      <c r="O11" s="148">
        <f t="shared" ca="1" si="15"/>
        <v>2023</v>
      </c>
      <c r="P11" s="60"/>
      <c r="Q11" s="60"/>
      <c r="R11" s="60"/>
      <c r="S11" s="60"/>
      <c r="T11" s="60"/>
      <c r="U11" s="60"/>
      <c r="V11" s="60"/>
      <c r="W11" s="60"/>
      <c r="X11" s="60"/>
      <c r="Y11" s="63"/>
      <c r="Z11" s="64"/>
      <c r="AA11" s="64"/>
      <c r="AB11" s="64"/>
      <c r="AE11" s="15" t="str">
        <f t="shared" si="0"/>
        <v>A</v>
      </c>
      <c r="AF11" s="8">
        <f t="shared" si="1"/>
        <v>0</v>
      </c>
      <c r="AG11" s="9">
        <f t="shared" si="16"/>
        <v>0</v>
      </c>
      <c r="AH11" s="9" t="str">
        <f t="shared" si="17"/>
        <v/>
      </c>
      <c r="AI11" s="8">
        <f t="shared" si="2"/>
        <v>0</v>
      </c>
      <c r="AJ11" s="45">
        <f t="shared" si="18"/>
        <v>0</v>
      </c>
      <c r="AK11" s="45">
        <f t="shared" si="19"/>
        <v>0</v>
      </c>
      <c r="AL11" s="45">
        <f t="shared" si="20"/>
        <v>0</v>
      </c>
      <c r="AM11" s="8" t="str">
        <f t="shared" si="21"/>
        <v>--</v>
      </c>
      <c r="AN11" s="10">
        <f t="shared" si="22"/>
        <v>0</v>
      </c>
      <c r="AO11" s="10">
        <f t="shared" si="23"/>
        <v>0</v>
      </c>
      <c r="AP11" s="10">
        <f t="shared" si="24"/>
        <v>0</v>
      </c>
      <c r="AQ11" s="10">
        <f t="shared" si="25"/>
        <v>0</v>
      </c>
      <c r="AR11" s="10">
        <f t="shared" si="26"/>
        <v>0</v>
      </c>
      <c r="AS11" s="8">
        <v>6</v>
      </c>
      <c r="AT11" s="9">
        <f t="shared" si="27"/>
        <v>0</v>
      </c>
      <c r="AU11" s="11">
        <f t="shared" si="28"/>
        <v>0</v>
      </c>
      <c r="AV11" s="6"/>
      <c r="AW11" s="6"/>
      <c r="AX11" s="6"/>
      <c r="AZ11" t="str">
        <f t="shared" si="29"/>
        <v>{"group":"A",</v>
      </c>
      <c r="BA11" t="str">
        <f t="shared" si="3"/>
        <v>"lot":0,</v>
      </c>
      <c r="BB11" t="str">
        <f t="shared" si="30"/>
        <v>"name":"0",</v>
      </c>
      <c r="BC11" t="str">
        <f t="shared" si="31"/>
        <v>"team":"",</v>
      </c>
      <c r="BD11" t="str">
        <f t="shared" si="32"/>
        <v>"year":"0",</v>
      </c>
      <c r="BE11" t="str">
        <f t="shared" si="33"/>
        <v>"gender":"0",</v>
      </c>
      <c r="BF11" t="str">
        <f t="shared" si="34"/>
        <v>"gear":"0",</v>
      </c>
      <c r="BG11" t="str">
        <f t="shared" si="35"/>
        <v>"lifts":"0",</v>
      </c>
      <c r="BH11" t="str">
        <f t="shared" si="36"/>
        <v>"division":"--",</v>
      </c>
      <c r="BI11" t="str">
        <f t="shared" si="37"/>
        <v>"wc":"0",</v>
      </c>
      <c r="BJ11" t="str">
        <f t="shared" si="38"/>
        <v>"bw":"",</v>
      </c>
      <c r="BK11" t="str">
        <f t="shared" si="39"/>
        <v>"pb":[0,0,0,0],</v>
      </c>
      <c r="BL11" t="str">
        <f t="shared" si="10"/>
        <v>"idx":"6",</v>
      </c>
      <c r="BM11" t="str">
        <f t="shared" si="11"/>
        <v>"sr":"0",</v>
      </c>
      <c r="BN11" t="str">
        <f t="shared" si="12"/>
        <v>"br":"0",</v>
      </c>
      <c r="BO11" t="str">
        <f t="shared" si="13"/>
        <v>"row":0,</v>
      </c>
      <c r="BP11" t="s">
        <v>55</v>
      </c>
      <c r="BQ11" t="str">
        <f t="shared" si="14"/>
        <v>"sq":{"a1":0,"a2":"","a3":"","s1":0,"s2":0,"s3":0},"bp":{"a1":0,"a2":"","a3":"","s1":0,"s2":0,"s3":0},"dl":{"a1":0,"a2":"","a3":"","s1":0,"s2":0,"s3":0},"sortOrder":0,"act":{}}</v>
      </c>
      <c r="BR11" t="str">
        <f t="shared" si="40"/>
        <v>{"group":"A","lot":0,"name":"0","team":"","year":"0","gender":"0","gear":"0","lifts":"0","division":"--","wc":"0","bw":"","pb":[0,0,0,0],"idx":"6","sr":"0","br":"0","row":0,"sq":{"a1":0,"a2":"","a3":"","s1":0,"s2":0,"s3":0},"bp":{"a1":0,"a2":"","a3":"","s1":0,"s2":0,"s3":0},"dl":{"a1":0,"a2":"","a3":"","s1":0,"s2":0,"s3":0},"sortOrder":0,"act":{}}</v>
      </c>
    </row>
    <row r="12" spans="1:70" x14ac:dyDescent="0.25">
      <c r="A12" s="144"/>
      <c r="B12" s="144"/>
      <c r="C12" s="144"/>
      <c r="D12" s="144"/>
      <c r="E12" s="59"/>
      <c r="F12" s="60"/>
      <c r="G12" s="65"/>
      <c r="H12" s="140"/>
      <c r="I12" s="61"/>
      <c r="J12" s="59"/>
      <c r="K12" s="140"/>
      <c r="L12" s="59"/>
      <c r="M12" s="62"/>
      <c r="N12" s="59"/>
      <c r="O12" s="148">
        <f t="shared" ca="1" si="15"/>
        <v>2023</v>
      </c>
      <c r="P12" s="60"/>
      <c r="Q12" s="60"/>
      <c r="R12" s="60"/>
      <c r="S12" s="60"/>
      <c r="T12" s="60"/>
      <c r="U12" s="60"/>
      <c r="V12" s="60"/>
      <c r="W12" s="60"/>
      <c r="X12" s="60"/>
      <c r="Y12" s="63"/>
      <c r="Z12" s="64"/>
      <c r="AA12" s="64"/>
      <c r="AB12" s="64"/>
      <c r="AE12" s="15" t="str">
        <f t="shared" si="0"/>
        <v>A</v>
      </c>
      <c r="AF12" s="8">
        <f t="shared" si="1"/>
        <v>0</v>
      </c>
      <c r="AG12" s="9">
        <f t="shared" si="16"/>
        <v>0</v>
      </c>
      <c r="AH12" s="9" t="str">
        <f t="shared" si="17"/>
        <v/>
      </c>
      <c r="AI12" s="8">
        <f t="shared" si="2"/>
        <v>0</v>
      </c>
      <c r="AJ12" s="45">
        <f t="shared" si="18"/>
        <v>0</v>
      </c>
      <c r="AK12" s="45">
        <f t="shared" si="19"/>
        <v>0</v>
      </c>
      <c r="AL12" s="45">
        <f t="shared" si="20"/>
        <v>0</v>
      </c>
      <c r="AM12" s="8" t="str">
        <f t="shared" si="21"/>
        <v>--</v>
      </c>
      <c r="AN12" s="10">
        <f t="shared" si="22"/>
        <v>0</v>
      </c>
      <c r="AO12" s="10">
        <f t="shared" si="23"/>
        <v>0</v>
      </c>
      <c r="AP12" s="10">
        <f t="shared" si="24"/>
        <v>0</v>
      </c>
      <c r="AQ12" s="10">
        <f t="shared" si="25"/>
        <v>0</v>
      </c>
      <c r="AR12" s="10">
        <f t="shared" si="26"/>
        <v>0</v>
      </c>
      <c r="AS12" s="8">
        <v>7</v>
      </c>
      <c r="AT12" s="9">
        <f t="shared" si="27"/>
        <v>0</v>
      </c>
      <c r="AU12" s="11">
        <f t="shared" si="28"/>
        <v>0</v>
      </c>
      <c r="AV12" s="6"/>
      <c r="AW12" s="6"/>
      <c r="AX12" s="6"/>
      <c r="AZ12" t="str">
        <f t="shared" si="29"/>
        <v>{"group":"A",</v>
      </c>
      <c r="BA12" t="str">
        <f t="shared" si="3"/>
        <v>"lot":0,</v>
      </c>
      <c r="BB12" t="str">
        <f t="shared" si="30"/>
        <v>"name":"0",</v>
      </c>
      <c r="BC12" t="str">
        <f t="shared" si="31"/>
        <v>"team":"",</v>
      </c>
      <c r="BD12" t="str">
        <f t="shared" si="32"/>
        <v>"year":"0",</v>
      </c>
      <c r="BE12" t="str">
        <f t="shared" si="33"/>
        <v>"gender":"0",</v>
      </c>
      <c r="BF12" t="str">
        <f t="shared" si="34"/>
        <v>"gear":"0",</v>
      </c>
      <c r="BG12" t="str">
        <f t="shared" si="35"/>
        <v>"lifts":"0",</v>
      </c>
      <c r="BH12" t="str">
        <f t="shared" si="36"/>
        <v>"division":"--",</v>
      </c>
      <c r="BI12" t="str">
        <f t="shared" si="37"/>
        <v>"wc":"0",</v>
      </c>
      <c r="BJ12" t="str">
        <f t="shared" si="38"/>
        <v>"bw":"",</v>
      </c>
      <c r="BK12" t="str">
        <f t="shared" si="39"/>
        <v>"pb":[0,0,0,0],</v>
      </c>
      <c r="BL12" t="str">
        <f t="shared" si="10"/>
        <v>"idx":"7",</v>
      </c>
      <c r="BM12" t="str">
        <f t="shared" si="11"/>
        <v>"sr":"0",</v>
      </c>
      <c r="BN12" t="str">
        <f t="shared" si="12"/>
        <v>"br":"0",</v>
      </c>
      <c r="BO12" t="str">
        <f t="shared" si="13"/>
        <v>"row":0,</v>
      </c>
      <c r="BP12" t="s">
        <v>55</v>
      </c>
      <c r="BQ12" t="str">
        <f t="shared" si="14"/>
        <v>"sq":{"a1":0,"a2":"","a3":"","s1":0,"s2":0,"s3":0},"bp":{"a1":0,"a2":"","a3":"","s1":0,"s2":0,"s3":0},"dl":{"a1":0,"a2":"","a3":"","s1":0,"s2":0,"s3":0},"sortOrder":0,"act":{}}</v>
      </c>
      <c r="BR12" t="str">
        <f t="shared" si="40"/>
        <v>{"group":"A","lot":0,"name":"0","team":"","year":"0","gender":"0","gear":"0","lifts":"0","division":"--","wc":"0","bw":"","pb":[0,0,0,0],"idx":"7","sr":"0","br":"0","row":0,"sq":{"a1":0,"a2":"","a3":"","s1":0,"s2":0,"s3":0},"bp":{"a1":0,"a2":"","a3":"","s1":0,"s2":0,"s3":0},"dl":{"a1":0,"a2":"","a3":"","s1":0,"s2":0,"s3":0},"sortOrder":0,"act":{}}</v>
      </c>
    </row>
    <row r="13" spans="1:70" x14ac:dyDescent="0.25">
      <c r="A13" s="144"/>
      <c r="B13" s="144"/>
      <c r="C13" s="144"/>
      <c r="D13" s="144"/>
      <c r="E13" s="66"/>
      <c r="F13" s="67"/>
      <c r="G13" s="68"/>
      <c r="H13" s="73"/>
      <c r="I13" s="69"/>
      <c r="J13" s="66"/>
      <c r="K13" s="73"/>
      <c r="L13" s="66"/>
      <c r="M13" s="70"/>
      <c r="N13" s="66"/>
      <c r="O13" s="148">
        <f t="shared" ca="1" si="15"/>
        <v>2023</v>
      </c>
      <c r="P13" s="67"/>
      <c r="Q13" s="67"/>
      <c r="R13" s="67"/>
      <c r="S13" s="67"/>
      <c r="T13" s="67"/>
      <c r="U13" s="67"/>
      <c r="V13" s="67"/>
      <c r="W13" s="67"/>
      <c r="X13" s="67"/>
      <c r="Y13" s="71"/>
      <c r="Z13" s="72"/>
      <c r="AA13" s="72"/>
      <c r="AB13" s="72"/>
      <c r="AE13" s="15" t="str">
        <f t="shared" si="0"/>
        <v>A</v>
      </c>
      <c r="AF13" s="8">
        <f t="shared" si="1"/>
        <v>0</v>
      </c>
      <c r="AG13" s="9">
        <f t="shared" si="16"/>
        <v>0</v>
      </c>
      <c r="AH13" s="9" t="str">
        <f t="shared" si="17"/>
        <v/>
      </c>
      <c r="AI13" s="8">
        <f t="shared" si="2"/>
        <v>0</v>
      </c>
      <c r="AJ13" s="45">
        <f t="shared" si="18"/>
        <v>0</v>
      </c>
      <c r="AK13" s="45">
        <f t="shared" si="19"/>
        <v>0</v>
      </c>
      <c r="AL13" s="45">
        <f t="shared" si="20"/>
        <v>0</v>
      </c>
      <c r="AM13" s="8" t="str">
        <f t="shared" si="21"/>
        <v>--</v>
      </c>
      <c r="AN13" s="10">
        <f t="shared" si="22"/>
        <v>0</v>
      </c>
      <c r="AO13" s="10">
        <f t="shared" si="23"/>
        <v>0</v>
      </c>
      <c r="AP13" s="10">
        <f t="shared" si="24"/>
        <v>0</v>
      </c>
      <c r="AQ13" s="10">
        <f t="shared" si="25"/>
        <v>0</v>
      </c>
      <c r="AR13" s="10">
        <f t="shared" si="26"/>
        <v>0</v>
      </c>
      <c r="AS13" s="8">
        <v>8</v>
      </c>
      <c r="AT13" s="9">
        <f t="shared" si="27"/>
        <v>0</v>
      </c>
      <c r="AU13" s="11">
        <f t="shared" si="28"/>
        <v>0</v>
      </c>
      <c r="AV13" s="6"/>
      <c r="AW13" s="6"/>
      <c r="AX13" s="6"/>
      <c r="AZ13" t="str">
        <f t="shared" si="29"/>
        <v>{"group":"A",</v>
      </c>
      <c r="BA13" t="str">
        <f t="shared" si="3"/>
        <v>"lot":0,</v>
      </c>
      <c r="BB13" t="str">
        <f t="shared" si="30"/>
        <v>"name":"0",</v>
      </c>
      <c r="BC13" t="str">
        <f t="shared" si="31"/>
        <v>"team":"",</v>
      </c>
      <c r="BD13" t="str">
        <f t="shared" si="32"/>
        <v>"year":"0",</v>
      </c>
      <c r="BE13" t="str">
        <f t="shared" si="33"/>
        <v>"gender":"0",</v>
      </c>
      <c r="BF13" t="str">
        <f t="shared" si="34"/>
        <v>"gear":"0",</v>
      </c>
      <c r="BG13" t="str">
        <f t="shared" si="35"/>
        <v>"lifts":"0",</v>
      </c>
      <c r="BH13" t="str">
        <f t="shared" si="36"/>
        <v>"division":"--",</v>
      </c>
      <c r="BI13" t="str">
        <f t="shared" si="37"/>
        <v>"wc":"0",</v>
      </c>
      <c r="BJ13" t="str">
        <f t="shared" si="38"/>
        <v>"bw":"",</v>
      </c>
      <c r="BK13" t="str">
        <f t="shared" si="39"/>
        <v>"pb":[0,0,0,0],</v>
      </c>
      <c r="BL13" t="str">
        <f t="shared" si="10"/>
        <v>"idx":"8",</v>
      </c>
      <c r="BM13" t="str">
        <f t="shared" si="11"/>
        <v>"sr":"0",</v>
      </c>
      <c r="BN13" t="str">
        <f t="shared" si="12"/>
        <v>"br":"0",</v>
      </c>
      <c r="BO13" t="str">
        <f t="shared" si="13"/>
        <v>"row":0,</v>
      </c>
      <c r="BP13" t="s">
        <v>55</v>
      </c>
      <c r="BQ13" t="str">
        <f t="shared" si="14"/>
        <v>"sq":{"a1":0,"a2":"","a3":"","s1":0,"s2":0,"s3":0},"bp":{"a1":0,"a2":"","a3":"","s1":0,"s2":0,"s3":0},"dl":{"a1":0,"a2":"","a3":"","s1":0,"s2":0,"s3":0},"sortOrder":0,"act":{}}</v>
      </c>
      <c r="BR13" t="str">
        <f t="shared" si="40"/>
        <v>{"group":"A","lot":0,"name":"0","team":"","year":"0","gender":"0","gear":"0","lifts":"0","division":"--","wc":"0","bw":"","pb":[0,0,0,0],"idx":"8","sr":"0","br":"0","row":0,"sq":{"a1":0,"a2":"","a3":"","s1":0,"s2":0,"s3":0},"bp":{"a1":0,"a2":"","a3":"","s1":0,"s2":0,"s3":0},"dl":{"a1":0,"a2":"","a3":"","s1":0,"s2":0,"s3":0},"sortOrder":0,"act":{}}</v>
      </c>
    </row>
    <row r="14" spans="1:70" x14ac:dyDescent="0.25">
      <c r="A14" s="144"/>
      <c r="B14" s="144"/>
      <c r="C14" s="144"/>
      <c r="D14" s="144"/>
      <c r="E14" s="66"/>
      <c r="F14" s="67"/>
      <c r="G14" s="68"/>
      <c r="H14" s="73"/>
      <c r="I14" s="69"/>
      <c r="J14" s="66"/>
      <c r="K14" s="73"/>
      <c r="L14" s="66"/>
      <c r="M14" s="70"/>
      <c r="N14" s="66"/>
      <c r="O14" s="148">
        <f t="shared" ca="1" si="15"/>
        <v>2023</v>
      </c>
      <c r="P14" s="67"/>
      <c r="Q14" s="67"/>
      <c r="R14" s="67"/>
      <c r="S14" s="67"/>
      <c r="T14" s="67"/>
      <c r="U14" s="67"/>
      <c r="V14" s="67"/>
      <c r="W14" s="67"/>
      <c r="X14" s="67"/>
      <c r="Y14" s="71"/>
      <c r="Z14" s="72"/>
      <c r="AA14" s="72"/>
      <c r="AB14" s="72"/>
      <c r="AE14" s="15" t="str">
        <f t="shared" si="0"/>
        <v>A</v>
      </c>
      <c r="AF14" s="8">
        <f t="shared" si="1"/>
        <v>0</v>
      </c>
      <c r="AG14" s="9">
        <f t="shared" si="16"/>
        <v>0</v>
      </c>
      <c r="AH14" s="9" t="str">
        <f t="shared" si="17"/>
        <v/>
      </c>
      <c r="AI14" s="8">
        <f t="shared" si="2"/>
        <v>0</v>
      </c>
      <c r="AJ14" s="45">
        <f t="shared" si="18"/>
        <v>0</v>
      </c>
      <c r="AK14" s="45">
        <f t="shared" si="19"/>
        <v>0</v>
      </c>
      <c r="AL14" s="45">
        <f t="shared" si="20"/>
        <v>0</v>
      </c>
      <c r="AM14" s="8" t="str">
        <f t="shared" si="21"/>
        <v>--</v>
      </c>
      <c r="AN14" s="10">
        <f t="shared" si="22"/>
        <v>0</v>
      </c>
      <c r="AO14" s="10">
        <f t="shared" si="23"/>
        <v>0</v>
      </c>
      <c r="AP14" s="10">
        <f t="shared" si="24"/>
        <v>0</v>
      </c>
      <c r="AQ14" s="10">
        <f t="shared" si="25"/>
        <v>0</v>
      </c>
      <c r="AR14" s="10">
        <f t="shared" si="26"/>
        <v>0</v>
      </c>
      <c r="AS14" s="8">
        <v>9</v>
      </c>
      <c r="AT14" s="9">
        <f t="shared" si="27"/>
        <v>0</v>
      </c>
      <c r="AU14" s="11">
        <f t="shared" si="28"/>
        <v>0</v>
      </c>
      <c r="AV14" s="6"/>
      <c r="AW14" s="6"/>
      <c r="AX14" s="6"/>
      <c r="AZ14" t="str">
        <f t="shared" si="29"/>
        <v>{"group":"A",</v>
      </c>
      <c r="BA14" t="str">
        <f t="shared" si="3"/>
        <v>"lot":0,</v>
      </c>
      <c r="BB14" t="str">
        <f t="shared" si="30"/>
        <v>"name":"0",</v>
      </c>
      <c r="BC14" t="str">
        <f t="shared" si="31"/>
        <v>"team":"",</v>
      </c>
      <c r="BD14" t="str">
        <f t="shared" si="32"/>
        <v>"year":"0",</v>
      </c>
      <c r="BE14" t="str">
        <f t="shared" si="33"/>
        <v>"gender":"0",</v>
      </c>
      <c r="BF14" t="str">
        <f t="shared" si="34"/>
        <v>"gear":"0",</v>
      </c>
      <c r="BG14" t="str">
        <f t="shared" si="35"/>
        <v>"lifts":"0",</v>
      </c>
      <c r="BH14" t="str">
        <f t="shared" si="36"/>
        <v>"division":"--",</v>
      </c>
      <c r="BI14" t="str">
        <f t="shared" si="37"/>
        <v>"wc":"0",</v>
      </c>
      <c r="BJ14" t="str">
        <f t="shared" si="38"/>
        <v>"bw":"",</v>
      </c>
      <c r="BK14" t="str">
        <f t="shared" si="39"/>
        <v>"pb":[0,0,0,0],</v>
      </c>
      <c r="BL14" t="str">
        <f t="shared" si="10"/>
        <v>"idx":"9",</v>
      </c>
      <c r="BM14" t="str">
        <f t="shared" si="11"/>
        <v>"sr":"0",</v>
      </c>
      <c r="BN14" t="str">
        <f t="shared" si="12"/>
        <v>"br":"0",</v>
      </c>
      <c r="BO14" t="str">
        <f t="shared" si="13"/>
        <v>"row":0,</v>
      </c>
      <c r="BP14" t="s">
        <v>55</v>
      </c>
      <c r="BQ14" t="str">
        <f t="shared" si="14"/>
        <v>"sq":{"a1":0,"a2":"","a3":"","s1":0,"s2":0,"s3":0},"bp":{"a1":0,"a2":"","a3":"","s1":0,"s2":0,"s3":0},"dl":{"a1":0,"a2":"","a3":"","s1":0,"s2":0,"s3":0},"sortOrder":0,"act":{}}</v>
      </c>
      <c r="BR14" t="str">
        <f t="shared" si="40"/>
        <v>{"group":"A","lot":0,"name":"0","team":"","year":"0","gender":"0","gear":"0","lifts":"0","division":"--","wc":"0","bw":"","pb":[0,0,0,0],"idx":"9","sr":"0","br":"0","row":0,"sq":{"a1":0,"a2":"","a3":"","s1":0,"s2":0,"s3":0},"bp":{"a1":0,"a2":"","a3":"","s1":0,"s2":0,"s3":0},"dl":{"a1":0,"a2":"","a3":"","s1":0,"s2":0,"s3":0},"sortOrder":0,"act":{}}</v>
      </c>
    </row>
    <row r="15" spans="1:70" x14ac:dyDescent="0.25">
      <c r="A15" s="144"/>
      <c r="B15" s="144"/>
      <c r="C15" s="144"/>
      <c r="D15" s="144"/>
      <c r="E15" s="66"/>
      <c r="F15" s="67"/>
      <c r="G15" s="67"/>
      <c r="H15" s="73"/>
      <c r="I15" s="69"/>
      <c r="J15" s="66"/>
      <c r="K15" s="73"/>
      <c r="L15" s="66"/>
      <c r="M15" s="70"/>
      <c r="N15" s="66"/>
      <c r="O15" s="148">
        <f t="shared" ca="1" si="15"/>
        <v>2023</v>
      </c>
      <c r="P15" s="67"/>
      <c r="Q15" s="67"/>
      <c r="R15" s="67"/>
      <c r="S15" s="67"/>
      <c r="T15" s="67"/>
      <c r="U15" s="67"/>
      <c r="V15" s="67"/>
      <c r="W15" s="67"/>
      <c r="X15" s="67"/>
      <c r="Y15" s="71"/>
      <c r="Z15" s="72"/>
      <c r="AA15" s="72"/>
      <c r="AB15" s="72"/>
      <c r="AE15" s="15" t="str">
        <f t="shared" si="0"/>
        <v>A</v>
      </c>
      <c r="AF15" s="8">
        <f t="shared" si="1"/>
        <v>0</v>
      </c>
      <c r="AG15" s="9">
        <f t="shared" si="16"/>
        <v>0</v>
      </c>
      <c r="AH15" s="9" t="str">
        <f t="shared" si="17"/>
        <v/>
      </c>
      <c r="AI15" s="8">
        <f t="shared" si="2"/>
        <v>0</v>
      </c>
      <c r="AJ15" s="45">
        <f t="shared" si="18"/>
        <v>0</v>
      </c>
      <c r="AK15" s="45">
        <f t="shared" si="19"/>
        <v>0</v>
      </c>
      <c r="AL15" s="45">
        <f t="shared" si="20"/>
        <v>0</v>
      </c>
      <c r="AM15" s="8" t="str">
        <f t="shared" si="21"/>
        <v>--</v>
      </c>
      <c r="AN15" s="10">
        <f t="shared" si="22"/>
        <v>0</v>
      </c>
      <c r="AO15" s="10">
        <f t="shared" si="23"/>
        <v>0</v>
      </c>
      <c r="AP15" s="10">
        <f t="shared" si="24"/>
        <v>0</v>
      </c>
      <c r="AQ15" s="10">
        <f t="shared" si="25"/>
        <v>0</v>
      </c>
      <c r="AR15" s="10">
        <f t="shared" si="26"/>
        <v>0</v>
      </c>
      <c r="AS15" s="8">
        <v>10</v>
      </c>
      <c r="AT15" s="9">
        <f t="shared" si="27"/>
        <v>0</v>
      </c>
      <c r="AU15" s="11">
        <f t="shared" si="28"/>
        <v>0</v>
      </c>
      <c r="AV15" s="6"/>
      <c r="AW15" s="6"/>
      <c r="AX15" s="6"/>
      <c r="AZ15" t="str">
        <f t="shared" si="29"/>
        <v>{"group":"A",</v>
      </c>
      <c r="BA15" t="str">
        <f t="shared" si="3"/>
        <v>"lot":0,</v>
      </c>
      <c r="BB15" t="str">
        <f t="shared" si="30"/>
        <v>"name":"0",</v>
      </c>
      <c r="BC15" t="str">
        <f t="shared" si="31"/>
        <v>"team":"",</v>
      </c>
      <c r="BD15" t="str">
        <f t="shared" si="32"/>
        <v>"year":"0",</v>
      </c>
      <c r="BE15" t="str">
        <f t="shared" si="33"/>
        <v>"gender":"0",</v>
      </c>
      <c r="BF15" t="str">
        <f t="shared" si="34"/>
        <v>"gear":"0",</v>
      </c>
      <c r="BG15" t="str">
        <f t="shared" si="35"/>
        <v>"lifts":"0",</v>
      </c>
      <c r="BH15" t="str">
        <f t="shared" si="36"/>
        <v>"division":"--",</v>
      </c>
      <c r="BI15" t="str">
        <f t="shared" si="37"/>
        <v>"wc":"0",</v>
      </c>
      <c r="BJ15" t="str">
        <f t="shared" si="38"/>
        <v>"bw":"",</v>
      </c>
      <c r="BK15" t="str">
        <f t="shared" si="39"/>
        <v>"pb":[0,0,0,0],</v>
      </c>
      <c r="BL15" t="str">
        <f t="shared" si="10"/>
        <v>"idx":"10",</v>
      </c>
      <c r="BM15" t="str">
        <f t="shared" si="11"/>
        <v>"sr":"0",</v>
      </c>
      <c r="BN15" t="str">
        <f t="shared" si="12"/>
        <v>"br":"0",</v>
      </c>
      <c r="BO15" t="str">
        <f t="shared" si="13"/>
        <v>"row":0,</v>
      </c>
      <c r="BP15" t="s">
        <v>55</v>
      </c>
      <c r="BQ15" t="str">
        <f t="shared" si="14"/>
        <v>"sq":{"a1":0,"a2":"","a3":"","s1":0,"s2":0,"s3":0},"bp":{"a1":0,"a2":"","a3":"","s1":0,"s2":0,"s3":0},"dl":{"a1":0,"a2":"","a3":"","s1":0,"s2":0,"s3":0},"sortOrder":0,"act":{}}</v>
      </c>
      <c r="BR15" t="str">
        <f t="shared" si="40"/>
        <v>{"group":"A","lot":0,"name":"0","team":"","year":"0","gender":"0","gear":"0","lifts":"0","division":"--","wc":"0","bw":"","pb":[0,0,0,0],"idx":"10","sr":"0","br":"0","row":0,"sq":{"a1":0,"a2":"","a3":"","s1":0,"s2":0,"s3":0},"bp":{"a1":0,"a2":"","a3":"","s1":0,"s2":0,"s3":0},"dl":{"a1":0,"a2":"","a3":"","s1":0,"s2":0,"s3":0},"sortOrder":0,"act":{}}</v>
      </c>
    </row>
    <row r="16" spans="1:70" x14ac:dyDescent="0.25">
      <c r="A16" s="144"/>
      <c r="B16" s="144"/>
      <c r="C16" s="144"/>
      <c r="D16" s="144"/>
      <c r="E16" s="66"/>
      <c r="F16" s="67"/>
      <c r="G16" s="67"/>
      <c r="H16" s="73"/>
      <c r="I16" s="69"/>
      <c r="J16" s="66"/>
      <c r="K16" s="73"/>
      <c r="L16" s="66"/>
      <c r="M16" s="70"/>
      <c r="N16" s="66"/>
      <c r="O16" s="148">
        <f t="shared" ca="1" si="15"/>
        <v>2023</v>
      </c>
      <c r="P16" s="67"/>
      <c r="Q16" s="67"/>
      <c r="R16" s="67"/>
      <c r="S16" s="67"/>
      <c r="T16" s="67"/>
      <c r="U16" s="67"/>
      <c r="V16" s="67"/>
      <c r="W16" s="67"/>
      <c r="X16" s="67"/>
      <c r="Y16" s="71"/>
      <c r="Z16" s="72"/>
      <c r="AA16" s="72"/>
      <c r="AB16" s="72"/>
      <c r="AE16" s="15" t="str">
        <f t="shared" si="0"/>
        <v>A</v>
      </c>
      <c r="AF16" s="8">
        <f t="shared" si="1"/>
        <v>0</v>
      </c>
      <c r="AG16" s="9">
        <f t="shared" si="16"/>
        <v>0</v>
      </c>
      <c r="AH16" s="9" t="str">
        <f t="shared" si="17"/>
        <v/>
      </c>
      <c r="AI16" s="8">
        <f t="shared" si="2"/>
        <v>0</v>
      </c>
      <c r="AJ16" s="45">
        <f t="shared" si="18"/>
        <v>0</v>
      </c>
      <c r="AK16" s="45">
        <f t="shared" si="19"/>
        <v>0</v>
      </c>
      <c r="AL16" s="45">
        <f t="shared" si="20"/>
        <v>0</v>
      </c>
      <c r="AM16" s="8" t="str">
        <f t="shared" si="21"/>
        <v>--</v>
      </c>
      <c r="AN16" s="10">
        <f t="shared" si="22"/>
        <v>0</v>
      </c>
      <c r="AO16" s="10">
        <f t="shared" si="23"/>
        <v>0</v>
      </c>
      <c r="AP16" s="10">
        <f t="shared" si="24"/>
        <v>0</v>
      </c>
      <c r="AQ16" s="10">
        <f t="shared" si="25"/>
        <v>0</v>
      </c>
      <c r="AR16" s="10">
        <f t="shared" si="26"/>
        <v>0</v>
      </c>
      <c r="AS16" s="8">
        <v>11</v>
      </c>
      <c r="AT16" s="9">
        <f t="shared" si="27"/>
        <v>0</v>
      </c>
      <c r="AU16" s="11">
        <f t="shared" si="28"/>
        <v>0</v>
      </c>
      <c r="AV16" s="6"/>
      <c r="AW16" s="6"/>
      <c r="AX16" s="6"/>
      <c r="AZ16" t="str">
        <f t="shared" si="29"/>
        <v>{"group":"A",</v>
      </c>
      <c r="BA16" t="str">
        <f t="shared" si="3"/>
        <v>"lot":0,</v>
      </c>
      <c r="BB16" t="str">
        <f t="shared" si="30"/>
        <v>"name":"0",</v>
      </c>
      <c r="BC16" t="str">
        <f t="shared" si="31"/>
        <v>"team":"",</v>
      </c>
      <c r="BD16" t="str">
        <f t="shared" si="32"/>
        <v>"year":"0",</v>
      </c>
      <c r="BE16" t="str">
        <f t="shared" si="33"/>
        <v>"gender":"0",</v>
      </c>
      <c r="BF16" t="str">
        <f t="shared" si="34"/>
        <v>"gear":"0",</v>
      </c>
      <c r="BG16" t="str">
        <f t="shared" si="35"/>
        <v>"lifts":"0",</v>
      </c>
      <c r="BH16" t="str">
        <f t="shared" si="36"/>
        <v>"division":"--",</v>
      </c>
      <c r="BI16" t="str">
        <f t="shared" si="37"/>
        <v>"wc":"0",</v>
      </c>
      <c r="BJ16" t="str">
        <f t="shared" si="38"/>
        <v>"bw":"",</v>
      </c>
      <c r="BK16" t="str">
        <f t="shared" si="39"/>
        <v>"pb":[0,0,0,0],</v>
      </c>
      <c r="BL16" t="str">
        <f t="shared" si="10"/>
        <v>"idx":"11",</v>
      </c>
      <c r="BM16" t="str">
        <f t="shared" si="11"/>
        <v>"sr":"0",</v>
      </c>
      <c r="BN16" t="str">
        <f t="shared" si="12"/>
        <v>"br":"0",</v>
      </c>
      <c r="BO16" t="str">
        <f t="shared" si="13"/>
        <v>"row":0,</v>
      </c>
      <c r="BP16" t="s">
        <v>55</v>
      </c>
      <c r="BQ16" t="str">
        <f t="shared" si="14"/>
        <v>"sq":{"a1":0,"a2":"","a3":"","s1":0,"s2":0,"s3":0},"bp":{"a1":0,"a2":"","a3":"","s1":0,"s2":0,"s3":0},"dl":{"a1":0,"a2":"","a3":"","s1":0,"s2":0,"s3":0},"sortOrder":0,"act":{}}</v>
      </c>
      <c r="BR16" t="str">
        <f t="shared" si="40"/>
        <v>{"group":"A","lot":0,"name":"0","team":"","year":"0","gender":"0","gear":"0","lifts":"0","division":"--","wc":"0","bw":"","pb":[0,0,0,0],"idx":"11","sr":"0","br":"0","row":0,"sq":{"a1":0,"a2":"","a3":"","s1":0,"s2":0,"s3":0},"bp":{"a1":0,"a2":"","a3":"","s1":0,"s2":0,"s3":0},"dl":{"a1":0,"a2":"","a3":"","s1":0,"s2":0,"s3":0},"sortOrder":0,"act":{}}</v>
      </c>
    </row>
    <row r="17" spans="1:70" x14ac:dyDescent="0.25">
      <c r="A17" s="144"/>
      <c r="B17" s="144"/>
      <c r="C17" s="144"/>
      <c r="D17" s="144"/>
      <c r="E17" s="66"/>
      <c r="F17" s="67"/>
      <c r="G17" s="68"/>
      <c r="H17" s="73"/>
      <c r="I17" s="69"/>
      <c r="J17" s="66"/>
      <c r="K17" s="73"/>
      <c r="L17" s="66"/>
      <c r="M17" s="70"/>
      <c r="N17" s="66"/>
      <c r="O17" s="148">
        <f t="shared" ca="1" si="15"/>
        <v>2023</v>
      </c>
      <c r="P17" s="67"/>
      <c r="Q17" s="67"/>
      <c r="R17" s="67"/>
      <c r="S17" s="67"/>
      <c r="T17" s="67"/>
      <c r="U17" s="67"/>
      <c r="V17" s="67"/>
      <c r="W17" s="67"/>
      <c r="X17" s="67"/>
      <c r="Y17" s="71"/>
      <c r="Z17" s="72"/>
      <c r="AA17" s="72"/>
      <c r="AB17" s="72"/>
      <c r="AE17" s="15" t="str">
        <f t="shared" si="0"/>
        <v>A</v>
      </c>
      <c r="AF17" s="8">
        <f t="shared" si="1"/>
        <v>0</v>
      </c>
      <c r="AG17" s="9">
        <f t="shared" si="16"/>
        <v>0</v>
      </c>
      <c r="AH17" s="9" t="str">
        <f t="shared" si="17"/>
        <v/>
      </c>
      <c r="AI17" s="8">
        <f t="shared" si="2"/>
        <v>0</v>
      </c>
      <c r="AJ17" s="45">
        <f t="shared" si="18"/>
        <v>0</v>
      </c>
      <c r="AK17" s="45">
        <f t="shared" si="19"/>
        <v>0</v>
      </c>
      <c r="AL17" s="45">
        <f t="shared" si="20"/>
        <v>0</v>
      </c>
      <c r="AM17" s="8" t="str">
        <f t="shared" si="21"/>
        <v>--</v>
      </c>
      <c r="AN17" s="10">
        <f t="shared" si="22"/>
        <v>0</v>
      </c>
      <c r="AO17" s="10">
        <f t="shared" si="23"/>
        <v>0</v>
      </c>
      <c r="AP17" s="10">
        <f t="shared" si="24"/>
        <v>0</v>
      </c>
      <c r="AQ17" s="10">
        <f t="shared" si="25"/>
        <v>0</v>
      </c>
      <c r="AR17" s="10">
        <f t="shared" si="26"/>
        <v>0</v>
      </c>
      <c r="AS17" s="8">
        <v>12</v>
      </c>
      <c r="AT17" s="9">
        <f t="shared" si="27"/>
        <v>0</v>
      </c>
      <c r="AU17" s="11">
        <f t="shared" si="28"/>
        <v>0</v>
      </c>
      <c r="AV17" s="6"/>
      <c r="AW17" s="6"/>
      <c r="AX17" s="6"/>
      <c r="AZ17" t="str">
        <f t="shared" si="29"/>
        <v>{"group":"A",</v>
      </c>
      <c r="BA17" t="str">
        <f t="shared" si="3"/>
        <v>"lot":0,</v>
      </c>
      <c r="BB17" t="str">
        <f t="shared" si="30"/>
        <v>"name":"0",</v>
      </c>
      <c r="BC17" t="str">
        <f t="shared" si="31"/>
        <v>"team":"",</v>
      </c>
      <c r="BD17" t="str">
        <f t="shared" si="32"/>
        <v>"year":"0",</v>
      </c>
      <c r="BE17" t="str">
        <f t="shared" si="33"/>
        <v>"gender":"0",</v>
      </c>
      <c r="BF17" t="str">
        <f t="shared" si="34"/>
        <v>"gear":"0",</v>
      </c>
      <c r="BG17" t="str">
        <f t="shared" si="35"/>
        <v>"lifts":"0",</v>
      </c>
      <c r="BH17" t="str">
        <f t="shared" si="36"/>
        <v>"division":"--",</v>
      </c>
      <c r="BI17" t="str">
        <f t="shared" si="37"/>
        <v>"wc":"0",</v>
      </c>
      <c r="BJ17" t="str">
        <f t="shared" si="38"/>
        <v>"bw":"",</v>
      </c>
      <c r="BK17" t="str">
        <f t="shared" si="39"/>
        <v>"pb":[0,0,0,0],</v>
      </c>
      <c r="BL17" t="str">
        <f t="shared" si="10"/>
        <v>"idx":"12",</v>
      </c>
      <c r="BM17" t="str">
        <f t="shared" si="11"/>
        <v>"sr":"0",</v>
      </c>
      <c r="BN17" t="str">
        <f t="shared" si="12"/>
        <v>"br":"0",</v>
      </c>
      <c r="BO17" t="str">
        <f t="shared" si="13"/>
        <v>"row":0,</v>
      </c>
      <c r="BP17" t="s">
        <v>55</v>
      </c>
      <c r="BQ17" t="str">
        <f t="shared" si="14"/>
        <v>"sq":{"a1":0,"a2":"","a3":"","s1":0,"s2":0,"s3":0},"bp":{"a1":0,"a2":"","a3":"","s1":0,"s2":0,"s3":0},"dl":{"a1":0,"a2":"","a3":"","s1":0,"s2":0,"s3":0},"sortOrder":0,"act":{}}</v>
      </c>
      <c r="BR17" t="str">
        <f t="shared" si="40"/>
        <v>{"group":"A","lot":0,"name":"0","team":"","year":"0","gender":"0","gear":"0","lifts":"0","division":"--","wc":"0","bw":"","pb":[0,0,0,0],"idx":"12","sr":"0","br":"0","row":0,"sq":{"a1":0,"a2":"","a3":"","s1":0,"s2":0,"s3":0},"bp":{"a1":0,"a2":"","a3":"","s1":0,"s2":0,"s3":0},"dl":{"a1":0,"a2":"","a3":"","s1":0,"s2":0,"s3":0},"sortOrder":0,"act":{}}</v>
      </c>
    </row>
    <row r="18" spans="1:70" x14ac:dyDescent="0.25">
      <c r="A18" s="144"/>
      <c r="B18" s="144"/>
      <c r="C18" s="144"/>
      <c r="D18" s="144"/>
      <c r="E18" s="66"/>
      <c r="F18" s="67"/>
      <c r="G18" s="67"/>
      <c r="H18" s="73"/>
      <c r="I18" s="69"/>
      <c r="J18" s="66"/>
      <c r="K18" s="73"/>
      <c r="L18" s="66"/>
      <c r="M18" s="70"/>
      <c r="N18" s="66"/>
      <c r="O18" s="148">
        <f t="shared" ca="1" si="15"/>
        <v>2023</v>
      </c>
      <c r="P18" s="67"/>
      <c r="Q18" s="67"/>
      <c r="R18" s="67"/>
      <c r="S18" s="67"/>
      <c r="T18" s="67"/>
      <c r="U18" s="67"/>
      <c r="V18" s="67"/>
      <c r="W18" s="67"/>
      <c r="X18" s="67"/>
      <c r="Y18" s="71"/>
      <c r="Z18" s="72"/>
      <c r="AA18" s="72"/>
      <c r="AB18" s="72"/>
      <c r="AE18" s="15" t="str">
        <f t="shared" si="0"/>
        <v>A</v>
      </c>
      <c r="AF18" s="8">
        <f t="shared" si="1"/>
        <v>0</v>
      </c>
      <c r="AG18" s="9">
        <f t="shared" si="16"/>
        <v>0</v>
      </c>
      <c r="AH18" s="9" t="str">
        <f t="shared" si="17"/>
        <v/>
      </c>
      <c r="AI18" s="8">
        <f t="shared" si="2"/>
        <v>0</v>
      </c>
      <c r="AJ18" s="45">
        <f t="shared" si="18"/>
        <v>0</v>
      </c>
      <c r="AK18" s="45">
        <f t="shared" si="19"/>
        <v>0</v>
      </c>
      <c r="AL18" s="45">
        <f t="shared" si="20"/>
        <v>0</v>
      </c>
      <c r="AM18" s="8" t="str">
        <f t="shared" si="21"/>
        <v>--</v>
      </c>
      <c r="AN18" s="10">
        <f t="shared" si="22"/>
        <v>0</v>
      </c>
      <c r="AO18" s="10">
        <f t="shared" si="23"/>
        <v>0</v>
      </c>
      <c r="AP18" s="10">
        <f t="shared" si="24"/>
        <v>0</v>
      </c>
      <c r="AQ18" s="10">
        <f t="shared" si="25"/>
        <v>0</v>
      </c>
      <c r="AR18" s="10">
        <f t="shared" si="26"/>
        <v>0</v>
      </c>
      <c r="AS18" s="8">
        <v>13</v>
      </c>
      <c r="AT18" s="9">
        <f t="shared" si="27"/>
        <v>0</v>
      </c>
      <c r="AU18" s="11">
        <f t="shared" si="28"/>
        <v>0</v>
      </c>
      <c r="AV18" s="6"/>
      <c r="AW18" s="6"/>
      <c r="AX18" s="6"/>
      <c r="AZ18" t="str">
        <f t="shared" si="29"/>
        <v>{"group":"A",</v>
      </c>
      <c r="BA18" t="str">
        <f t="shared" si="3"/>
        <v>"lot":0,</v>
      </c>
      <c r="BB18" t="str">
        <f t="shared" si="30"/>
        <v>"name":"0",</v>
      </c>
      <c r="BC18" t="str">
        <f t="shared" si="31"/>
        <v>"team":"",</v>
      </c>
      <c r="BD18" t="str">
        <f t="shared" si="32"/>
        <v>"year":"0",</v>
      </c>
      <c r="BE18" t="str">
        <f t="shared" si="33"/>
        <v>"gender":"0",</v>
      </c>
      <c r="BF18" t="str">
        <f t="shared" si="34"/>
        <v>"gear":"0",</v>
      </c>
      <c r="BG18" t="str">
        <f t="shared" si="35"/>
        <v>"lifts":"0",</v>
      </c>
      <c r="BH18" t="str">
        <f t="shared" si="36"/>
        <v>"division":"--",</v>
      </c>
      <c r="BI18" t="str">
        <f t="shared" si="37"/>
        <v>"wc":"0",</v>
      </c>
      <c r="BJ18" t="str">
        <f t="shared" si="38"/>
        <v>"bw":"",</v>
      </c>
      <c r="BK18" t="str">
        <f t="shared" si="39"/>
        <v>"pb":[0,0,0,0],</v>
      </c>
      <c r="BL18" t="str">
        <f t="shared" si="10"/>
        <v>"idx":"13",</v>
      </c>
      <c r="BM18" t="str">
        <f t="shared" si="11"/>
        <v>"sr":"0",</v>
      </c>
      <c r="BN18" t="str">
        <f t="shared" si="12"/>
        <v>"br":"0",</v>
      </c>
      <c r="BO18" t="str">
        <f t="shared" si="13"/>
        <v>"row":0,</v>
      </c>
      <c r="BP18" t="s">
        <v>55</v>
      </c>
      <c r="BQ18" t="str">
        <f t="shared" si="14"/>
        <v>"sq":{"a1":0,"a2":"","a3":"","s1":0,"s2":0,"s3":0},"bp":{"a1":0,"a2":"","a3":"","s1":0,"s2":0,"s3":0},"dl":{"a1":0,"a2":"","a3":"","s1":0,"s2":0,"s3":0},"sortOrder":0,"act":{}}</v>
      </c>
      <c r="BR18" t="str">
        <f t="shared" si="40"/>
        <v>{"group":"A","lot":0,"name":"0","team":"","year":"0","gender":"0","gear":"0","lifts":"0","division":"--","wc":"0","bw":"","pb":[0,0,0,0],"idx":"13","sr":"0","br":"0","row":0,"sq":{"a1":0,"a2":"","a3":"","s1":0,"s2":0,"s3":0},"bp":{"a1":0,"a2":"","a3":"","s1":0,"s2":0,"s3":0},"dl":{"a1":0,"a2":"","a3":"","s1":0,"s2":0,"s3":0},"sortOrder":0,"act":{}}</v>
      </c>
    </row>
    <row r="19" spans="1:70" x14ac:dyDescent="0.25">
      <c r="A19" s="144"/>
      <c r="B19" s="144"/>
      <c r="C19" s="144"/>
      <c r="D19" s="144"/>
      <c r="E19" s="66"/>
      <c r="F19" s="67"/>
      <c r="G19" s="73"/>
      <c r="H19" s="73"/>
      <c r="I19" s="73"/>
      <c r="J19" s="66"/>
      <c r="K19" s="73"/>
      <c r="L19" s="66"/>
      <c r="M19" s="70"/>
      <c r="N19" s="66"/>
      <c r="O19" s="148">
        <f t="shared" ca="1" si="15"/>
        <v>2023</v>
      </c>
      <c r="P19" s="67"/>
      <c r="Q19" s="67"/>
      <c r="R19" s="67"/>
      <c r="S19" s="67"/>
      <c r="T19" s="67"/>
      <c r="U19" s="67"/>
      <c r="V19" s="67"/>
      <c r="W19" s="67"/>
      <c r="X19" s="67"/>
      <c r="Y19" s="71"/>
      <c r="Z19" s="72"/>
      <c r="AA19" s="72"/>
      <c r="AB19" s="72"/>
      <c r="AE19" s="15" t="str">
        <f t="shared" si="0"/>
        <v>A</v>
      </c>
      <c r="AF19" s="8">
        <f t="shared" si="1"/>
        <v>0</v>
      </c>
      <c r="AG19" s="9">
        <f t="shared" si="16"/>
        <v>0</v>
      </c>
      <c r="AH19" s="9" t="str">
        <f t="shared" si="17"/>
        <v/>
      </c>
      <c r="AI19" s="8">
        <f t="shared" si="2"/>
        <v>0</v>
      </c>
      <c r="AJ19" s="45">
        <f t="shared" si="18"/>
        <v>0</v>
      </c>
      <c r="AK19" s="45">
        <f t="shared" si="19"/>
        <v>0</v>
      </c>
      <c r="AL19" s="45">
        <f t="shared" si="20"/>
        <v>0</v>
      </c>
      <c r="AM19" s="8" t="str">
        <f t="shared" si="21"/>
        <v>--</v>
      </c>
      <c r="AN19" s="10">
        <f t="shared" si="22"/>
        <v>0</v>
      </c>
      <c r="AO19" s="10">
        <f t="shared" si="23"/>
        <v>0</v>
      </c>
      <c r="AP19" s="10">
        <f t="shared" si="24"/>
        <v>0</v>
      </c>
      <c r="AQ19" s="10">
        <f t="shared" si="25"/>
        <v>0</v>
      </c>
      <c r="AR19" s="10">
        <f t="shared" si="26"/>
        <v>0</v>
      </c>
      <c r="AS19" s="8">
        <v>14</v>
      </c>
      <c r="AT19" s="9">
        <f t="shared" si="27"/>
        <v>0</v>
      </c>
      <c r="AU19" s="11">
        <f t="shared" si="28"/>
        <v>0</v>
      </c>
      <c r="AV19" s="6"/>
      <c r="AW19" s="6"/>
      <c r="AX19" s="6"/>
      <c r="AZ19" t="str">
        <f t="shared" si="29"/>
        <v>{"group":"A",</v>
      </c>
      <c r="BA19" t="str">
        <f t="shared" si="3"/>
        <v>"lot":0,</v>
      </c>
      <c r="BB19" t="str">
        <f t="shared" si="30"/>
        <v>"name":"0",</v>
      </c>
      <c r="BC19" t="str">
        <f t="shared" si="31"/>
        <v>"team":"",</v>
      </c>
      <c r="BD19" t="str">
        <f t="shared" si="32"/>
        <v>"year":"0",</v>
      </c>
      <c r="BE19" t="str">
        <f t="shared" si="33"/>
        <v>"gender":"0",</v>
      </c>
      <c r="BF19" t="str">
        <f t="shared" si="34"/>
        <v>"gear":"0",</v>
      </c>
      <c r="BG19" t="str">
        <f t="shared" si="35"/>
        <v>"lifts":"0",</v>
      </c>
      <c r="BH19" t="str">
        <f t="shared" si="36"/>
        <v>"division":"--",</v>
      </c>
      <c r="BI19" t="str">
        <f t="shared" si="37"/>
        <v>"wc":"0",</v>
      </c>
      <c r="BJ19" t="str">
        <f t="shared" si="38"/>
        <v>"bw":"",</v>
      </c>
      <c r="BK19" t="str">
        <f t="shared" si="39"/>
        <v>"pb":[0,0,0,0],</v>
      </c>
      <c r="BL19" t="str">
        <f t="shared" si="10"/>
        <v>"idx":"14",</v>
      </c>
      <c r="BM19" t="str">
        <f t="shared" si="11"/>
        <v>"sr":"0",</v>
      </c>
      <c r="BN19" t="str">
        <f t="shared" si="12"/>
        <v>"br":"0",</v>
      </c>
      <c r="BO19" t="str">
        <f t="shared" si="13"/>
        <v>"row":0,</v>
      </c>
      <c r="BP19" t="s">
        <v>55</v>
      </c>
      <c r="BQ19" t="str">
        <f t="shared" si="14"/>
        <v>"sq":{"a1":0,"a2":"","a3":"","s1":0,"s2":0,"s3":0},"bp":{"a1":0,"a2":"","a3":"","s1":0,"s2":0,"s3":0},"dl":{"a1":0,"a2":"","a3":"","s1":0,"s2":0,"s3":0},"sortOrder":0,"act":{}}</v>
      </c>
      <c r="BR19" t="str">
        <f t="shared" si="40"/>
        <v>{"group":"A","lot":0,"name":"0","team":"","year":"0","gender":"0","gear":"0","lifts":"0","division":"--","wc":"0","bw":"","pb":[0,0,0,0],"idx":"14","sr":"0","br":"0","row":0,"sq":{"a1":0,"a2":"","a3":"","s1":0,"s2":0,"s3":0},"bp":{"a1":0,"a2":"","a3":"","s1":0,"s2":0,"s3":0},"dl":{"a1":0,"a2":"","a3":"","s1":0,"s2":0,"s3":0},"sortOrder":0,"act":{}}</v>
      </c>
    </row>
    <row r="20" spans="1:70" x14ac:dyDescent="0.25">
      <c r="A20" s="144"/>
      <c r="B20" s="144"/>
      <c r="C20" s="144"/>
      <c r="D20" s="144"/>
      <c r="E20" s="66"/>
      <c r="F20" s="67"/>
      <c r="G20" s="73"/>
      <c r="H20" s="73"/>
      <c r="I20" s="73"/>
      <c r="J20" s="66"/>
      <c r="K20" s="73"/>
      <c r="L20" s="66"/>
      <c r="M20" s="70"/>
      <c r="N20" s="66"/>
      <c r="O20" s="148">
        <f t="shared" ca="1" si="15"/>
        <v>2023</v>
      </c>
      <c r="P20" s="67"/>
      <c r="Q20" s="67"/>
      <c r="R20" s="67"/>
      <c r="S20" s="67"/>
      <c r="T20" s="67"/>
      <c r="U20" s="67"/>
      <c r="V20" s="67"/>
      <c r="W20" s="67"/>
      <c r="X20" s="67"/>
      <c r="Y20" s="71"/>
      <c r="Z20" s="72"/>
      <c r="AA20" s="72"/>
      <c r="AB20" s="72"/>
      <c r="AE20" s="15" t="str">
        <f t="shared" si="0"/>
        <v>A</v>
      </c>
      <c r="AF20" s="8">
        <f t="shared" si="1"/>
        <v>0</v>
      </c>
      <c r="AG20" s="9">
        <f t="shared" si="16"/>
        <v>0</v>
      </c>
      <c r="AH20" s="9" t="str">
        <f t="shared" si="17"/>
        <v/>
      </c>
      <c r="AI20" s="8">
        <f t="shared" si="2"/>
        <v>0</v>
      </c>
      <c r="AJ20" s="45">
        <f t="shared" si="18"/>
        <v>0</v>
      </c>
      <c r="AK20" s="45">
        <f t="shared" si="19"/>
        <v>0</v>
      </c>
      <c r="AL20" s="45">
        <f t="shared" si="20"/>
        <v>0</v>
      </c>
      <c r="AM20" s="8" t="str">
        <f t="shared" si="21"/>
        <v>--</v>
      </c>
      <c r="AN20" s="10">
        <f t="shared" si="22"/>
        <v>0</v>
      </c>
      <c r="AO20" s="10">
        <f t="shared" si="23"/>
        <v>0</v>
      </c>
      <c r="AP20" s="10">
        <f t="shared" si="24"/>
        <v>0</v>
      </c>
      <c r="AQ20" s="10">
        <f t="shared" si="25"/>
        <v>0</v>
      </c>
      <c r="AR20" s="10">
        <f t="shared" si="26"/>
        <v>0</v>
      </c>
      <c r="AS20" s="8">
        <v>15</v>
      </c>
      <c r="AT20" s="9">
        <f t="shared" si="27"/>
        <v>0</v>
      </c>
      <c r="AU20" s="11">
        <f t="shared" si="28"/>
        <v>0</v>
      </c>
      <c r="AV20" s="6"/>
      <c r="AW20" s="6"/>
      <c r="AX20" s="6"/>
      <c r="AZ20" t="str">
        <f t="shared" si="29"/>
        <v>{"group":"A",</v>
      </c>
      <c r="BA20" t="str">
        <f t="shared" si="3"/>
        <v>"lot":0,</v>
      </c>
      <c r="BB20" t="str">
        <f t="shared" si="30"/>
        <v>"name":"0",</v>
      </c>
      <c r="BC20" t="str">
        <f t="shared" si="31"/>
        <v>"team":"",</v>
      </c>
      <c r="BD20" t="str">
        <f t="shared" si="32"/>
        <v>"year":"0",</v>
      </c>
      <c r="BE20" t="str">
        <f t="shared" si="33"/>
        <v>"gender":"0",</v>
      </c>
      <c r="BF20" t="str">
        <f t="shared" si="34"/>
        <v>"gear":"0",</v>
      </c>
      <c r="BG20" t="str">
        <f t="shared" si="35"/>
        <v>"lifts":"0",</v>
      </c>
      <c r="BH20" t="str">
        <f t="shared" si="36"/>
        <v>"division":"--",</v>
      </c>
      <c r="BI20" t="str">
        <f t="shared" si="37"/>
        <v>"wc":"0",</v>
      </c>
      <c r="BJ20" t="str">
        <f t="shared" si="38"/>
        <v>"bw":"",</v>
      </c>
      <c r="BK20" t="str">
        <f t="shared" si="39"/>
        <v>"pb":[0,0,0,0],</v>
      </c>
      <c r="BL20" t="str">
        <f t="shared" si="10"/>
        <v>"idx":"15",</v>
      </c>
      <c r="BM20" t="str">
        <f t="shared" si="11"/>
        <v>"sr":"0",</v>
      </c>
      <c r="BN20" t="str">
        <f t="shared" si="12"/>
        <v>"br":"0",</v>
      </c>
      <c r="BO20" t="str">
        <f t="shared" si="13"/>
        <v>"row":0,</v>
      </c>
      <c r="BP20" t="s">
        <v>55</v>
      </c>
      <c r="BQ20" t="str">
        <f t="shared" si="14"/>
        <v>"sq":{"a1":0,"a2":"","a3":"","s1":0,"s2":0,"s3":0},"bp":{"a1":0,"a2":"","a3":"","s1":0,"s2":0,"s3":0},"dl":{"a1":0,"a2":"","a3":"","s1":0,"s2":0,"s3":0},"sortOrder":0,"act":{}}</v>
      </c>
      <c r="BR20" t="str">
        <f t="shared" si="40"/>
        <v>{"group":"A","lot":0,"name":"0","team":"","year":"0","gender":"0","gear":"0","lifts":"0","division":"--","wc":"0","bw":"","pb":[0,0,0,0],"idx":"15","sr":"0","br":"0","row":0,"sq":{"a1":0,"a2":"","a3":"","s1":0,"s2":0,"s3":0},"bp":{"a1":0,"a2":"","a3":"","s1":0,"s2":0,"s3":0},"dl":{"a1":0,"a2":"","a3":"","s1":0,"s2":0,"s3":0},"sortOrder":0,"act":{}}</v>
      </c>
    </row>
    <row r="21" spans="1:70" x14ac:dyDescent="0.25">
      <c r="A21" s="144"/>
      <c r="B21" s="144"/>
      <c r="C21" s="144"/>
      <c r="D21" s="144"/>
      <c r="E21" s="66"/>
      <c r="F21" s="67"/>
      <c r="G21" s="73"/>
      <c r="H21" s="73"/>
      <c r="I21" s="73"/>
      <c r="J21" s="66"/>
      <c r="K21" s="73"/>
      <c r="L21" s="66"/>
      <c r="M21" s="70"/>
      <c r="N21" s="66"/>
      <c r="O21" s="148">
        <f t="shared" ca="1" si="15"/>
        <v>2023</v>
      </c>
      <c r="P21" s="67"/>
      <c r="Q21" s="67"/>
      <c r="R21" s="67"/>
      <c r="S21" s="67"/>
      <c r="T21" s="67"/>
      <c r="U21" s="67"/>
      <c r="V21" s="67"/>
      <c r="W21" s="67"/>
      <c r="X21" s="67"/>
      <c r="Y21" s="71"/>
      <c r="Z21" s="72"/>
      <c r="AA21" s="72"/>
      <c r="AB21" s="72"/>
      <c r="AE21" s="15" t="str">
        <f t="shared" si="0"/>
        <v>A</v>
      </c>
      <c r="AF21" s="8">
        <f t="shared" si="1"/>
        <v>0</v>
      </c>
      <c r="AG21" s="9">
        <f t="shared" si="16"/>
        <v>0</v>
      </c>
      <c r="AH21" s="9" t="str">
        <f t="shared" si="17"/>
        <v/>
      </c>
      <c r="AI21" s="8">
        <f t="shared" si="2"/>
        <v>0</v>
      </c>
      <c r="AJ21" s="45">
        <f t="shared" si="18"/>
        <v>0</v>
      </c>
      <c r="AK21" s="45">
        <f t="shared" si="19"/>
        <v>0</v>
      </c>
      <c r="AL21" s="45">
        <f t="shared" si="20"/>
        <v>0</v>
      </c>
      <c r="AM21" s="8" t="str">
        <f t="shared" si="21"/>
        <v>--</v>
      </c>
      <c r="AN21" s="10">
        <f t="shared" si="22"/>
        <v>0</v>
      </c>
      <c r="AO21" s="10">
        <f t="shared" si="23"/>
        <v>0</v>
      </c>
      <c r="AP21" s="10">
        <f t="shared" si="24"/>
        <v>0</v>
      </c>
      <c r="AQ21" s="10">
        <f t="shared" si="25"/>
        <v>0</v>
      </c>
      <c r="AR21" s="10">
        <f t="shared" si="26"/>
        <v>0</v>
      </c>
      <c r="AS21" s="8">
        <v>16</v>
      </c>
      <c r="AT21" s="9">
        <f t="shared" si="27"/>
        <v>0</v>
      </c>
      <c r="AU21" s="11">
        <f t="shared" si="28"/>
        <v>0</v>
      </c>
      <c r="AV21" s="6"/>
      <c r="AW21" s="6"/>
      <c r="AX21" s="6"/>
      <c r="AZ21" t="str">
        <f t="shared" si="29"/>
        <v>{"group":"A",</v>
      </c>
      <c r="BA21" t="str">
        <f t="shared" si="3"/>
        <v>"lot":0,</v>
      </c>
      <c r="BB21" t="str">
        <f t="shared" si="30"/>
        <v>"name":"0",</v>
      </c>
      <c r="BC21" t="str">
        <f t="shared" si="31"/>
        <v>"team":"",</v>
      </c>
      <c r="BD21" t="str">
        <f t="shared" si="32"/>
        <v>"year":"0",</v>
      </c>
      <c r="BE21" t="str">
        <f t="shared" si="33"/>
        <v>"gender":"0",</v>
      </c>
      <c r="BF21" t="str">
        <f t="shared" si="34"/>
        <v>"gear":"0",</v>
      </c>
      <c r="BG21" t="str">
        <f t="shared" si="35"/>
        <v>"lifts":"0",</v>
      </c>
      <c r="BH21" t="str">
        <f t="shared" si="36"/>
        <v>"division":"--",</v>
      </c>
      <c r="BI21" t="str">
        <f t="shared" si="37"/>
        <v>"wc":"0",</v>
      </c>
      <c r="BJ21" t="str">
        <f t="shared" si="38"/>
        <v>"bw":"",</v>
      </c>
      <c r="BK21" t="str">
        <f t="shared" si="39"/>
        <v>"pb":[0,0,0,0],</v>
      </c>
      <c r="BL21" t="str">
        <f t="shared" si="10"/>
        <v>"idx":"16",</v>
      </c>
      <c r="BM21" t="str">
        <f t="shared" si="11"/>
        <v>"sr":"0",</v>
      </c>
      <c r="BN21" t="str">
        <f t="shared" si="12"/>
        <v>"br":"0",</v>
      </c>
      <c r="BO21" t="str">
        <f t="shared" si="13"/>
        <v>"row":0,</v>
      </c>
      <c r="BP21" t="s">
        <v>55</v>
      </c>
      <c r="BQ21" t="str">
        <f t="shared" si="14"/>
        <v>"sq":{"a1":0,"a2":"","a3":"","s1":0,"s2":0,"s3":0},"bp":{"a1":0,"a2":"","a3":"","s1":0,"s2":0,"s3":0},"dl":{"a1":0,"a2":"","a3":"","s1":0,"s2":0,"s3":0},"sortOrder":0,"act":{}}</v>
      </c>
      <c r="BR21" t="str">
        <f t="shared" si="40"/>
        <v>{"group":"A","lot":0,"name":"0","team":"","year":"0","gender":"0","gear":"0","lifts":"0","division":"--","wc":"0","bw":"","pb":[0,0,0,0],"idx":"16","sr":"0","br":"0","row":0,"sq":{"a1":0,"a2":"","a3":"","s1":0,"s2":0,"s3":0},"bp":{"a1":0,"a2":"","a3":"","s1":0,"s2":0,"s3":0},"dl":{"a1":0,"a2":"","a3":"","s1":0,"s2":0,"s3":0},"sortOrder":0,"act":{}}</v>
      </c>
    </row>
    <row r="22" spans="1:70" x14ac:dyDescent="0.25">
      <c r="A22" s="144"/>
      <c r="B22" s="144"/>
      <c r="C22" s="144"/>
      <c r="D22" s="144"/>
      <c r="E22" s="74"/>
      <c r="F22" s="75"/>
      <c r="G22" s="76"/>
      <c r="H22" s="76"/>
      <c r="I22" s="76"/>
      <c r="J22" s="74"/>
      <c r="K22" s="76"/>
      <c r="L22" s="74"/>
      <c r="M22" s="77"/>
      <c r="N22" s="74"/>
      <c r="O22" s="148">
        <f t="shared" ca="1" si="15"/>
        <v>2023</v>
      </c>
      <c r="P22" s="75"/>
      <c r="Q22" s="75"/>
      <c r="R22" s="75"/>
      <c r="S22" s="75"/>
      <c r="T22" s="75"/>
      <c r="U22" s="75"/>
      <c r="V22" s="75"/>
      <c r="W22" s="75"/>
      <c r="X22" s="75"/>
      <c r="Y22" s="78"/>
      <c r="Z22" s="79"/>
      <c r="AA22" s="79"/>
      <c r="AB22" s="79"/>
      <c r="AE22" s="15" t="str">
        <f t="shared" si="0"/>
        <v>A</v>
      </c>
      <c r="AF22" s="8">
        <f t="shared" si="1"/>
        <v>0</v>
      </c>
      <c r="AG22" s="9">
        <f t="shared" si="16"/>
        <v>0</v>
      </c>
      <c r="AH22" s="9" t="str">
        <f t="shared" si="17"/>
        <v/>
      </c>
      <c r="AI22" s="8">
        <f>K22</f>
        <v>0</v>
      </c>
      <c r="AJ22" s="45">
        <f t="shared" si="18"/>
        <v>0</v>
      </c>
      <c r="AK22" s="45">
        <f t="shared" si="19"/>
        <v>0</v>
      </c>
      <c r="AL22" s="45">
        <f t="shared" si="20"/>
        <v>0</v>
      </c>
      <c r="AM22" s="8" t="str">
        <f t="shared" si="21"/>
        <v>--</v>
      </c>
      <c r="AN22" s="10">
        <f t="shared" si="22"/>
        <v>0</v>
      </c>
      <c r="AO22" s="10">
        <f t="shared" si="23"/>
        <v>0</v>
      </c>
      <c r="AP22" s="10">
        <f t="shared" si="24"/>
        <v>0</v>
      </c>
      <c r="AQ22" s="10">
        <f t="shared" si="25"/>
        <v>0</v>
      </c>
      <c r="AR22" s="10">
        <f t="shared" si="26"/>
        <v>0</v>
      </c>
      <c r="AS22" s="8">
        <v>0</v>
      </c>
      <c r="AT22" s="9">
        <f t="shared" si="27"/>
        <v>0</v>
      </c>
      <c r="AU22" s="11">
        <f t="shared" si="28"/>
        <v>0</v>
      </c>
      <c r="AV22" s="6"/>
      <c r="AW22" s="6"/>
      <c r="AX22" s="6"/>
      <c r="AZ22" t="str">
        <f t="shared" si="29"/>
        <v>{"group":"A",</v>
      </c>
      <c r="BA22" t="str">
        <f t="shared" si="3"/>
        <v>"lot":0,</v>
      </c>
      <c r="BB22" t="str">
        <f t="shared" si="30"/>
        <v>"name":"0",</v>
      </c>
      <c r="BC22" t="str">
        <f t="shared" si="31"/>
        <v>"team":"",</v>
      </c>
      <c r="BD22" t="str">
        <f t="shared" si="32"/>
        <v>"year":"0",</v>
      </c>
      <c r="BE22" t="str">
        <f t="shared" si="33"/>
        <v>"gender":"0",</v>
      </c>
      <c r="BF22" t="str">
        <f t="shared" si="34"/>
        <v>"gear":"0",</v>
      </c>
      <c r="BG22" t="str">
        <f t="shared" si="35"/>
        <v>"lifts":"0",</v>
      </c>
      <c r="BH22" t="str">
        <f t="shared" si="36"/>
        <v>"division":"--",</v>
      </c>
      <c r="BI22" t="str">
        <f t="shared" si="37"/>
        <v>"wc":"0",</v>
      </c>
      <c r="BJ22" t="str">
        <f t="shared" si="38"/>
        <v>"bw":"",</v>
      </c>
      <c r="BK22" t="str">
        <f t="shared" si="39"/>
        <v>"pb":[0,0,0,0],</v>
      </c>
      <c r="BL22" t="str">
        <f t="shared" si="10"/>
        <v>"idx":"0",</v>
      </c>
      <c r="BM22" t="str">
        <f t="shared" si="11"/>
        <v>"sr":"0",</v>
      </c>
      <c r="BN22" t="str">
        <f t="shared" si="12"/>
        <v>"br":"0",</v>
      </c>
      <c r="BO22" t="str">
        <f t="shared" si="13"/>
        <v>"row":0,</v>
      </c>
      <c r="BP22" t="s">
        <v>55</v>
      </c>
      <c r="BQ22" t="str">
        <f t="shared" si="14"/>
        <v>"sq":{"a1":0,"a2":"","a3":"","s1":0,"s2":0,"s3":0},"bp":{"a1":0,"a2":"","a3":"","s1":0,"s2":0,"s3":0},"dl":{"a1":0,"a2":"","a3":"","s1":0,"s2":0,"s3":0},"sortOrder":0,"act":{}}</v>
      </c>
      <c r="BR22" t="str">
        <f t="shared" si="40"/>
        <v>{"group":"A","lot":0,"name":"0","team":"","year":"0","gender":"0","gear":"0","lifts":"0","division":"--","wc":"0","bw":"","pb":[0,0,0,0],"idx":"0","sr":"0","br":"0","row":0,"sq":{"a1":0,"a2":"","a3":"","s1":0,"s2":0,"s3":0},"bp":{"a1":0,"a2":"","a3":"","s1":0,"s2":0,"s3":0},"dl":{"a1":0,"a2":"","a3":"","s1":0,"s2":0,"s3":0},"sortOrder":0,"act":{}}</v>
      </c>
    </row>
    <row r="23" spans="1:70" x14ac:dyDescent="0.25">
      <c r="A23" s="144"/>
      <c r="B23" s="144"/>
      <c r="C23" s="144"/>
      <c r="D23" s="144"/>
      <c r="E23" s="74"/>
      <c r="F23" s="75"/>
      <c r="G23" s="76"/>
      <c r="H23" s="76"/>
      <c r="I23" s="76"/>
      <c r="J23" s="74"/>
      <c r="K23" s="76"/>
      <c r="L23" s="74"/>
      <c r="M23" s="77"/>
      <c r="N23" s="74"/>
      <c r="O23" s="148">
        <f t="shared" ca="1" si="15"/>
        <v>2023</v>
      </c>
      <c r="P23" s="75"/>
      <c r="Q23" s="75"/>
      <c r="R23" s="75"/>
      <c r="S23" s="75"/>
      <c r="T23" s="75"/>
      <c r="U23" s="75"/>
      <c r="V23" s="75"/>
      <c r="W23" s="75"/>
      <c r="X23" s="75"/>
      <c r="Y23" s="78"/>
      <c r="Z23" s="79"/>
      <c r="AA23" s="79"/>
      <c r="AB23" s="79"/>
      <c r="AE23" s="15" t="str">
        <f t="shared" si="0"/>
        <v>A</v>
      </c>
      <c r="AF23" s="8">
        <f t="shared" si="1"/>
        <v>0</v>
      </c>
      <c r="AG23" s="9">
        <f t="shared" si="16"/>
        <v>0</v>
      </c>
      <c r="AH23" s="9" t="str">
        <f t="shared" si="17"/>
        <v/>
      </c>
      <c r="AI23" s="8">
        <f t="shared" si="2"/>
        <v>0</v>
      </c>
      <c r="AJ23" s="45">
        <f t="shared" si="18"/>
        <v>0</v>
      </c>
      <c r="AK23" s="45">
        <f t="shared" si="19"/>
        <v>0</v>
      </c>
      <c r="AL23" s="45">
        <f t="shared" si="20"/>
        <v>0</v>
      </c>
      <c r="AM23" s="8" t="str">
        <f>LEFT(N23,1)&amp;"-"&amp;L23&amp;"-"&amp;M23</f>
        <v>--</v>
      </c>
      <c r="AN23" s="10">
        <f t="shared" si="22"/>
        <v>0</v>
      </c>
      <c r="AO23" s="10">
        <f t="shared" si="23"/>
        <v>0</v>
      </c>
      <c r="AP23" s="10">
        <f t="shared" si="24"/>
        <v>0</v>
      </c>
      <c r="AQ23" s="10">
        <f t="shared" si="25"/>
        <v>0</v>
      </c>
      <c r="AR23" s="10">
        <f t="shared" si="26"/>
        <v>0</v>
      </c>
      <c r="AS23" s="8">
        <v>1</v>
      </c>
      <c r="AT23" s="9">
        <f t="shared" si="27"/>
        <v>0</v>
      </c>
      <c r="AU23" s="11">
        <f t="shared" si="28"/>
        <v>0</v>
      </c>
      <c r="AV23" s="6"/>
      <c r="AW23" s="6"/>
      <c r="AX23" s="6"/>
      <c r="AZ23" t="str">
        <f t="shared" si="29"/>
        <v>{"group":"A",</v>
      </c>
      <c r="BA23" t="str">
        <f t="shared" si="3"/>
        <v>"lot":0,</v>
      </c>
      <c r="BB23" t="str">
        <f t="shared" si="30"/>
        <v>"name":"0",</v>
      </c>
      <c r="BC23" t="str">
        <f t="shared" si="31"/>
        <v>"team":"",</v>
      </c>
      <c r="BD23" t="str">
        <f t="shared" si="32"/>
        <v>"year":"0",</v>
      </c>
      <c r="BE23" t="str">
        <f t="shared" si="33"/>
        <v>"gender":"0",</v>
      </c>
      <c r="BF23" t="str">
        <f t="shared" si="34"/>
        <v>"gear":"0",</v>
      </c>
      <c r="BG23" t="str">
        <f t="shared" si="35"/>
        <v>"lifts":"0",</v>
      </c>
      <c r="BH23" t="str">
        <f t="shared" si="36"/>
        <v>"division":"--",</v>
      </c>
      <c r="BI23" t="str">
        <f t="shared" si="37"/>
        <v>"wc":"0",</v>
      </c>
      <c r="BJ23" t="str">
        <f t="shared" si="38"/>
        <v>"bw":"",</v>
      </c>
      <c r="BK23" t="str">
        <f t="shared" si="39"/>
        <v>"pb":[0,0,0,0],</v>
      </c>
      <c r="BL23" t="str">
        <f t="shared" si="10"/>
        <v>"idx":"1",</v>
      </c>
      <c r="BM23" t="str">
        <f t="shared" si="11"/>
        <v>"sr":"0",</v>
      </c>
      <c r="BN23" t="str">
        <f t="shared" si="12"/>
        <v>"br":"0",</v>
      </c>
      <c r="BO23" t="str">
        <f t="shared" si="13"/>
        <v>"row":0,</v>
      </c>
      <c r="BP23" t="s">
        <v>55</v>
      </c>
      <c r="BQ23" t="str">
        <f t="shared" si="14"/>
        <v>"sq":{"a1":0,"a2":"","a3":"","s1":0,"s2":0,"s3":0},"bp":{"a1":0,"a2":"","a3":"","s1":0,"s2":0,"s3":0},"dl":{"a1":0,"a2":"","a3":"","s1":0,"s2":0,"s3":0},"sortOrder":0,"act":{}}</v>
      </c>
      <c r="BR23" t="str">
        <f t="shared" si="40"/>
        <v>{"group":"A","lot":0,"name":"0","team":"","year":"0","gender":"0","gear":"0","lifts":"0","division":"--","wc":"0","bw":"","pb":[0,0,0,0],"idx":"1","sr":"0","br":"0","row":0,"sq":{"a1":0,"a2":"","a3":"","s1":0,"s2":0,"s3":0},"bp":{"a1":0,"a2":"","a3":"","s1":0,"s2":0,"s3":0},"dl":{"a1":0,"a2":"","a3":"","s1":0,"s2":0,"s3":0},"sortOrder":0,"act":{}}</v>
      </c>
    </row>
    <row r="24" spans="1:70" x14ac:dyDescent="0.25">
      <c r="E24" s="74"/>
      <c r="F24" s="75"/>
      <c r="G24" s="76"/>
      <c r="H24" s="76"/>
      <c r="I24" s="76"/>
      <c r="J24" s="74"/>
      <c r="K24" s="76"/>
      <c r="L24" s="74"/>
      <c r="M24" s="77"/>
      <c r="N24" s="74"/>
      <c r="O24" s="148">
        <f t="shared" ca="1" si="15"/>
        <v>2023</v>
      </c>
      <c r="P24" s="75"/>
      <c r="Q24" s="75"/>
      <c r="R24" s="75"/>
      <c r="S24" s="75"/>
      <c r="T24" s="75"/>
      <c r="U24" s="75"/>
      <c r="V24" s="75"/>
      <c r="W24" s="75"/>
      <c r="X24" s="75"/>
      <c r="Y24" s="78"/>
      <c r="Z24" s="79"/>
      <c r="AA24" s="79"/>
      <c r="AB24" s="79"/>
      <c r="AE24" s="15" t="str">
        <f t="shared" si="0"/>
        <v>A</v>
      </c>
      <c r="AF24" s="8">
        <f t="shared" si="1"/>
        <v>0</v>
      </c>
      <c r="AG24" s="9">
        <f t="shared" si="16"/>
        <v>0</v>
      </c>
      <c r="AH24" s="9" t="str">
        <f t="shared" si="17"/>
        <v/>
      </c>
      <c r="AI24" s="8">
        <f t="shared" si="2"/>
        <v>0</v>
      </c>
      <c r="AJ24" s="45">
        <f t="shared" si="18"/>
        <v>0</v>
      </c>
      <c r="AK24" s="45">
        <f t="shared" si="19"/>
        <v>0</v>
      </c>
      <c r="AL24" s="45">
        <f t="shared" si="20"/>
        <v>0</v>
      </c>
      <c r="AM24" s="8" t="str">
        <f t="shared" si="21"/>
        <v>--</v>
      </c>
      <c r="AN24" s="10">
        <f t="shared" si="22"/>
        <v>0</v>
      </c>
      <c r="AO24" s="10">
        <f t="shared" si="23"/>
        <v>0</v>
      </c>
      <c r="AP24" s="10">
        <f t="shared" si="24"/>
        <v>0</v>
      </c>
      <c r="AQ24" s="10">
        <f t="shared" si="25"/>
        <v>0</v>
      </c>
      <c r="AR24" s="10">
        <f t="shared" si="26"/>
        <v>0</v>
      </c>
      <c r="AS24" s="8">
        <v>2</v>
      </c>
      <c r="AT24" s="9">
        <f t="shared" si="27"/>
        <v>0</v>
      </c>
      <c r="AU24" s="11">
        <f t="shared" si="28"/>
        <v>0</v>
      </c>
      <c r="AV24" s="6"/>
      <c r="AW24" s="6"/>
      <c r="AX24" s="6"/>
      <c r="AZ24" t="str">
        <f t="shared" si="29"/>
        <v>{"group":"A",</v>
      </c>
      <c r="BA24" t="str">
        <f t="shared" si="3"/>
        <v>"lot":0,</v>
      </c>
      <c r="BB24" t="str">
        <f t="shared" si="30"/>
        <v>"name":"0",</v>
      </c>
      <c r="BC24" t="str">
        <f t="shared" si="31"/>
        <v>"team":"",</v>
      </c>
      <c r="BD24" t="str">
        <f t="shared" si="32"/>
        <v>"year":"0",</v>
      </c>
      <c r="BE24" t="str">
        <f t="shared" si="33"/>
        <v>"gender":"0",</v>
      </c>
      <c r="BF24" t="str">
        <f t="shared" si="34"/>
        <v>"gear":"0",</v>
      </c>
      <c r="BG24" t="str">
        <f t="shared" si="35"/>
        <v>"lifts":"0",</v>
      </c>
      <c r="BH24" t="str">
        <f t="shared" si="36"/>
        <v>"division":"--",</v>
      </c>
      <c r="BI24" t="str">
        <f t="shared" si="37"/>
        <v>"wc":"0",</v>
      </c>
      <c r="BJ24" t="str">
        <f t="shared" si="38"/>
        <v>"bw":"",</v>
      </c>
      <c r="BK24" t="str">
        <f t="shared" si="39"/>
        <v>"pb":[0,0,0,0],</v>
      </c>
      <c r="BL24" t="str">
        <f t="shared" si="10"/>
        <v>"idx":"2",</v>
      </c>
      <c r="BM24" t="str">
        <f t="shared" si="11"/>
        <v>"sr":"0",</v>
      </c>
      <c r="BN24" t="str">
        <f t="shared" si="12"/>
        <v>"br":"0",</v>
      </c>
      <c r="BO24" t="str">
        <f t="shared" si="13"/>
        <v>"row":0,</v>
      </c>
      <c r="BP24" t="s">
        <v>55</v>
      </c>
      <c r="BQ24" t="str">
        <f t="shared" si="14"/>
        <v>"sq":{"a1":0,"a2":"","a3":"","s1":0,"s2":0,"s3":0},"bp":{"a1":0,"a2":"","a3":"","s1":0,"s2":0,"s3":0},"dl":{"a1":0,"a2":"","a3":"","s1":0,"s2":0,"s3":0},"sortOrder":0,"act":{}}</v>
      </c>
      <c r="BR24" t="str">
        <f t="shared" si="40"/>
        <v>{"group":"A","lot":0,"name":"0","team":"","year":"0","gender":"0","gear":"0","lifts":"0","division":"--","wc":"0","bw":"","pb":[0,0,0,0],"idx":"2","sr":"0","br":"0","row":0,"sq":{"a1":0,"a2":"","a3":"","s1":0,"s2":0,"s3":0},"bp":{"a1":0,"a2":"","a3":"","s1":0,"s2":0,"s3":0},"dl":{"a1":0,"a2":"","a3":"","s1":0,"s2":0,"s3":0},"sortOrder":0,"act":{}}</v>
      </c>
    </row>
    <row r="25" spans="1:70" x14ac:dyDescent="0.25">
      <c r="A25" s="5"/>
      <c r="E25" s="74"/>
      <c r="F25" s="75"/>
      <c r="G25" s="76"/>
      <c r="H25" s="76"/>
      <c r="I25" s="76"/>
      <c r="J25" s="74"/>
      <c r="K25" s="76"/>
      <c r="L25" s="74"/>
      <c r="M25" s="77"/>
      <c r="N25" s="74"/>
      <c r="O25" s="148">
        <f t="shared" ca="1" si="15"/>
        <v>2023</v>
      </c>
      <c r="P25" s="75"/>
      <c r="Q25" s="75"/>
      <c r="R25" s="75"/>
      <c r="S25" s="75"/>
      <c r="T25" s="75"/>
      <c r="U25" s="75"/>
      <c r="V25" s="75"/>
      <c r="W25" s="75"/>
      <c r="X25" s="75"/>
      <c r="Y25" s="78"/>
      <c r="Z25" s="79"/>
      <c r="AA25" s="79"/>
      <c r="AB25" s="79"/>
      <c r="AE25" s="15" t="str">
        <f t="shared" si="0"/>
        <v>A</v>
      </c>
      <c r="AF25" s="8">
        <f t="shared" si="1"/>
        <v>0</v>
      </c>
      <c r="AG25" s="9">
        <f t="shared" si="16"/>
        <v>0</v>
      </c>
      <c r="AH25" s="9" t="str">
        <f t="shared" si="17"/>
        <v/>
      </c>
      <c r="AI25" s="8">
        <f t="shared" si="2"/>
        <v>0</v>
      </c>
      <c r="AJ25" s="45">
        <f t="shared" si="18"/>
        <v>0</v>
      </c>
      <c r="AK25" s="45">
        <f t="shared" si="19"/>
        <v>0</v>
      </c>
      <c r="AL25" s="45">
        <f t="shared" si="20"/>
        <v>0</v>
      </c>
      <c r="AM25" s="8" t="str">
        <f t="shared" si="21"/>
        <v>--</v>
      </c>
      <c r="AN25" s="10">
        <f t="shared" si="22"/>
        <v>0</v>
      </c>
      <c r="AO25" s="10">
        <f t="shared" si="23"/>
        <v>0</v>
      </c>
      <c r="AP25" s="10">
        <f t="shared" si="24"/>
        <v>0</v>
      </c>
      <c r="AQ25" s="10">
        <f t="shared" si="25"/>
        <v>0</v>
      </c>
      <c r="AR25" s="10">
        <f t="shared" si="26"/>
        <v>0</v>
      </c>
      <c r="AS25" s="8">
        <v>3</v>
      </c>
      <c r="AT25" s="9">
        <f t="shared" si="27"/>
        <v>0</v>
      </c>
      <c r="AU25" s="11">
        <f t="shared" si="28"/>
        <v>0</v>
      </c>
      <c r="AV25" s="6"/>
      <c r="AW25" s="6"/>
      <c r="AX25" s="6"/>
      <c r="AZ25" t="str">
        <f t="shared" si="29"/>
        <v>{"group":"A",</v>
      </c>
      <c r="BA25" t="str">
        <f t="shared" si="3"/>
        <v>"lot":0,</v>
      </c>
      <c r="BB25" t="str">
        <f t="shared" si="30"/>
        <v>"name":"0",</v>
      </c>
      <c r="BC25" t="str">
        <f t="shared" si="31"/>
        <v>"team":"",</v>
      </c>
      <c r="BD25" t="str">
        <f t="shared" si="32"/>
        <v>"year":"0",</v>
      </c>
      <c r="BE25" t="str">
        <f t="shared" si="33"/>
        <v>"gender":"0",</v>
      </c>
      <c r="BF25" t="str">
        <f t="shared" si="34"/>
        <v>"gear":"0",</v>
      </c>
      <c r="BG25" t="str">
        <f t="shared" si="35"/>
        <v>"lifts":"0",</v>
      </c>
      <c r="BH25" t="str">
        <f t="shared" si="36"/>
        <v>"division":"--",</v>
      </c>
      <c r="BI25" t="str">
        <f t="shared" si="37"/>
        <v>"wc":"0",</v>
      </c>
      <c r="BJ25" t="str">
        <f t="shared" si="38"/>
        <v>"bw":"",</v>
      </c>
      <c r="BK25" t="str">
        <f t="shared" si="39"/>
        <v>"pb":[0,0,0,0],</v>
      </c>
      <c r="BL25" t="str">
        <f t="shared" si="10"/>
        <v>"idx":"3",</v>
      </c>
      <c r="BM25" t="str">
        <f t="shared" si="11"/>
        <v>"sr":"0",</v>
      </c>
      <c r="BN25" t="str">
        <f t="shared" si="12"/>
        <v>"br":"0",</v>
      </c>
      <c r="BO25" t="str">
        <f t="shared" si="13"/>
        <v>"row":0,</v>
      </c>
      <c r="BP25" t="s">
        <v>55</v>
      </c>
      <c r="BQ25" t="str">
        <f t="shared" si="14"/>
        <v>"sq":{"a1":0,"a2":"","a3":"","s1":0,"s2":0,"s3":0},"bp":{"a1":0,"a2":"","a3":"","s1":0,"s2":0,"s3":0},"dl":{"a1":0,"a2":"","a3":"","s1":0,"s2":0,"s3":0},"sortOrder":0,"act":{}}</v>
      </c>
      <c r="BR25" t="str">
        <f t="shared" si="40"/>
        <v>{"group":"A","lot":0,"name":"0","team":"","year":"0","gender":"0","gear":"0","lifts":"0","division":"--","wc":"0","bw":"","pb":[0,0,0,0],"idx":"3","sr":"0","br":"0","row":0,"sq":{"a1":0,"a2":"","a3":"","s1":0,"s2":0,"s3":0},"bp":{"a1":0,"a2":"","a3":"","s1":0,"s2":0,"s3":0},"dl":{"a1":0,"a2":"","a3":"","s1":0,"s2":0,"s3":0},"sortOrder":0,"act":{}}</v>
      </c>
    </row>
    <row r="26" spans="1:70" x14ac:dyDescent="0.25">
      <c r="E26" s="74"/>
      <c r="F26" s="75"/>
      <c r="G26" s="76"/>
      <c r="H26" s="76"/>
      <c r="I26" s="76"/>
      <c r="J26" s="74"/>
      <c r="K26" s="76"/>
      <c r="L26" s="74"/>
      <c r="M26" s="77"/>
      <c r="N26" s="74"/>
      <c r="O26" s="148">
        <f t="shared" ca="1" si="15"/>
        <v>2023</v>
      </c>
      <c r="P26" s="75"/>
      <c r="Q26" s="75"/>
      <c r="R26" s="75"/>
      <c r="S26" s="75"/>
      <c r="T26" s="75"/>
      <c r="U26" s="75"/>
      <c r="V26" s="75"/>
      <c r="W26" s="75"/>
      <c r="X26" s="75"/>
      <c r="Y26" s="78"/>
      <c r="Z26" s="79"/>
      <c r="AA26" s="79"/>
      <c r="AB26" s="79"/>
      <c r="AE26" s="15" t="str">
        <f t="shared" si="0"/>
        <v>A</v>
      </c>
      <c r="AF26" s="8">
        <f t="shared" si="1"/>
        <v>0</v>
      </c>
      <c r="AG26" s="9">
        <f t="shared" si="16"/>
        <v>0</v>
      </c>
      <c r="AH26" s="9" t="str">
        <f t="shared" si="17"/>
        <v/>
      </c>
      <c r="AI26" s="8">
        <f t="shared" si="2"/>
        <v>0</v>
      </c>
      <c r="AJ26" s="45">
        <f t="shared" si="18"/>
        <v>0</v>
      </c>
      <c r="AK26" s="45">
        <f t="shared" si="19"/>
        <v>0</v>
      </c>
      <c r="AL26" s="45">
        <f t="shared" si="20"/>
        <v>0</v>
      </c>
      <c r="AM26" s="8" t="str">
        <f t="shared" si="21"/>
        <v>--</v>
      </c>
      <c r="AN26" s="10">
        <f t="shared" si="22"/>
        <v>0</v>
      </c>
      <c r="AO26" s="10">
        <f t="shared" si="23"/>
        <v>0</v>
      </c>
      <c r="AP26" s="10">
        <f t="shared" si="24"/>
        <v>0</v>
      </c>
      <c r="AQ26" s="10">
        <f t="shared" si="25"/>
        <v>0</v>
      </c>
      <c r="AR26" s="10">
        <f t="shared" si="26"/>
        <v>0</v>
      </c>
      <c r="AS26" s="8">
        <v>4</v>
      </c>
      <c r="AT26" s="9">
        <f t="shared" si="27"/>
        <v>0</v>
      </c>
      <c r="AU26" s="11">
        <f t="shared" si="28"/>
        <v>0</v>
      </c>
      <c r="AV26" s="6"/>
      <c r="AW26" s="6"/>
      <c r="AX26" s="6"/>
      <c r="AZ26" t="str">
        <f t="shared" si="29"/>
        <v>{"group":"A",</v>
      </c>
      <c r="BA26" t="str">
        <f t="shared" si="3"/>
        <v>"lot":0,</v>
      </c>
      <c r="BB26" t="str">
        <f t="shared" si="30"/>
        <v>"name":"0",</v>
      </c>
      <c r="BC26" t="str">
        <f t="shared" si="31"/>
        <v>"team":"",</v>
      </c>
      <c r="BD26" t="str">
        <f t="shared" si="32"/>
        <v>"year":"0",</v>
      </c>
      <c r="BE26" t="str">
        <f t="shared" si="33"/>
        <v>"gender":"0",</v>
      </c>
      <c r="BF26" t="str">
        <f t="shared" si="34"/>
        <v>"gear":"0",</v>
      </c>
      <c r="BG26" t="str">
        <f t="shared" si="35"/>
        <v>"lifts":"0",</v>
      </c>
      <c r="BH26" t="str">
        <f t="shared" si="36"/>
        <v>"division":"--",</v>
      </c>
      <c r="BI26" t="str">
        <f t="shared" si="37"/>
        <v>"wc":"0",</v>
      </c>
      <c r="BJ26" t="str">
        <f t="shared" si="38"/>
        <v>"bw":"",</v>
      </c>
      <c r="BK26" t="str">
        <f t="shared" si="39"/>
        <v>"pb":[0,0,0,0],</v>
      </c>
      <c r="BL26" t="str">
        <f t="shared" si="10"/>
        <v>"idx":"4",</v>
      </c>
      <c r="BM26" t="str">
        <f t="shared" si="11"/>
        <v>"sr":"0",</v>
      </c>
      <c r="BN26" t="str">
        <f t="shared" si="12"/>
        <v>"br":"0",</v>
      </c>
      <c r="BO26" t="str">
        <f t="shared" si="13"/>
        <v>"row":0,</v>
      </c>
      <c r="BP26" t="s">
        <v>55</v>
      </c>
      <c r="BQ26" t="str">
        <f t="shared" si="14"/>
        <v>"sq":{"a1":0,"a2":"","a3":"","s1":0,"s2":0,"s3":0},"bp":{"a1":0,"a2":"","a3":"","s1":0,"s2":0,"s3":0},"dl":{"a1":0,"a2":"","a3":"","s1":0,"s2":0,"s3":0},"sortOrder":0,"act":{}}</v>
      </c>
      <c r="BR26" t="str">
        <f t="shared" si="40"/>
        <v>{"group":"A","lot":0,"name":"0","team":"","year":"0","gender":"0","gear":"0","lifts":"0","division":"--","wc":"0","bw":"","pb":[0,0,0,0],"idx":"4","sr":"0","br":"0","row":0,"sq":{"a1":0,"a2":"","a3":"","s1":0,"s2":0,"s3":0},"bp":{"a1":0,"a2":"","a3":"","s1":0,"s2":0,"s3":0},"dl":{"a1":0,"a2":"","a3":"","s1":0,"s2":0,"s3":0},"sortOrder":0,"act":{}}</v>
      </c>
    </row>
    <row r="27" spans="1:70" x14ac:dyDescent="0.25">
      <c r="E27" s="74"/>
      <c r="F27" s="75"/>
      <c r="G27" s="76"/>
      <c r="H27" s="76"/>
      <c r="I27" s="76"/>
      <c r="J27" s="74"/>
      <c r="K27" s="76"/>
      <c r="L27" s="74"/>
      <c r="M27" s="77"/>
      <c r="N27" s="74"/>
      <c r="O27" s="148">
        <f t="shared" ca="1" si="15"/>
        <v>2023</v>
      </c>
      <c r="P27" s="75"/>
      <c r="Q27" s="75"/>
      <c r="R27" s="75"/>
      <c r="S27" s="75"/>
      <c r="T27" s="75"/>
      <c r="U27" s="75"/>
      <c r="V27" s="75"/>
      <c r="W27" s="75"/>
      <c r="X27" s="75"/>
      <c r="Y27" s="78"/>
      <c r="Z27" s="79"/>
      <c r="AA27" s="79"/>
      <c r="AB27" s="79"/>
      <c r="AE27" s="15" t="str">
        <f t="shared" si="0"/>
        <v>A</v>
      </c>
      <c r="AF27" s="8">
        <f t="shared" si="1"/>
        <v>0</v>
      </c>
      <c r="AG27" s="9">
        <f t="shared" si="16"/>
        <v>0</v>
      </c>
      <c r="AH27" s="9" t="str">
        <f t="shared" si="17"/>
        <v/>
      </c>
      <c r="AI27" s="8">
        <f t="shared" si="2"/>
        <v>0</v>
      </c>
      <c r="AJ27" s="45">
        <f t="shared" si="18"/>
        <v>0</v>
      </c>
      <c r="AK27" s="45">
        <f t="shared" si="19"/>
        <v>0</v>
      </c>
      <c r="AL27" s="45">
        <f t="shared" si="20"/>
        <v>0</v>
      </c>
      <c r="AM27" s="8" t="str">
        <f t="shared" si="21"/>
        <v>--</v>
      </c>
      <c r="AN27" s="10">
        <f t="shared" si="22"/>
        <v>0</v>
      </c>
      <c r="AO27" s="10">
        <f t="shared" si="23"/>
        <v>0</v>
      </c>
      <c r="AP27" s="10">
        <f t="shared" si="24"/>
        <v>0</v>
      </c>
      <c r="AQ27" s="10">
        <f t="shared" si="25"/>
        <v>0</v>
      </c>
      <c r="AR27" s="10">
        <f t="shared" si="26"/>
        <v>0</v>
      </c>
      <c r="AS27" s="8">
        <v>5</v>
      </c>
      <c r="AT27" s="9">
        <f t="shared" si="27"/>
        <v>0</v>
      </c>
      <c r="AU27" s="11">
        <f t="shared" si="28"/>
        <v>0</v>
      </c>
      <c r="AV27" s="6"/>
      <c r="AW27" s="6"/>
      <c r="AX27" s="6"/>
      <c r="AZ27" t="str">
        <f t="shared" si="29"/>
        <v>{"group":"A",</v>
      </c>
      <c r="BA27" t="str">
        <f t="shared" si="3"/>
        <v>"lot":0,</v>
      </c>
      <c r="BB27" t="str">
        <f t="shared" si="30"/>
        <v>"name":"0",</v>
      </c>
      <c r="BC27" t="str">
        <f t="shared" si="31"/>
        <v>"team":"",</v>
      </c>
      <c r="BD27" t="str">
        <f t="shared" si="32"/>
        <v>"year":"0",</v>
      </c>
      <c r="BE27" t="str">
        <f t="shared" si="33"/>
        <v>"gender":"0",</v>
      </c>
      <c r="BF27" t="str">
        <f t="shared" si="34"/>
        <v>"gear":"0",</v>
      </c>
      <c r="BG27" t="str">
        <f t="shared" si="35"/>
        <v>"lifts":"0",</v>
      </c>
      <c r="BH27" t="str">
        <f t="shared" si="36"/>
        <v>"division":"--",</v>
      </c>
      <c r="BI27" t="str">
        <f t="shared" si="37"/>
        <v>"wc":"0",</v>
      </c>
      <c r="BJ27" t="str">
        <f t="shared" si="38"/>
        <v>"bw":"",</v>
      </c>
      <c r="BK27" t="str">
        <f t="shared" si="39"/>
        <v>"pb":[0,0,0,0],</v>
      </c>
      <c r="BL27" t="str">
        <f t="shared" si="10"/>
        <v>"idx":"5",</v>
      </c>
      <c r="BM27" t="str">
        <f t="shared" si="11"/>
        <v>"sr":"0",</v>
      </c>
      <c r="BN27" t="str">
        <f t="shared" si="12"/>
        <v>"br":"0",</v>
      </c>
      <c r="BO27" t="str">
        <f t="shared" si="13"/>
        <v>"row":0,</v>
      </c>
      <c r="BP27" t="s">
        <v>55</v>
      </c>
      <c r="BQ27" t="str">
        <f t="shared" si="14"/>
        <v>"sq":{"a1":0,"a2":"","a3":"","s1":0,"s2":0,"s3":0},"bp":{"a1":0,"a2":"","a3":"","s1":0,"s2":0,"s3":0},"dl":{"a1":0,"a2":"","a3":"","s1":0,"s2":0,"s3":0},"sortOrder":0,"act":{}}</v>
      </c>
      <c r="BR27" t="str">
        <f t="shared" si="40"/>
        <v>{"group":"A","lot":0,"name":"0","team":"","year":"0","gender":"0","gear":"0","lifts":"0","division":"--","wc":"0","bw":"","pb":[0,0,0,0],"idx":"5","sr":"0","br":"0","row":0,"sq":{"a1":0,"a2":"","a3":"","s1":0,"s2":0,"s3":0},"bp":{"a1":0,"a2":"","a3":"","s1":0,"s2":0,"s3":0},"dl":{"a1":0,"a2":"","a3":"","s1":0,"s2":0,"s3":0},"sortOrder":0,"act":{}}</v>
      </c>
    </row>
    <row r="28" spans="1:70" x14ac:dyDescent="0.25">
      <c r="E28" s="74"/>
      <c r="F28" s="75"/>
      <c r="G28" s="76"/>
      <c r="H28" s="76"/>
      <c r="I28" s="76"/>
      <c r="J28" s="74"/>
      <c r="K28" s="76"/>
      <c r="L28" s="74"/>
      <c r="M28" s="77"/>
      <c r="N28" s="74"/>
      <c r="O28" s="148">
        <f t="shared" ca="1" si="15"/>
        <v>2023</v>
      </c>
      <c r="P28" s="75"/>
      <c r="Q28" s="75"/>
      <c r="R28" s="75"/>
      <c r="S28" s="75"/>
      <c r="T28" s="75"/>
      <c r="U28" s="75"/>
      <c r="V28" s="75"/>
      <c r="W28" s="75"/>
      <c r="X28" s="75"/>
      <c r="Y28" s="78"/>
      <c r="Z28" s="79"/>
      <c r="AA28" s="79"/>
      <c r="AB28" s="79"/>
      <c r="AE28" s="15" t="str">
        <f t="shared" si="0"/>
        <v>A</v>
      </c>
      <c r="AF28" s="8">
        <f t="shared" si="1"/>
        <v>0</v>
      </c>
      <c r="AG28" s="9">
        <f t="shared" si="16"/>
        <v>0</v>
      </c>
      <c r="AH28" s="9" t="str">
        <f t="shared" si="17"/>
        <v/>
      </c>
      <c r="AI28" s="8">
        <f t="shared" si="2"/>
        <v>0</v>
      </c>
      <c r="AJ28" s="45">
        <f t="shared" si="18"/>
        <v>0</v>
      </c>
      <c r="AK28" s="45">
        <f t="shared" si="19"/>
        <v>0</v>
      </c>
      <c r="AL28" s="45">
        <f t="shared" si="20"/>
        <v>0</v>
      </c>
      <c r="AM28" s="8" t="str">
        <f t="shared" si="21"/>
        <v>--</v>
      </c>
      <c r="AN28" s="10">
        <f t="shared" si="22"/>
        <v>0</v>
      </c>
      <c r="AO28" s="10">
        <f t="shared" si="23"/>
        <v>0</v>
      </c>
      <c r="AP28" s="10">
        <f t="shared" si="24"/>
        <v>0</v>
      </c>
      <c r="AQ28" s="10">
        <f t="shared" si="25"/>
        <v>0</v>
      </c>
      <c r="AR28" s="10">
        <f t="shared" si="26"/>
        <v>0</v>
      </c>
      <c r="AS28" s="8">
        <v>6</v>
      </c>
      <c r="AT28" s="9">
        <f t="shared" si="27"/>
        <v>0</v>
      </c>
      <c r="AU28" s="11">
        <f t="shared" si="28"/>
        <v>0</v>
      </c>
      <c r="AV28" s="6"/>
      <c r="AW28" s="6"/>
      <c r="AX28" s="6"/>
      <c r="AZ28" t="str">
        <f t="shared" si="29"/>
        <v>{"group":"A",</v>
      </c>
      <c r="BA28" t="str">
        <f t="shared" si="3"/>
        <v>"lot":0,</v>
      </c>
      <c r="BB28" t="str">
        <f t="shared" si="30"/>
        <v>"name":"0",</v>
      </c>
      <c r="BC28" t="str">
        <f t="shared" si="31"/>
        <v>"team":"",</v>
      </c>
      <c r="BD28" t="str">
        <f t="shared" si="32"/>
        <v>"year":"0",</v>
      </c>
      <c r="BE28" t="str">
        <f t="shared" si="33"/>
        <v>"gender":"0",</v>
      </c>
      <c r="BF28" t="str">
        <f t="shared" si="34"/>
        <v>"gear":"0",</v>
      </c>
      <c r="BG28" t="str">
        <f t="shared" si="35"/>
        <v>"lifts":"0",</v>
      </c>
      <c r="BH28" t="str">
        <f t="shared" si="36"/>
        <v>"division":"--",</v>
      </c>
      <c r="BI28" t="str">
        <f t="shared" si="37"/>
        <v>"wc":"0",</v>
      </c>
      <c r="BJ28" t="str">
        <f t="shared" si="38"/>
        <v>"bw":"",</v>
      </c>
      <c r="BK28" t="str">
        <f t="shared" si="39"/>
        <v>"pb":[0,0,0,0],</v>
      </c>
      <c r="BL28" t="str">
        <f t="shared" si="10"/>
        <v>"idx":"6",</v>
      </c>
      <c r="BM28" t="str">
        <f t="shared" si="11"/>
        <v>"sr":"0",</v>
      </c>
      <c r="BN28" t="str">
        <f t="shared" si="12"/>
        <v>"br":"0",</v>
      </c>
      <c r="BO28" t="str">
        <f t="shared" si="13"/>
        <v>"row":0,</v>
      </c>
      <c r="BP28" t="s">
        <v>55</v>
      </c>
      <c r="BQ28" t="str">
        <f t="shared" si="14"/>
        <v>"sq":{"a1":0,"a2":"","a3":"","s1":0,"s2":0,"s3":0},"bp":{"a1":0,"a2":"","a3":"","s1":0,"s2":0,"s3":0},"dl":{"a1":0,"a2":"","a3":"","s1":0,"s2":0,"s3":0},"sortOrder":0,"act":{}}</v>
      </c>
      <c r="BR28" t="str">
        <f t="shared" si="40"/>
        <v>{"group":"A","lot":0,"name":"0","team":"","year":"0","gender":"0","gear":"0","lifts":"0","division":"--","wc":"0","bw":"","pb":[0,0,0,0],"idx":"6","sr":"0","br":"0","row":0,"sq":{"a1":0,"a2":"","a3":"","s1":0,"s2":0,"s3":0},"bp":{"a1":0,"a2":"","a3":"","s1":0,"s2":0,"s3":0},"dl":{"a1":0,"a2":"","a3":"","s1":0,"s2":0,"s3":0},"sortOrder":0,"act":{}}</v>
      </c>
    </row>
    <row r="29" spans="1:70" x14ac:dyDescent="0.25">
      <c r="E29" s="74"/>
      <c r="F29" s="75"/>
      <c r="G29" s="76"/>
      <c r="H29" s="76"/>
      <c r="I29" s="76"/>
      <c r="J29" s="74"/>
      <c r="K29" s="76"/>
      <c r="L29" s="74"/>
      <c r="M29" s="77"/>
      <c r="N29" s="74"/>
      <c r="O29" s="148">
        <f t="shared" ca="1" si="15"/>
        <v>2023</v>
      </c>
      <c r="P29" s="75"/>
      <c r="Q29" s="75"/>
      <c r="R29" s="75"/>
      <c r="S29" s="75"/>
      <c r="T29" s="75"/>
      <c r="U29" s="75"/>
      <c r="V29" s="75"/>
      <c r="W29" s="75"/>
      <c r="X29" s="75"/>
      <c r="Y29" s="78"/>
      <c r="Z29" s="79"/>
      <c r="AA29" s="79"/>
      <c r="AB29" s="79"/>
      <c r="AE29" s="15" t="str">
        <f t="shared" si="0"/>
        <v>A</v>
      </c>
      <c r="AF29" s="8">
        <f t="shared" si="1"/>
        <v>0</v>
      </c>
      <c r="AG29" s="9">
        <f t="shared" si="16"/>
        <v>0</v>
      </c>
      <c r="AH29" s="9" t="str">
        <f t="shared" si="17"/>
        <v/>
      </c>
      <c r="AI29" s="8">
        <f t="shared" si="2"/>
        <v>0</v>
      </c>
      <c r="AJ29" s="45">
        <f t="shared" si="18"/>
        <v>0</v>
      </c>
      <c r="AK29" s="45">
        <f t="shared" si="19"/>
        <v>0</v>
      </c>
      <c r="AL29" s="45">
        <f t="shared" si="20"/>
        <v>0</v>
      </c>
      <c r="AM29" s="8" t="str">
        <f t="shared" si="21"/>
        <v>--</v>
      </c>
      <c r="AN29" s="10">
        <f t="shared" si="22"/>
        <v>0</v>
      </c>
      <c r="AO29" s="10">
        <f t="shared" si="23"/>
        <v>0</v>
      </c>
      <c r="AP29" s="10">
        <f t="shared" si="24"/>
        <v>0</v>
      </c>
      <c r="AQ29" s="10">
        <f t="shared" si="25"/>
        <v>0</v>
      </c>
      <c r="AR29" s="10">
        <f t="shared" si="26"/>
        <v>0</v>
      </c>
      <c r="AS29" s="8">
        <v>7</v>
      </c>
      <c r="AT29" s="9">
        <f t="shared" si="27"/>
        <v>0</v>
      </c>
      <c r="AU29" s="11">
        <f t="shared" si="28"/>
        <v>0</v>
      </c>
      <c r="AV29" s="6"/>
      <c r="AW29" s="6"/>
      <c r="AX29" s="6"/>
      <c r="AZ29" t="str">
        <f t="shared" si="29"/>
        <v>{"group":"A",</v>
      </c>
      <c r="BA29" t="str">
        <f t="shared" si="3"/>
        <v>"lot":0,</v>
      </c>
      <c r="BB29" t="str">
        <f t="shared" si="30"/>
        <v>"name":"0",</v>
      </c>
      <c r="BC29" t="str">
        <f t="shared" si="31"/>
        <v>"team":"",</v>
      </c>
      <c r="BD29" t="str">
        <f t="shared" si="32"/>
        <v>"year":"0",</v>
      </c>
      <c r="BE29" t="str">
        <f t="shared" si="33"/>
        <v>"gender":"0",</v>
      </c>
      <c r="BF29" t="str">
        <f t="shared" si="34"/>
        <v>"gear":"0",</v>
      </c>
      <c r="BG29" t="str">
        <f t="shared" si="35"/>
        <v>"lifts":"0",</v>
      </c>
      <c r="BH29" t="str">
        <f t="shared" si="36"/>
        <v>"division":"--",</v>
      </c>
      <c r="BI29" t="str">
        <f t="shared" si="37"/>
        <v>"wc":"0",</v>
      </c>
      <c r="BJ29" t="str">
        <f t="shared" si="38"/>
        <v>"bw":"",</v>
      </c>
      <c r="BK29" t="str">
        <f t="shared" si="39"/>
        <v>"pb":[0,0,0,0],</v>
      </c>
      <c r="BL29" t="str">
        <f t="shared" si="10"/>
        <v>"idx":"7",</v>
      </c>
      <c r="BM29" t="str">
        <f t="shared" si="11"/>
        <v>"sr":"0",</v>
      </c>
      <c r="BN29" t="str">
        <f t="shared" si="12"/>
        <v>"br":"0",</v>
      </c>
      <c r="BO29" t="str">
        <f t="shared" si="13"/>
        <v>"row":0,</v>
      </c>
      <c r="BP29" t="s">
        <v>55</v>
      </c>
      <c r="BQ29" t="str">
        <f t="shared" si="14"/>
        <v>"sq":{"a1":0,"a2":"","a3":"","s1":0,"s2":0,"s3":0},"bp":{"a1":0,"a2":"","a3":"","s1":0,"s2":0,"s3":0},"dl":{"a1":0,"a2":"","a3":"","s1":0,"s2":0,"s3":0},"sortOrder":0,"act":{}}</v>
      </c>
      <c r="BR29" t="str">
        <f t="shared" si="40"/>
        <v>{"group":"A","lot":0,"name":"0","team":"","year":"0","gender":"0","gear":"0","lifts":"0","division":"--","wc":"0","bw":"","pb":[0,0,0,0],"idx":"7","sr":"0","br":"0","row":0,"sq":{"a1":0,"a2":"","a3":"","s1":0,"s2":0,"s3":0},"bp":{"a1":0,"a2":"","a3":"","s1":0,"s2":0,"s3":0},"dl":{"a1":0,"a2":"","a3":"","s1":0,"s2":0,"s3":0},"sortOrder":0,"act":{}}</v>
      </c>
    </row>
    <row r="30" spans="1:70" x14ac:dyDescent="0.25">
      <c r="E30" s="74"/>
      <c r="F30" s="75"/>
      <c r="G30" s="76"/>
      <c r="H30" s="76"/>
      <c r="I30" s="76"/>
      <c r="J30" s="74"/>
      <c r="K30" s="76"/>
      <c r="L30" s="74"/>
      <c r="M30" s="77"/>
      <c r="N30" s="74"/>
      <c r="O30" s="148">
        <f t="shared" ca="1" si="15"/>
        <v>2023</v>
      </c>
      <c r="P30" s="75"/>
      <c r="Q30" s="75"/>
      <c r="R30" s="75"/>
      <c r="S30" s="75"/>
      <c r="T30" s="75"/>
      <c r="U30" s="75"/>
      <c r="V30" s="75"/>
      <c r="W30" s="75"/>
      <c r="X30" s="75"/>
      <c r="Y30" s="78"/>
      <c r="Z30" s="79"/>
      <c r="AA30" s="79"/>
      <c r="AB30" s="79"/>
      <c r="AE30" s="15" t="str">
        <f t="shared" si="0"/>
        <v>A</v>
      </c>
      <c r="AF30" s="8">
        <f t="shared" si="1"/>
        <v>0</v>
      </c>
      <c r="AG30" s="9">
        <f t="shared" si="16"/>
        <v>0</v>
      </c>
      <c r="AH30" s="9" t="str">
        <f t="shared" si="17"/>
        <v/>
      </c>
      <c r="AI30" s="8">
        <f t="shared" si="2"/>
        <v>0</v>
      </c>
      <c r="AJ30" s="45">
        <f t="shared" si="18"/>
        <v>0</v>
      </c>
      <c r="AK30" s="45">
        <f t="shared" si="19"/>
        <v>0</v>
      </c>
      <c r="AL30" s="45">
        <f t="shared" si="20"/>
        <v>0</v>
      </c>
      <c r="AM30" s="8" t="str">
        <f t="shared" si="21"/>
        <v>--</v>
      </c>
      <c r="AN30" s="10">
        <f t="shared" si="22"/>
        <v>0</v>
      </c>
      <c r="AO30" s="10">
        <f t="shared" si="23"/>
        <v>0</v>
      </c>
      <c r="AP30" s="10">
        <f t="shared" si="24"/>
        <v>0</v>
      </c>
      <c r="AQ30" s="10">
        <f t="shared" si="25"/>
        <v>0</v>
      </c>
      <c r="AR30" s="10">
        <f t="shared" si="26"/>
        <v>0</v>
      </c>
      <c r="AS30" s="8">
        <v>8</v>
      </c>
      <c r="AT30" s="9">
        <f t="shared" si="27"/>
        <v>0</v>
      </c>
      <c r="AU30" s="11">
        <f t="shared" si="28"/>
        <v>0</v>
      </c>
      <c r="AV30" s="6"/>
      <c r="AW30" s="6"/>
      <c r="AX30" s="6"/>
      <c r="AZ30" t="str">
        <f t="shared" si="29"/>
        <v>{"group":"A",</v>
      </c>
      <c r="BA30" t="str">
        <f t="shared" si="3"/>
        <v>"lot":0,</v>
      </c>
      <c r="BB30" t="str">
        <f t="shared" si="30"/>
        <v>"name":"0",</v>
      </c>
      <c r="BC30" t="str">
        <f t="shared" si="31"/>
        <v>"team":"",</v>
      </c>
      <c r="BD30" t="str">
        <f t="shared" si="32"/>
        <v>"year":"0",</v>
      </c>
      <c r="BE30" t="str">
        <f t="shared" si="33"/>
        <v>"gender":"0",</v>
      </c>
      <c r="BF30" t="str">
        <f t="shared" si="34"/>
        <v>"gear":"0",</v>
      </c>
      <c r="BG30" t="str">
        <f t="shared" si="35"/>
        <v>"lifts":"0",</v>
      </c>
      <c r="BH30" t="str">
        <f t="shared" si="36"/>
        <v>"division":"--",</v>
      </c>
      <c r="BI30" t="str">
        <f t="shared" si="37"/>
        <v>"wc":"0",</v>
      </c>
      <c r="BJ30" t="str">
        <f t="shared" si="38"/>
        <v>"bw":"",</v>
      </c>
      <c r="BK30" t="str">
        <f t="shared" si="39"/>
        <v>"pb":[0,0,0,0],</v>
      </c>
      <c r="BL30" t="str">
        <f t="shared" si="10"/>
        <v>"idx":"8",</v>
      </c>
      <c r="BM30" t="str">
        <f t="shared" si="11"/>
        <v>"sr":"0",</v>
      </c>
      <c r="BN30" t="str">
        <f t="shared" si="12"/>
        <v>"br":"0",</v>
      </c>
      <c r="BO30" t="str">
        <f t="shared" si="13"/>
        <v>"row":0,</v>
      </c>
      <c r="BP30" t="s">
        <v>55</v>
      </c>
      <c r="BQ30" t="str">
        <f t="shared" si="14"/>
        <v>"sq":{"a1":0,"a2":"","a3":"","s1":0,"s2":0,"s3":0},"bp":{"a1":0,"a2":"","a3":"","s1":0,"s2":0,"s3":0},"dl":{"a1":0,"a2":"","a3":"","s1":0,"s2":0,"s3":0},"sortOrder":0,"act":{}}</v>
      </c>
      <c r="BR30" t="str">
        <f t="shared" si="40"/>
        <v>{"group":"A","lot":0,"name":"0","team":"","year":"0","gender":"0","gear":"0","lifts":"0","division":"--","wc":"0","bw":"","pb":[0,0,0,0],"idx":"8","sr":"0","br":"0","row":0,"sq":{"a1":0,"a2":"","a3":"","s1":0,"s2":0,"s3":0},"bp":{"a1":0,"a2":"","a3":"","s1":0,"s2":0,"s3":0},"dl":{"a1":0,"a2":"","a3":"","s1":0,"s2":0,"s3":0},"sortOrder":0,"act":{}}</v>
      </c>
    </row>
    <row r="31" spans="1:70" x14ac:dyDescent="0.25">
      <c r="E31" s="74"/>
      <c r="F31" s="75"/>
      <c r="G31" s="76"/>
      <c r="H31" s="76"/>
      <c r="I31" s="76"/>
      <c r="J31" s="74"/>
      <c r="K31" s="76"/>
      <c r="L31" s="74"/>
      <c r="M31" s="77"/>
      <c r="N31" s="74"/>
      <c r="O31" s="148">
        <f t="shared" ca="1" si="15"/>
        <v>2023</v>
      </c>
      <c r="P31" s="75"/>
      <c r="Q31" s="75"/>
      <c r="R31" s="75"/>
      <c r="S31" s="75"/>
      <c r="T31" s="75"/>
      <c r="U31" s="75"/>
      <c r="V31" s="75"/>
      <c r="W31" s="75"/>
      <c r="X31" s="75"/>
      <c r="Y31" s="78"/>
      <c r="Z31" s="79"/>
      <c r="AA31" s="79"/>
      <c r="AB31" s="79"/>
      <c r="AE31" s="15" t="str">
        <f t="shared" si="0"/>
        <v>A</v>
      </c>
      <c r="AF31" s="8">
        <f t="shared" si="1"/>
        <v>0</v>
      </c>
      <c r="AG31" s="9">
        <f t="shared" si="16"/>
        <v>0</v>
      </c>
      <c r="AH31" s="9" t="str">
        <f t="shared" si="17"/>
        <v/>
      </c>
      <c r="AI31" s="8">
        <f t="shared" si="2"/>
        <v>0</v>
      </c>
      <c r="AJ31" s="45">
        <f t="shared" si="18"/>
        <v>0</v>
      </c>
      <c r="AK31" s="45">
        <f t="shared" si="19"/>
        <v>0</v>
      </c>
      <c r="AL31" s="45">
        <f t="shared" si="20"/>
        <v>0</v>
      </c>
      <c r="AM31" s="8" t="str">
        <f t="shared" si="21"/>
        <v>--</v>
      </c>
      <c r="AN31" s="10">
        <f t="shared" si="22"/>
        <v>0</v>
      </c>
      <c r="AO31" s="10">
        <f t="shared" si="23"/>
        <v>0</v>
      </c>
      <c r="AP31" s="10">
        <f t="shared" si="24"/>
        <v>0</v>
      </c>
      <c r="AQ31" s="10">
        <f t="shared" si="25"/>
        <v>0</v>
      </c>
      <c r="AR31" s="10">
        <f t="shared" si="26"/>
        <v>0</v>
      </c>
      <c r="AS31" s="8">
        <v>9</v>
      </c>
      <c r="AT31" s="9">
        <f t="shared" si="27"/>
        <v>0</v>
      </c>
      <c r="AU31" s="11">
        <f t="shared" si="28"/>
        <v>0</v>
      </c>
      <c r="AV31" s="6"/>
      <c r="AW31" s="6"/>
      <c r="AX31" s="6"/>
      <c r="AZ31" t="str">
        <f t="shared" si="29"/>
        <v>{"group":"A",</v>
      </c>
      <c r="BA31" t="str">
        <f t="shared" si="3"/>
        <v>"lot":0,</v>
      </c>
      <c r="BB31" t="str">
        <f t="shared" si="30"/>
        <v>"name":"0",</v>
      </c>
      <c r="BC31" t="str">
        <f t="shared" si="31"/>
        <v>"team":"",</v>
      </c>
      <c r="BD31" t="str">
        <f t="shared" si="32"/>
        <v>"year":"0",</v>
      </c>
      <c r="BE31" t="str">
        <f t="shared" si="33"/>
        <v>"gender":"0",</v>
      </c>
      <c r="BF31" t="str">
        <f t="shared" si="34"/>
        <v>"gear":"0",</v>
      </c>
      <c r="BG31" t="str">
        <f t="shared" si="35"/>
        <v>"lifts":"0",</v>
      </c>
      <c r="BH31" t="str">
        <f t="shared" si="36"/>
        <v>"division":"--",</v>
      </c>
      <c r="BI31" t="str">
        <f t="shared" si="37"/>
        <v>"wc":"0",</v>
      </c>
      <c r="BJ31" t="str">
        <f t="shared" si="38"/>
        <v>"bw":"",</v>
      </c>
      <c r="BK31" t="str">
        <f t="shared" si="39"/>
        <v>"pb":[0,0,0,0],</v>
      </c>
      <c r="BL31" t="str">
        <f t="shared" si="10"/>
        <v>"idx":"9",</v>
      </c>
      <c r="BM31" t="str">
        <f t="shared" si="11"/>
        <v>"sr":"0",</v>
      </c>
      <c r="BN31" t="str">
        <f t="shared" si="12"/>
        <v>"br":"0",</v>
      </c>
      <c r="BO31" t="str">
        <f t="shared" si="13"/>
        <v>"row":0,</v>
      </c>
      <c r="BP31" t="s">
        <v>55</v>
      </c>
      <c r="BQ31" t="str">
        <f t="shared" si="14"/>
        <v>"sq":{"a1":0,"a2":"","a3":"","s1":0,"s2":0,"s3":0},"bp":{"a1":0,"a2":"","a3":"","s1":0,"s2":0,"s3":0},"dl":{"a1":0,"a2":"","a3":"","s1":0,"s2":0,"s3":0},"sortOrder":0,"act":{}}</v>
      </c>
      <c r="BR31" t="str">
        <f t="shared" si="40"/>
        <v>{"group":"A","lot":0,"name":"0","team":"","year":"0","gender":"0","gear":"0","lifts":"0","division":"--","wc":"0","bw":"","pb":[0,0,0,0],"idx":"9","sr":"0","br":"0","row":0,"sq":{"a1":0,"a2":"","a3":"","s1":0,"s2":0,"s3":0},"bp":{"a1":0,"a2":"","a3":"","s1":0,"s2":0,"s3":0},"dl":{"a1":0,"a2":"","a3":"","s1":0,"s2":0,"s3":0},"sortOrder":0,"act":{}}</v>
      </c>
    </row>
    <row r="32" spans="1:70" x14ac:dyDescent="0.25">
      <c r="E32" s="80"/>
      <c r="F32" s="81"/>
      <c r="G32" s="85"/>
      <c r="H32" s="80"/>
      <c r="I32" s="85"/>
      <c r="J32" s="80"/>
      <c r="K32" s="85"/>
      <c r="L32" s="80"/>
      <c r="M32" s="82"/>
      <c r="N32" s="80"/>
      <c r="O32" s="148">
        <f t="shared" ca="1" si="15"/>
        <v>2023</v>
      </c>
      <c r="P32" s="81"/>
      <c r="Q32" s="81"/>
      <c r="R32" s="81"/>
      <c r="S32" s="81"/>
      <c r="T32" s="81"/>
      <c r="U32" s="81"/>
      <c r="V32" s="81"/>
      <c r="W32" s="81"/>
      <c r="X32" s="81"/>
      <c r="Y32" s="83"/>
      <c r="Z32" s="84"/>
      <c r="AA32" s="84"/>
      <c r="AB32" s="84"/>
      <c r="AE32" s="15" t="str">
        <f t="shared" si="0"/>
        <v>A</v>
      </c>
      <c r="AF32" s="8">
        <f t="shared" si="1"/>
        <v>0</v>
      </c>
      <c r="AG32" s="9">
        <f t="shared" si="16"/>
        <v>0</v>
      </c>
      <c r="AH32" s="9" t="str">
        <f t="shared" si="17"/>
        <v/>
      </c>
      <c r="AI32" s="8">
        <f t="shared" si="2"/>
        <v>0</v>
      </c>
      <c r="AJ32" s="45">
        <f t="shared" si="18"/>
        <v>0</v>
      </c>
      <c r="AK32" s="45">
        <f t="shared" si="19"/>
        <v>0</v>
      </c>
      <c r="AL32" s="45">
        <f t="shared" si="20"/>
        <v>0</v>
      </c>
      <c r="AM32" s="8" t="str">
        <f t="shared" si="21"/>
        <v>--</v>
      </c>
      <c r="AN32" s="10">
        <f t="shared" si="22"/>
        <v>0</v>
      </c>
      <c r="AO32" s="10">
        <f t="shared" si="23"/>
        <v>0</v>
      </c>
      <c r="AP32" s="10">
        <f t="shared" si="24"/>
        <v>0</v>
      </c>
      <c r="AQ32" s="10">
        <f t="shared" si="25"/>
        <v>0</v>
      </c>
      <c r="AR32" s="10">
        <f t="shared" si="26"/>
        <v>0</v>
      </c>
      <c r="AS32" s="8">
        <v>10</v>
      </c>
      <c r="AT32" s="9">
        <f t="shared" si="27"/>
        <v>0</v>
      </c>
      <c r="AU32" s="11">
        <f t="shared" si="28"/>
        <v>0</v>
      </c>
      <c r="AV32" s="6"/>
      <c r="AW32" s="6"/>
      <c r="AX32" s="6"/>
      <c r="AZ32" t="str">
        <f t="shared" si="29"/>
        <v>{"group":"A",</v>
      </c>
      <c r="BA32" t="str">
        <f t="shared" si="3"/>
        <v>"lot":0,</v>
      </c>
      <c r="BB32" t="str">
        <f t="shared" si="30"/>
        <v>"name":"0",</v>
      </c>
      <c r="BC32" t="str">
        <f t="shared" si="31"/>
        <v>"team":"",</v>
      </c>
      <c r="BD32" t="str">
        <f t="shared" si="32"/>
        <v>"year":"0",</v>
      </c>
      <c r="BE32" t="str">
        <f t="shared" si="33"/>
        <v>"gender":"0",</v>
      </c>
      <c r="BF32" t="str">
        <f t="shared" si="34"/>
        <v>"gear":"0",</v>
      </c>
      <c r="BG32" t="str">
        <f t="shared" si="35"/>
        <v>"lifts":"0",</v>
      </c>
      <c r="BH32" t="str">
        <f t="shared" si="36"/>
        <v>"division":"--",</v>
      </c>
      <c r="BI32" t="str">
        <f t="shared" si="37"/>
        <v>"wc":"0",</v>
      </c>
      <c r="BJ32" t="str">
        <f t="shared" si="38"/>
        <v>"bw":"",</v>
      </c>
      <c r="BK32" t="str">
        <f t="shared" si="39"/>
        <v>"pb":[0,0,0,0],</v>
      </c>
      <c r="BL32" t="str">
        <f t="shared" si="10"/>
        <v>"idx":"10",</v>
      </c>
      <c r="BM32" t="str">
        <f t="shared" si="11"/>
        <v>"sr":"0",</v>
      </c>
      <c r="BN32" t="str">
        <f t="shared" si="12"/>
        <v>"br":"0",</v>
      </c>
      <c r="BO32" t="str">
        <f t="shared" si="13"/>
        <v>"row":0,</v>
      </c>
      <c r="BP32" t="s">
        <v>55</v>
      </c>
      <c r="BQ32" t="str">
        <f t="shared" si="14"/>
        <v>"sq":{"a1":0,"a2":"","a3":"","s1":0,"s2":0,"s3":0},"bp":{"a1":0,"a2":"","a3":"","s1":0,"s2":0,"s3":0},"dl":{"a1":0,"a2":"","a3":"","s1":0,"s2":0,"s3":0},"sortOrder":0,"act":{}}</v>
      </c>
      <c r="BR32" t="str">
        <f t="shared" si="40"/>
        <v>{"group":"A","lot":0,"name":"0","team":"","year":"0","gender":"0","gear":"0","lifts":"0","division":"--","wc":"0","bw":"","pb":[0,0,0,0],"idx":"10","sr":"0","br":"0","row":0,"sq":{"a1":0,"a2":"","a3":"","s1":0,"s2":0,"s3":0},"bp":{"a1":0,"a2":"","a3":"","s1":0,"s2":0,"s3":0},"dl":{"a1":0,"a2":"","a3":"","s1":0,"s2":0,"s3":0},"sortOrder":0,"act":{}}</v>
      </c>
    </row>
    <row r="33" spans="5:70" x14ac:dyDescent="0.25">
      <c r="E33" s="80"/>
      <c r="F33" s="81"/>
      <c r="G33" s="85"/>
      <c r="H33" s="80"/>
      <c r="I33" s="85"/>
      <c r="J33" s="80"/>
      <c r="K33" s="80"/>
      <c r="L33" s="80"/>
      <c r="M33" s="82"/>
      <c r="N33" s="80"/>
      <c r="O33" s="148">
        <f t="shared" ca="1" si="15"/>
        <v>2023</v>
      </c>
      <c r="P33" s="81"/>
      <c r="Q33" s="81"/>
      <c r="R33" s="81"/>
      <c r="S33" s="81"/>
      <c r="T33" s="81"/>
      <c r="U33" s="81"/>
      <c r="V33" s="81"/>
      <c r="W33" s="81"/>
      <c r="X33" s="81"/>
      <c r="Y33" s="83"/>
      <c r="Z33" s="84"/>
      <c r="AA33" s="84"/>
      <c r="AB33" s="84"/>
      <c r="AE33" s="15" t="str">
        <f t="shared" si="0"/>
        <v>A</v>
      </c>
      <c r="AF33" s="8">
        <f t="shared" si="1"/>
        <v>0</v>
      </c>
      <c r="AG33" s="9">
        <f t="shared" si="16"/>
        <v>0</v>
      </c>
      <c r="AH33" s="9" t="str">
        <f t="shared" si="17"/>
        <v/>
      </c>
      <c r="AI33" s="8">
        <f t="shared" si="2"/>
        <v>0</v>
      </c>
      <c r="AJ33" s="45">
        <f t="shared" si="18"/>
        <v>0</v>
      </c>
      <c r="AK33" s="45">
        <f t="shared" si="19"/>
        <v>0</v>
      </c>
      <c r="AL33" s="45">
        <f t="shared" si="20"/>
        <v>0</v>
      </c>
      <c r="AM33" s="8" t="str">
        <f t="shared" si="21"/>
        <v>--</v>
      </c>
      <c r="AN33" s="10">
        <f t="shared" si="22"/>
        <v>0</v>
      </c>
      <c r="AO33" s="10">
        <f t="shared" si="23"/>
        <v>0</v>
      </c>
      <c r="AP33" s="10">
        <f t="shared" si="24"/>
        <v>0</v>
      </c>
      <c r="AQ33" s="10">
        <f t="shared" si="25"/>
        <v>0</v>
      </c>
      <c r="AR33" s="10">
        <f t="shared" si="26"/>
        <v>0</v>
      </c>
      <c r="AS33" s="8">
        <v>11</v>
      </c>
      <c r="AT33" s="9">
        <f t="shared" si="27"/>
        <v>0</v>
      </c>
      <c r="AU33" s="11">
        <f t="shared" si="28"/>
        <v>0</v>
      </c>
      <c r="AV33" s="6"/>
      <c r="AW33" s="6"/>
      <c r="AX33" s="6"/>
      <c r="AZ33" t="str">
        <f t="shared" si="29"/>
        <v>{"group":"A",</v>
      </c>
      <c r="BA33" t="str">
        <f t="shared" si="3"/>
        <v>"lot":0,</v>
      </c>
      <c r="BB33" t="str">
        <f t="shared" si="30"/>
        <v>"name":"0",</v>
      </c>
      <c r="BC33" t="str">
        <f t="shared" si="31"/>
        <v>"team":"",</v>
      </c>
      <c r="BD33" t="str">
        <f t="shared" si="32"/>
        <v>"year":"0",</v>
      </c>
      <c r="BE33" t="str">
        <f t="shared" si="33"/>
        <v>"gender":"0",</v>
      </c>
      <c r="BF33" t="str">
        <f t="shared" si="34"/>
        <v>"gear":"0",</v>
      </c>
      <c r="BG33" t="str">
        <f t="shared" si="35"/>
        <v>"lifts":"0",</v>
      </c>
      <c r="BH33" t="str">
        <f t="shared" si="36"/>
        <v>"division":"--",</v>
      </c>
      <c r="BI33" t="str">
        <f t="shared" si="37"/>
        <v>"wc":"0",</v>
      </c>
      <c r="BJ33" t="str">
        <f t="shared" si="38"/>
        <v>"bw":"",</v>
      </c>
      <c r="BK33" t="str">
        <f t="shared" si="39"/>
        <v>"pb":[0,0,0,0],</v>
      </c>
      <c r="BL33" t="str">
        <f t="shared" si="10"/>
        <v>"idx":"11",</v>
      </c>
      <c r="BM33" t="str">
        <f t="shared" si="11"/>
        <v>"sr":"0",</v>
      </c>
      <c r="BN33" t="str">
        <f t="shared" si="12"/>
        <v>"br":"0",</v>
      </c>
      <c r="BO33" t="str">
        <f t="shared" si="13"/>
        <v>"row":0,</v>
      </c>
      <c r="BP33" t="s">
        <v>55</v>
      </c>
      <c r="BQ33" t="str">
        <f t="shared" si="14"/>
        <v>"sq":{"a1":0,"a2":"","a3":"","s1":0,"s2":0,"s3":0},"bp":{"a1":0,"a2":"","a3":"","s1":0,"s2":0,"s3":0},"dl":{"a1":0,"a2":"","a3":"","s1":0,"s2":0,"s3":0},"sortOrder":0,"act":{}}</v>
      </c>
      <c r="BR33" t="str">
        <f t="shared" si="40"/>
        <v>{"group":"A","lot":0,"name":"0","team":"","year":"0","gender":"0","gear":"0","lifts":"0","division":"--","wc":"0","bw":"","pb":[0,0,0,0],"idx":"11","sr":"0","br":"0","row":0,"sq":{"a1":0,"a2":"","a3":"","s1":0,"s2":0,"s3":0},"bp":{"a1":0,"a2":"","a3":"","s1":0,"s2":0,"s3":0},"dl":{"a1":0,"a2":"","a3":"","s1":0,"s2":0,"s3":0},"sortOrder":0,"act":{}}</v>
      </c>
    </row>
    <row r="34" spans="5:70" x14ac:dyDescent="0.25">
      <c r="E34" s="80"/>
      <c r="F34" s="81"/>
      <c r="G34" s="85"/>
      <c r="H34" s="80"/>
      <c r="I34" s="85"/>
      <c r="J34" s="80"/>
      <c r="K34" s="80"/>
      <c r="L34" s="80"/>
      <c r="M34" s="82"/>
      <c r="N34" s="80"/>
      <c r="O34" s="148">
        <f t="shared" ca="1" si="15"/>
        <v>2023</v>
      </c>
      <c r="P34" s="81"/>
      <c r="Q34" s="81"/>
      <c r="R34" s="81"/>
      <c r="S34" s="81"/>
      <c r="T34" s="81"/>
      <c r="U34" s="81"/>
      <c r="V34" s="81"/>
      <c r="W34" s="81"/>
      <c r="X34" s="81"/>
      <c r="Y34" s="83"/>
      <c r="Z34" s="84"/>
      <c r="AA34" s="84"/>
      <c r="AB34" s="84"/>
      <c r="AE34" s="15" t="str">
        <f t="shared" si="0"/>
        <v>A</v>
      </c>
      <c r="AF34" s="8">
        <f t="shared" si="1"/>
        <v>0</v>
      </c>
      <c r="AG34" s="9">
        <f t="shared" si="16"/>
        <v>0</v>
      </c>
      <c r="AH34" s="9" t="str">
        <f t="shared" si="17"/>
        <v/>
      </c>
      <c r="AI34" s="8">
        <f t="shared" si="2"/>
        <v>0</v>
      </c>
      <c r="AJ34" s="45">
        <f t="shared" si="18"/>
        <v>0</v>
      </c>
      <c r="AK34" s="45">
        <f t="shared" si="19"/>
        <v>0</v>
      </c>
      <c r="AL34" s="45">
        <f t="shared" si="20"/>
        <v>0</v>
      </c>
      <c r="AM34" s="8" t="str">
        <f t="shared" si="21"/>
        <v>--</v>
      </c>
      <c r="AN34" s="10">
        <f t="shared" si="22"/>
        <v>0</v>
      </c>
      <c r="AO34" s="10">
        <f t="shared" si="23"/>
        <v>0</v>
      </c>
      <c r="AP34" s="10">
        <f t="shared" si="24"/>
        <v>0</v>
      </c>
      <c r="AQ34" s="10">
        <f t="shared" si="25"/>
        <v>0</v>
      </c>
      <c r="AR34" s="10">
        <f t="shared" si="26"/>
        <v>0</v>
      </c>
      <c r="AS34" s="8">
        <v>12</v>
      </c>
      <c r="AT34" s="9">
        <f t="shared" si="27"/>
        <v>0</v>
      </c>
      <c r="AU34" s="11">
        <f t="shared" si="28"/>
        <v>0</v>
      </c>
      <c r="AV34" s="6"/>
      <c r="AW34" s="6"/>
      <c r="AX34" s="6"/>
      <c r="AZ34" t="str">
        <f t="shared" si="29"/>
        <v>{"group":"A",</v>
      </c>
      <c r="BA34" t="str">
        <f t="shared" si="3"/>
        <v>"lot":0,</v>
      </c>
      <c r="BB34" t="str">
        <f t="shared" si="30"/>
        <v>"name":"0",</v>
      </c>
      <c r="BC34" t="str">
        <f t="shared" si="31"/>
        <v>"team":"",</v>
      </c>
      <c r="BD34" t="str">
        <f t="shared" si="32"/>
        <v>"year":"0",</v>
      </c>
      <c r="BE34" t="str">
        <f t="shared" si="33"/>
        <v>"gender":"0",</v>
      </c>
      <c r="BF34" t="str">
        <f t="shared" si="34"/>
        <v>"gear":"0",</v>
      </c>
      <c r="BG34" t="str">
        <f t="shared" si="35"/>
        <v>"lifts":"0",</v>
      </c>
      <c r="BH34" t="str">
        <f t="shared" si="36"/>
        <v>"division":"--",</v>
      </c>
      <c r="BI34" t="str">
        <f t="shared" si="37"/>
        <v>"wc":"0",</v>
      </c>
      <c r="BJ34" t="str">
        <f t="shared" si="38"/>
        <v>"bw":"",</v>
      </c>
      <c r="BK34" t="str">
        <f t="shared" si="39"/>
        <v>"pb":[0,0,0,0],</v>
      </c>
      <c r="BL34" t="str">
        <f t="shared" si="10"/>
        <v>"idx":"12",</v>
      </c>
      <c r="BM34" t="str">
        <f t="shared" si="11"/>
        <v>"sr":"0",</v>
      </c>
      <c r="BN34" t="str">
        <f t="shared" si="12"/>
        <v>"br":"0",</v>
      </c>
      <c r="BO34" t="str">
        <f t="shared" si="13"/>
        <v>"row":0,</v>
      </c>
      <c r="BP34" t="s">
        <v>55</v>
      </c>
      <c r="BQ34" t="str">
        <f t="shared" si="14"/>
        <v>"sq":{"a1":0,"a2":"","a3":"","s1":0,"s2":0,"s3":0},"bp":{"a1":0,"a2":"","a3":"","s1":0,"s2":0,"s3":0},"dl":{"a1":0,"a2":"","a3":"","s1":0,"s2":0,"s3":0},"sortOrder":0,"act":{}}</v>
      </c>
      <c r="BR34" t="str">
        <f t="shared" si="40"/>
        <v>{"group":"A","lot":0,"name":"0","team":"","year":"0","gender":"0","gear":"0","lifts":"0","division":"--","wc":"0","bw":"","pb":[0,0,0,0],"idx":"12","sr":"0","br":"0","row":0,"sq":{"a1":0,"a2":"","a3":"","s1":0,"s2":0,"s3":0},"bp":{"a1":0,"a2":"","a3":"","s1":0,"s2":0,"s3":0},"dl":{"a1":0,"a2":"","a3":"","s1":0,"s2":0,"s3":0},"sortOrder":0,"act":{}}</v>
      </c>
    </row>
    <row r="35" spans="5:70" x14ac:dyDescent="0.25">
      <c r="E35" s="80"/>
      <c r="F35" s="81"/>
      <c r="G35" s="85"/>
      <c r="H35" s="80"/>
      <c r="I35" s="85"/>
      <c r="J35" s="80"/>
      <c r="K35" s="80"/>
      <c r="L35" s="80"/>
      <c r="M35" s="82"/>
      <c r="N35" s="80"/>
      <c r="O35" s="148">
        <f t="shared" ca="1" si="15"/>
        <v>2023</v>
      </c>
      <c r="P35" s="81"/>
      <c r="Q35" s="81"/>
      <c r="R35" s="81"/>
      <c r="S35" s="81"/>
      <c r="T35" s="81"/>
      <c r="U35" s="81"/>
      <c r="V35" s="81"/>
      <c r="W35" s="81"/>
      <c r="X35" s="81"/>
      <c r="Y35" s="83"/>
      <c r="Z35" s="84"/>
      <c r="AA35" s="84"/>
      <c r="AB35" s="84"/>
      <c r="AE35" s="15" t="str">
        <f t="shared" si="0"/>
        <v>A</v>
      </c>
      <c r="AF35" s="8">
        <f t="shared" si="1"/>
        <v>0</v>
      </c>
      <c r="AG35" s="9">
        <f t="shared" si="16"/>
        <v>0</v>
      </c>
      <c r="AH35" s="9" t="str">
        <f t="shared" si="17"/>
        <v/>
      </c>
      <c r="AI35" s="8">
        <f t="shared" si="2"/>
        <v>0</v>
      </c>
      <c r="AJ35" s="45">
        <f t="shared" si="18"/>
        <v>0</v>
      </c>
      <c r="AK35" s="45">
        <f t="shared" si="19"/>
        <v>0</v>
      </c>
      <c r="AL35" s="45">
        <f t="shared" si="20"/>
        <v>0</v>
      </c>
      <c r="AM35" s="8" t="str">
        <f t="shared" si="21"/>
        <v>--</v>
      </c>
      <c r="AN35" s="10">
        <f t="shared" si="22"/>
        <v>0</v>
      </c>
      <c r="AO35" s="10">
        <f t="shared" si="23"/>
        <v>0</v>
      </c>
      <c r="AP35" s="10">
        <f t="shared" si="24"/>
        <v>0</v>
      </c>
      <c r="AQ35" s="10">
        <f t="shared" si="25"/>
        <v>0</v>
      </c>
      <c r="AR35" s="10">
        <f t="shared" si="26"/>
        <v>0</v>
      </c>
      <c r="AS35" s="8">
        <v>13</v>
      </c>
      <c r="AT35" s="9">
        <f t="shared" si="27"/>
        <v>0</v>
      </c>
      <c r="AU35" s="11">
        <f t="shared" si="28"/>
        <v>0</v>
      </c>
      <c r="AV35" s="6"/>
      <c r="AW35" s="6"/>
      <c r="AX35" s="6"/>
      <c r="AZ35" t="str">
        <f t="shared" si="29"/>
        <v>{"group":"A",</v>
      </c>
      <c r="BA35" t="str">
        <f t="shared" si="3"/>
        <v>"lot":0,</v>
      </c>
      <c r="BB35" t="str">
        <f t="shared" si="30"/>
        <v>"name":"0",</v>
      </c>
      <c r="BC35" t="str">
        <f t="shared" si="31"/>
        <v>"team":"",</v>
      </c>
      <c r="BD35" t="str">
        <f t="shared" si="32"/>
        <v>"year":"0",</v>
      </c>
      <c r="BE35" t="str">
        <f t="shared" si="33"/>
        <v>"gender":"0",</v>
      </c>
      <c r="BF35" t="str">
        <f t="shared" si="34"/>
        <v>"gear":"0",</v>
      </c>
      <c r="BG35" t="str">
        <f t="shared" si="35"/>
        <v>"lifts":"0",</v>
      </c>
      <c r="BH35" t="str">
        <f t="shared" si="36"/>
        <v>"division":"--",</v>
      </c>
      <c r="BI35" t="str">
        <f t="shared" si="37"/>
        <v>"wc":"0",</v>
      </c>
      <c r="BJ35" t="str">
        <f t="shared" si="38"/>
        <v>"bw":"",</v>
      </c>
      <c r="BK35" t="str">
        <f t="shared" si="39"/>
        <v>"pb":[0,0,0,0],</v>
      </c>
      <c r="BL35" t="str">
        <f t="shared" si="10"/>
        <v>"idx":"13",</v>
      </c>
      <c r="BM35" t="str">
        <f t="shared" si="11"/>
        <v>"sr":"0",</v>
      </c>
      <c r="BN35" t="str">
        <f t="shared" si="12"/>
        <v>"br":"0",</v>
      </c>
      <c r="BO35" t="str">
        <f t="shared" si="13"/>
        <v>"row":0,</v>
      </c>
      <c r="BP35" t="s">
        <v>55</v>
      </c>
      <c r="BQ35" t="str">
        <f t="shared" si="14"/>
        <v>"sq":{"a1":0,"a2":"","a3":"","s1":0,"s2":0,"s3":0},"bp":{"a1":0,"a2":"","a3":"","s1":0,"s2":0,"s3":0},"dl":{"a1":0,"a2":"","a3":"","s1":0,"s2":0,"s3":0},"sortOrder":0,"act":{}}</v>
      </c>
      <c r="BR35" t="str">
        <f t="shared" si="40"/>
        <v>{"group":"A","lot":0,"name":"0","team":"","year":"0","gender":"0","gear":"0","lifts":"0","division":"--","wc":"0","bw":"","pb":[0,0,0,0],"idx":"13","sr":"0","br":"0","row":0,"sq":{"a1":0,"a2":"","a3":"","s1":0,"s2":0,"s3":0},"bp":{"a1":0,"a2":"","a3":"","s1":0,"s2":0,"s3":0},"dl":{"a1":0,"a2":"","a3":"","s1":0,"s2":0,"s3":0},"sortOrder":0,"act":{}}</v>
      </c>
    </row>
    <row r="36" spans="5:70" x14ac:dyDescent="0.25">
      <c r="E36" s="80"/>
      <c r="F36" s="81"/>
      <c r="G36" s="85"/>
      <c r="H36" s="80"/>
      <c r="I36" s="85"/>
      <c r="J36" s="80"/>
      <c r="K36" s="80"/>
      <c r="L36" s="80"/>
      <c r="M36" s="82"/>
      <c r="N36" s="80"/>
      <c r="O36" s="148">
        <f t="shared" ca="1" si="15"/>
        <v>2023</v>
      </c>
      <c r="P36" s="81"/>
      <c r="Q36" s="81"/>
      <c r="R36" s="81"/>
      <c r="S36" s="81"/>
      <c r="T36" s="81"/>
      <c r="U36" s="81"/>
      <c r="V36" s="81"/>
      <c r="W36" s="81"/>
      <c r="X36" s="81"/>
      <c r="Y36" s="83"/>
      <c r="Z36" s="84"/>
      <c r="AA36" s="84"/>
      <c r="AB36" s="84"/>
      <c r="AE36" s="15" t="str">
        <f t="shared" si="0"/>
        <v>A</v>
      </c>
      <c r="AF36" s="8">
        <f t="shared" si="1"/>
        <v>0</v>
      </c>
      <c r="AG36" s="9">
        <f t="shared" si="16"/>
        <v>0</v>
      </c>
      <c r="AH36" s="9" t="str">
        <f t="shared" si="17"/>
        <v/>
      </c>
      <c r="AI36" s="8">
        <f t="shared" si="2"/>
        <v>0</v>
      </c>
      <c r="AJ36" s="45">
        <f t="shared" si="18"/>
        <v>0</v>
      </c>
      <c r="AK36" s="45">
        <f t="shared" si="19"/>
        <v>0</v>
      </c>
      <c r="AL36" s="45">
        <f t="shared" si="20"/>
        <v>0</v>
      </c>
      <c r="AM36" s="8" t="str">
        <f t="shared" si="21"/>
        <v>--</v>
      </c>
      <c r="AN36" s="10">
        <f t="shared" si="22"/>
        <v>0</v>
      </c>
      <c r="AO36" s="10">
        <f t="shared" si="23"/>
        <v>0</v>
      </c>
      <c r="AP36" s="10">
        <f t="shared" si="24"/>
        <v>0</v>
      </c>
      <c r="AQ36" s="10">
        <f t="shared" si="25"/>
        <v>0</v>
      </c>
      <c r="AR36" s="10">
        <f t="shared" si="26"/>
        <v>0</v>
      </c>
      <c r="AS36" s="8">
        <v>14</v>
      </c>
      <c r="AT36" s="9">
        <f t="shared" si="27"/>
        <v>0</v>
      </c>
      <c r="AU36" s="11">
        <f t="shared" si="28"/>
        <v>0</v>
      </c>
      <c r="AV36" s="6"/>
      <c r="AW36" s="6"/>
      <c r="AX36" s="6"/>
      <c r="AZ36" t="str">
        <f t="shared" si="29"/>
        <v>{"group":"A",</v>
      </c>
      <c r="BA36" t="str">
        <f t="shared" si="3"/>
        <v>"lot":0,</v>
      </c>
      <c r="BB36" t="str">
        <f t="shared" si="30"/>
        <v>"name":"0",</v>
      </c>
      <c r="BC36" t="str">
        <f t="shared" si="31"/>
        <v>"team":"",</v>
      </c>
      <c r="BD36" t="str">
        <f t="shared" si="32"/>
        <v>"year":"0",</v>
      </c>
      <c r="BE36" t="str">
        <f t="shared" si="33"/>
        <v>"gender":"0",</v>
      </c>
      <c r="BF36" t="str">
        <f t="shared" si="34"/>
        <v>"gear":"0",</v>
      </c>
      <c r="BG36" t="str">
        <f t="shared" si="35"/>
        <v>"lifts":"0",</v>
      </c>
      <c r="BH36" t="str">
        <f t="shared" si="36"/>
        <v>"division":"--",</v>
      </c>
      <c r="BI36" t="str">
        <f t="shared" si="37"/>
        <v>"wc":"0",</v>
      </c>
      <c r="BJ36" t="str">
        <f t="shared" si="38"/>
        <v>"bw":"",</v>
      </c>
      <c r="BK36" t="str">
        <f t="shared" si="39"/>
        <v>"pb":[0,0,0,0],</v>
      </c>
      <c r="BL36" t="str">
        <f t="shared" si="10"/>
        <v>"idx":"14",</v>
      </c>
      <c r="BM36" t="str">
        <f t="shared" si="11"/>
        <v>"sr":"0",</v>
      </c>
      <c r="BN36" t="str">
        <f t="shared" si="12"/>
        <v>"br":"0",</v>
      </c>
      <c r="BO36" t="str">
        <f t="shared" si="13"/>
        <v>"row":0,</v>
      </c>
      <c r="BP36" t="s">
        <v>55</v>
      </c>
      <c r="BQ36" t="str">
        <f t="shared" si="14"/>
        <v>"sq":{"a1":0,"a2":"","a3":"","s1":0,"s2":0,"s3":0},"bp":{"a1":0,"a2":"","a3":"","s1":0,"s2":0,"s3":0},"dl":{"a1":0,"a2":"","a3":"","s1":0,"s2":0,"s3":0},"sortOrder":0,"act":{}}</v>
      </c>
      <c r="BR36" t="str">
        <f t="shared" si="40"/>
        <v>{"group":"A","lot":0,"name":"0","team":"","year":"0","gender":"0","gear":"0","lifts":"0","division":"--","wc":"0","bw":"","pb":[0,0,0,0],"idx":"14","sr":"0","br":"0","row":0,"sq":{"a1":0,"a2":"","a3":"","s1":0,"s2":0,"s3":0},"bp":{"a1":0,"a2":"","a3":"","s1":0,"s2":0,"s3":0},"dl":{"a1":0,"a2":"","a3":"","s1":0,"s2":0,"s3":0},"sortOrder":0,"act":{}}</v>
      </c>
    </row>
    <row r="37" spans="5:70" x14ac:dyDescent="0.25">
      <c r="E37" s="80"/>
      <c r="F37" s="81"/>
      <c r="G37" s="85"/>
      <c r="H37" s="80"/>
      <c r="I37" s="85"/>
      <c r="J37" s="80"/>
      <c r="K37" s="80"/>
      <c r="L37" s="80"/>
      <c r="M37" s="82"/>
      <c r="N37" s="80"/>
      <c r="O37" s="148">
        <f t="shared" ca="1" si="15"/>
        <v>2023</v>
      </c>
      <c r="P37" s="81"/>
      <c r="Q37" s="81"/>
      <c r="R37" s="81"/>
      <c r="S37" s="81"/>
      <c r="T37" s="81"/>
      <c r="U37" s="81"/>
      <c r="V37" s="81"/>
      <c r="W37" s="81"/>
      <c r="X37" s="81"/>
      <c r="Y37" s="83"/>
      <c r="Z37" s="84"/>
      <c r="AA37" s="84"/>
      <c r="AB37" s="84"/>
      <c r="AE37" s="15" t="str">
        <f t="shared" si="0"/>
        <v>A</v>
      </c>
      <c r="AF37" s="8">
        <f t="shared" si="1"/>
        <v>0</v>
      </c>
      <c r="AG37" s="9">
        <f t="shared" si="16"/>
        <v>0</v>
      </c>
      <c r="AH37" s="9" t="str">
        <f t="shared" si="17"/>
        <v/>
      </c>
      <c r="AI37" s="8">
        <f t="shared" si="2"/>
        <v>0</v>
      </c>
      <c r="AJ37" s="45">
        <f t="shared" si="18"/>
        <v>0</v>
      </c>
      <c r="AK37" s="45">
        <f t="shared" si="19"/>
        <v>0</v>
      </c>
      <c r="AL37" s="45">
        <f t="shared" si="20"/>
        <v>0</v>
      </c>
      <c r="AM37" s="8" t="str">
        <f t="shared" si="21"/>
        <v>--</v>
      </c>
      <c r="AN37" s="10">
        <f t="shared" si="22"/>
        <v>0</v>
      </c>
      <c r="AO37" s="10">
        <f t="shared" si="23"/>
        <v>0</v>
      </c>
      <c r="AP37" s="10">
        <f t="shared" si="24"/>
        <v>0</v>
      </c>
      <c r="AQ37" s="10">
        <f t="shared" si="25"/>
        <v>0</v>
      </c>
      <c r="AR37" s="10">
        <f t="shared" si="26"/>
        <v>0</v>
      </c>
      <c r="AS37" s="8">
        <v>15</v>
      </c>
      <c r="AT37" s="9">
        <f t="shared" si="27"/>
        <v>0</v>
      </c>
      <c r="AU37" s="11">
        <f t="shared" si="28"/>
        <v>0</v>
      </c>
      <c r="AV37" s="6"/>
      <c r="AW37" s="6"/>
      <c r="AX37" s="6"/>
      <c r="AZ37" t="str">
        <f t="shared" si="29"/>
        <v>{"group":"A",</v>
      </c>
      <c r="BA37" t="str">
        <f t="shared" si="3"/>
        <v>"lot":0,</v>
      </c>
      <c r="BB37" t="str">
        <f t="shared" si="30"/>
        <v>"name":"0",</v>
      </c>
      <c r="BC37" t="str">
        <f t="shared" si="31"/>
        <v>"team":"",</v>
      </c>
      <c r="BD37" t="str">
        <f t="shared" si="32"/>
        <v>"year":"0",</v>
      </c>
      <c r="BE37" t="str">
        <f t="shared" si="33"/>
        <v>"gender":"0",</v>
      </c>
      <c r="BF37" t="str">
        <f t="shared" si="34"/>
        <v>"gear":"0",</v>
      </c>
      <c r="BG37" t="str">
        <f t="shared" si="35"/>
        <v>"lifts":"0",</v>
      </c>
      <c r="BH37" t="str">
        <f t="shared" si="36"/>
        <v>"division":"--",</v>
      </c>
      <c r="BI37" t="str">
        <f t="shared" si="37"/>
        <v>"wc":"0",</v>
      </c>
      <c r="BJ37" t="str">
        <f t="shared" si="38"/>
        <v>"bw":"",</v>
      </c>
      <c r="BK37" t="str">
        <f t="shared" si="39"/>
        <v>"pb":[0,0,0,0],</v>
      </c>
      <c r="BL37" t="str">
        <f t="shared" si="10"/>
        <v>"idx":"15",</v>
      </c>
      <c r="BM37" t="str">
        <f t="shared" si="11"/>
        <v>"sr":"0",</v>
      </c>
      <c r="BN37" t="str">
        <f t="shared" si="12"/>
        <v>"br":"0",</v>
      </c>
      <c r="BO37" t="str">
        <f t="shared" si="13"/>
        <v>"row":0,</v>
      </c>
      <c r="BP37" t="s">
        <v>55</v>
      </c>
      <c r="BQ37" t="str">
        <f t="shared" si="14"/>
        <v>"sq":{"a1":0,"a2":"","a3":"","s1":0,"s2":0,"s3":0},"bp":{"a1":0,"a2":"","a3":"","s1":0,"s2":0,"s3":0},"dl":{"a1":0,"a2":"","a3":"","s1":0,"s2":0,"s3":0},"sortOrder":0,"act":{}}</v>
      </c>
      <c r="BR37" t="str">
        <f t="shared" si="40"/>
        <v>{"group":"A","lot":0,"name":"0","team":"","year":"0","gender":"0","gear":"0","lifts":"0","division":"--","wc":"0","bw":"","pb":[0,0,0,0],"idx":"15","sr":"0","br":"0","row":0,"sq":{"a1":0,"a2":"","a3":"","s1":0,"s2":0,"s3":0},"bp":{"a1":0,"a2":"","a3":"","s1":0,"s2":0,"s3":0},"dl":{"a1":0,"a2":"","a3":"","s1":0,"s2":0,"s3":0},"sortOrder":0,"act":{}}</v>
      </c>
    </row>
    <row r="38" spans="5:70" x14ac:dyDescent="0.25">
      <c r="E38" s="80"/>
      <c r="F38" s="81"/>
      <c r="G38" s="85"/>
      <c r="H38" s="80"/>
      <c r="I38" s="85"/>
      <c r="J38" s="80"/>
      <c r="K38" s="80"/>
      <c r="L38" s="80"/>
      <c r="M38" s="82"/>
      <c r="N38" s="80"/>
      <c r="O38" s="148">
        <f t="shared" ca="1" si="15"/>
        <v>2023</v>
      </c>
      <c r="P38" s="81"/>
      <c r="Q38" s="81"/>
      <c r="R38" s="81"/>
      <c r="S38" s="81"/>
      <c r="T38" s="81"/>
      <c r="U38" s="81"/>
      <c r="V38" s="81"/>
      <c r="W38" s="81"/>
      <c r="X38" s="81"/>
      <c r="Y38" s="83"/>
      <c r="Z38" s="84"/>
      <c r="AA38" s="84"/>
      <c r="AB38" s="84"/>
      <c r="AE38" s="15" t="str">
        <f t="shared" si="0"/>
        <v>A</v>
      </c>
      <c r="AF38" s="8">
        <f t="shared" si="1"/>
        <v>0</v>
      </c>
      <c r="AG38" s="9">
        <f t="shared" si="16"/>
        <v>0</v>
      </c>
      <c r="AH38" s="9" t="str">
        <f t="shared" si="17"/>
        <v/>
      </c>
      <c r="AI38" s="8">
        <f t="shared" si="2"/>
        <v>0</v>
      </c>
      <c r="AJ38" s="45">
        <f t="shared" si="18"/>
        <v>0</v>
      </c>
      <c r="AK38" s="45">
        <f t="shared" si="19"/>
        <v>0</v>
      </c>
      <c r="AL38" s="45">
        <f t="shared" si="20"/>
        <v>0</v>
      </c>
      <c r="AM38" s="8" t="str">
        <f t="shared" si="21"/>
        <v>--</v>
      </c>
      <c r="AN38" s="10">
        <f t="shared" si="22"/>
        <v>0</v>
      </c>
      <c r="AO38" s="10">
        <f t="shared" si="23"/>
        <v>0</v>
      </c>
      <c r="AP38" s="10">
        <f t="shared" si="24"/>
        <v>0</v>
      </c>
      <c r="AQ38" s="10">
        <f t="shared" si="25"/>
        <v>0</v>
      </c>
      <c r="AR38" s="10">
        <f t="shared" si="26"/>
        <v>0</v>
      </c>
      <c r="AS38" s="8">
        <v>16</v>
      </c>
      <c r="AT38" s="9">
        <f t="shared" si="27"/>
        <v>0</v>
      </c>
      <c r="AU38" s="11">
        <f t="shared" si="28"/>
        <v>0</v>
      </c>
      <c r="AV38" s="6"/>
      <c r="AW38" s="6"/>
      <c r="AX38" s="6"/>
      <c r="AZ38" t="str">
        <f t="shared" si="29"/>
        <v>{"group":"A",</v>
      </c>
      <c r="BA38" t="str">
        <f t="shared" si="3"/>
        <v>"lot":0,</v>
      </c>
      <c r="BB38" t="str">
        <f t="shared" si="30"/>
        <v>"name":"0",</v>
      </c>
      <c r="BC38" t="str">
        <f t="shared" si="31"/>
        <v>"team":"",</v>
      </c>
      <c r="BD38" t="str">
        <f t="shared" si="32"/>
        <v>"year":"0",</v>
      </c>
      <c r="BE38" t="str">
        <f t="shared" si="33"/>
        <v>"gender":"0",</v>
      </c>
      <c r="BF38" t="str">
        <f t="shared" si="34"/>
        <v>"gear":"0",</v>
      </c>
      <c r="BG38" t="str">
        <f t="shared" si="35"/>
        <v>"lifts":"0",</v>
      </c>
      <c r="BH38" t="str">
        <f t="shared" si="36"/>
        <v>"division":"--",</v>
      </c>
      <c r="BI38" t="str">
        <f t="shared" si="37"/>
        <v>"wc":"0",</v>
      </c>
      <c r="BJ38" t="str">
        <f t="shared" si="38"/>
        <v>"bw":"",</v>
      </c>
      <c r="BK38" t="str">
        <f t="shared" si="39"/>
        <v>"pb":[0,0,0,0],</v>
      </c>
      <c r="BL38" t="str">
        <f t="shared" si="10"/>
        <v>"idx":"16",</v>
      </c>
      <c r="BM38" t="str">
        <f t="shared" si="11"/>
        <v>"sr":"0",</v>
      </c>
      <c r="BN38" t="str">
        <f t="shared" si="12"/>
        <v>"br":"0",</v>
      </c>
      <c r="BO38" t="str">
        <f t="shared" si="13"/>
        <v>"row":0,</v>
      </c>
      <c r="BP38" t="s">
        <v>55</v>
      </c>
      <c r="BQ38" t="str">
        <f t="shared" si="14"/>
        <v>"sq":{"a1":0,"a2":"","a3":"","s1":0,"s2":0,"s3":0},"bp":{"a1":0,"a2":"","a3":"","s1":0,"s2":0,"s3":0},"dl":{"a1":0,"a2":"","a3":"","s1":0,"s2":0,"s3":0},"sortOrder":0,"act":{}}</v>
      </c>
      <c r="BR38" t="str">
        <f t="shared" si="40"/>
        <v>{"group":"A","lot":0,"name":"0","team":"","year":"0","gender":"0","gear":"0","lifts":"0","division":"--","wc":"0","bw":"","pb":[0,0,0,0],"idx":"16","sr":"0","br":"0","row":0,"sq":{"a1":0,"a2":"","a3":"","s1":0,"s2":0,"s3":0},"bp":{"a1":0,"a2":"","a3":"","s1":0,"s2":0,"s3":0},"dl":{"a1":0,"a2":"","a3":"","s1":0,"s2":0,"s3":0},"sortOrder":0,"act":{}}</v>
      </c>
    </row>
    <row r="39" spans="5:70" x14ac:dyDescent="0.25">
      <c r="E39" s="80"/>
      <c r="F39" s="81"/>
      <c r="G39" s="85"/>
      <c r="H39" s="80"/>
      <c r="I39" s="85"/>
      <c r="J39" s="80"/>
      <c r="K39" s="80"/>
      <c r="L39" s="80"/>
      <c r="M39" s="82"/>
      <c r="N39" s="80"/>
      <c r="O39" s="148">
        <f t="shared" ca="1" si="15"/>
        <v>2023</v>
      </c>
      <c r="P39" s="81"/>
      <c r="Q39" s="81"/>
      <c r="R39" s="81"/>
      <c r="S39" s="81"/>
      <c r="T39" s="81"/>
      <c r="U39" s="81"/>
      <c r="V39" s="81"/>
      <c r="W39" s="81"/>
      <c r="X39" s="86"/>
      <c r="Y39" s="87"/>
      <c r="Z39" s="84"/>
      <c r="AA39" s="84"/>
      <c r="AB39" s="84"/>
      <c r="AE39" s="15" t="str">
        <f t="shared" si="0"/>
        <v>A</v>
      </c>
      <c r="AF39" s="8">
        <f t="shared" si="1"/>
        <v>0</v>
      </c>
      <c r="AG39" s="9">
        <f t="shared" si="16"/>
        <v>0</v>
      </c>
      <c r="AH39" s="9" t="str">
        <f t="shared" si="17"/>
        <v/>
      </c>
      <c r="AI39" s="8">
        <f t="shared" si="2"/>
        <v>0</v>
      </c>
      <c r="AJ39" s="45">
        <f t="shared" si="18"/>
        <v>0</v>
      </c>
      <c r="AK39" s="45">
        <f t="shared" si="19"/>
        <v>0</v>
      </c>
      <c r="AL39" s="45">
        <f t="shared" si="20"/>
        <v>0</v>
      </c>
      <c r="AM39" s="8" t="str">
        <f t="shared" si="21"/>
        <v>--</v>
      </c>
      <c r="AN39" s="10">
        <f t="shared" si="22"/>
        <v>0</v>
      </c>
      <c r="AO39" s="10">
        <f t="shared" si="23"/>
        <v>0</v>
      </c>
      <c r="AP39" s="10">
        <f t="shared" si="24"/>
        <v>0</v>
      </c>
      <c r="AQ39" s="10">
        <f t="shared" si="25"/>
        <v>0</v>
      </c>
      <c r="AR39" s="10">
        <f t="shared" si="26"/>
        <v>0</v>
      </c>
      <c r="AS39" s="8">
        <v>17</v>
      </c>
      <c r="AT39" s="9">
        <f t="shared" si="27"/>
        <v>0</v>
      </c>
      <c r="AU39" s="11">
        <f t="shared" si="28"/>
        <v>0</v>
      </c>
      <c r="AV39" s="6"/>
      <c r="AW39" s="6"/>
      <c r="AX39" s="6"/>
      <c r="AZ39" t="str">
        <f t="shared" si="29"/>
        <v>{"group":"A",</v>
      </c>
      <c r="BA39" t="str">
        <f t="shared" si="3"/>
        <v>"lot":0,</v>
      </c>
      <c r="BB39" t="str">
        <f t="shared" si="30"/>
        <v>"name":"0",</v>
      </c>
      <c r="BC39" t="str">
        <f t="shared" si="31"/>
        <v>"team":"",</v>
      </c>
      <c r="BD39" t="str">
        <f t="shared" si="32"/>
        <v>"year":"0",</v>
      </c>
      <c r="BE39" t="str">
        <f t="shared" si="33"/>
        <v>"gender":"0",</v>
      </c>
      <c r="BF39" t="str">
        <f t="shared" si="34"/>
        <v>"gear":"0",</v>
      </c>
      <c r="BG39" t="str">
        <f t="shared" si="35"/>
        <v>"lifts":"0",</v>
      </c>
      <c r="BH39" t="str">
        <f t="shared" si="36"/>
        <v>"division":"--",</v>
      </c>
      <c r="BI39" t="str">
        <f t="shared" si="37"/>
        <v>"wc":"0",</v>
      </c>
      <c r="BJ39" t="str">
        <f t="shared" si="38"/>
        <v>"bw":"",</v>
      </c>
      <c r="BK39" t="str">
        <f t="shared" si="39"/>
        <v>"pb":[0,0,0,0],</v>
      </c>
      <c r="BL39" t="str">
        <f t="shared" si="10"/>
        <v>"idx":"17",</v>
      </c>
      <c r="BM39" t="str">
        <f t="shared" si="11"/>
        <v>"sr":"0",</v>
      </c>
      <c r="BN39" t="str">
        <f t="shared" si="12"/>
        <v>"br":"0",</v>
      </c>
      <c r="BO39" t="str">
        <f t="shared" si="13"/>
        <v>"row":0,</v>
      </c>
      <c r="BP39" t="s">
        <v>55</v>
      </c>
      <c r="BQ39" t="str">
        <f t="shared" si="14"/>
        <v>"sq":{"a1":0,"a2":"","a3":"","s1":0,"s2":0,"s3":0},"bp":{"a1":0,"a2":"","a3":"","s1":0,"s2":0,"s3":0},"dl":{"a1":0,"a2":"","a3":"","s1":0,"s2":0,"s3":0},"sortOrder":0,"act":{}}</v>
      </c>
      <c r="BR39" t="str">
        <f t="shared" si="40"/>
        <v>{"group":"A","lot":0,"name":"0","team":"","year":"0","gender":"0","gear":"0","lifts":"0","division":"--","wc":"0","bw":"","pb":[0,0,0,0],"idx":"17","sr":"0","br":"0","row":0,"sq":{"a1":0,"a2":"","a3":"","s1":0,"s2":0,"s3":0},"bp":{"a1":0,"a2":"","a3":"","s1":0,"s2":0,"s3":0},"dl":{"a1":0,"a2":"","a3":"","s1":0,"s2":0,"s3":0},"sortOrder":0,"act":{}}</v>
      </c>
    </row>
    <row r="40" spans="5:70" x14ac:dyDescent="0.25">
      <c r="E40" s="80"/>
      <c r="F40" s="86"/>
      <c r="G40" s="86"/>
      <c r="H40" s="88"/>
      <c r="I40" s="88"/>
      <c r="J40" s="88"/>
      <c r="K40" s="88"/>
      <c r="L40" s="80"/>
      <c r="M40" s="82"/>
      <c r="N40" s="80"/>
      <c r="O40" s="148">
        <f t="shared" ca="1" si="15"/>
        <v>2023</v>
      </c>
      <c r="P40" s="86"/>
      <c r="Q40" s="86"/>
      <c r="R40" s="86"/>
      <c r="S40" s="86"/>
      <c r="T40" s="86"/>
      <c r="U40" s="86"/>
      <c r="V40" s="86"/>
      <c r="W40" s="86"/>
      <c r="X40" s="81"/>
      <c r="Y40" s="83"/>
      <c r="Z40" s="89"/>
      <c r="AA40" s="84"/>
      <c r="AB40" s="84"/>
      <c r="AE40" s="15" t="str">
        <f t="shared" si="0"/>
        <v>A</v>
      </c>
      <c r="AF40" s="8">
        <f t="shared" si="1"/>
        <v>0</v>
      </c>
      <c r="AG40" s="9">
        <f t="shared" si="16"/>
        <v>0</v>
      </c>
      <c r="AH40" s="9" t="str">
        <f t="shared" si="17"/>
        <v/>
      </c>
      <c r="AI40" s="8">
        <f t="shared" si="2"/>
        <v>0</v>
      </c>
      <c r="AJ40" s="45">
        <f t="shared" si="18"/>
        <v>0</v>
      </c>
      <c r="AK40" s="45">
        <f t="shared" si="19"/>
        <v>0</v>
      </c>
      <c r="AL40" s="45">
        <f t="shared" si="20"/>
        <v>0</v>
      </c>
      <c r="AM40" s="8" t="str">
        <f t="shared" si="21"/>
        <v>--</v>
      </c>
      <c r="AN40" s="10">
        <f t="shared" si="22"/>
        <v>0</v>
      </c>
      <c r="AO40" s="10">
        <f t="shared" si="23"/>
        <v>0</v>
      </c>
      <c r="AP40" s="10">
        <f t="shared" si="24"/>
        <v>0</v>
      </c>
      <c r="AQ40" s="10">
        <f t="shared" si="25"/>
        <v>0</v>
      </c>
      <c r="AR40" s="10">
        <f t="shared" si="26"/>
        <v>0</v>
      </c>
      <c r="AS40" s="8">
        <v>18</v>
      </c>
      <c r="AT40" s="9">
        <f t="shared" si="27"/>
        <v>0</v>
      </c>
      <c r="AU40" s="11">
        <f t="shared" si="28"/>
        <v>0</v>
      </c>
      <c r="AV40" s="6"/>
      <c r="AW40" s="6"/>
      <c r="AX40" s="6"/>
      <c r="AZ40" t="str">
        <f t="shared" si="29"/>
        <v>{"group":"A",</v>
      </c>
      <c r="BA40" t="str">
        <f t="shared" si="3"/>
        <v>"lot":0,</v>
      </c>
      <c r="BB40" t="str">
        <f t="shared" si="30"/>
        <v>"name":"0",</v>
      </c>
      <c r="BC40" t="str">
        <f t="shared" si="31"/>
        <v>"team":"",</v>
      </c>
      <c r="BD40" t="str">
        <f t="shared" si="32"/>
        <v>"year":"0",</v>
      </c>
      <c r="BE40" t="str">
        <f t="shared" si="33"/>
        <v>"gender":"0",</v>
      </c>
      <c r="BF40" t="str">
        <f t="shared" si="34"/>
        <v>"gear":"0",</v>
      </c>
      <c r="BG40" t="str">
        <f t="shared" si="35"/>
        <v>"lifts":"0",</v>
      </c>
      <c r="BH40" t="str">
        <f t="shared" si="36"/>
        <v>"division":"--",</v>
      </c>
      <c r="BI40" t="str">
        <f t="shared" si="37"/>
        <v>"wc":"0",</v>
      </c>
      <c r="BJ40" t="str">
        <f t="shared" si="38"/>
        <v>"bw":"",</v>
      </c>
      <c r="BK40" t="str">
        <f t="shared" si="39"/>
        <v>"pb":[0,0,0,0],</v>
      </c>
      <c r="BL40" t="str">
        <f t="shared" si="10"/>
        <v>"idx":"18",</v>
      </c>
      <c r="BM40" t="str">
        <f t="shared" si="11"/>
        <v>"sr":"0",</v>
      </c>
      <c r="BN40" t="str">
        <f t="shared" si="12"/>
        <v>"br":"0",</v>
      </c>
      <c r="BO40" t="str">
        <f t="shared" si="13"/>
        <v>"row":0,</v>
      </c>
      <c r="BP40" t="s">
        <v>55</v>
      </c>
      <c r="BQ40" t="str">
        <f t="shared" si="14"/>
        <v>"sq":{"a1":0,"a2":"","a3":"","s1":0,"s2":0,"s3":0},"bp":{"a1":0,"a2":"","a3":"","s1":0,"s2":0,"s3":0},"dl":{"a1":0,"a2":"","a3":"","s1":0,"s2":0,"s3":0},"sortOrder":0,"act":{}}</v>
      </c>
      <c r="BR40" t="str">
        <f t="shared" si="40"/>
        <v>{"group":"A","lot":0,"name":"0","team":"","year":"0","gender":"0","gear":"0","lifts":"0","division":"--","wc":"0","bw":"","pb":[0,0,0,0],"idx":"18","sr":"0","br":"0","row":0,"sq":{"a1":0,"a2":"","a3":"","s1":0,"s2":0,"s3":0},"bp":{"a1":0,"a2":"","a3":"","s1":0,"s2":0,"s3":0},"dl":{"a1":0,"a2":"","a3":"","s1":0,"s2":0,"s3":0},"sortOrder":0,"act":{}}</v>
      </c>
    </row>
    <row r="41" spans="5:70" x14ac:dyDescent="0.25">
      <c r="E41" s="80"/>
      <c r="F41" s="81"/>
      <c r="G41" s="81"/>
      <c r="H41" s="80"/>
      <c r="I41" s="80"/>
      <c r="J41" s="80"/>
      <c r="K41" s="88"/>
      <c r="L41" s="80"/>
      <c r="M41" s="82"/>
      <c r="N41" s="80"/>
      <c r="O41" s="148">
        <f t="shared" ca="1" si="15"/>
        <v>2023</v>
      </c>
      <c r="P41" s="81"/>
      <c r="Q41" s="81"/>
      <c r="R41" s="81"/>
      <c r="S41" s="81"/>
      <c r="T41" s="81"/>
      <c r="U41" s="81"/>
      <c r="V41" s="81"/>
      <c r="W41" s="81"/>
      <c r="X41" s="81"/>
      <c r="Y41" s="83"/>
      <c r="Z41" s="84"/>
      <c r="AA41" s="84"/>
      <c r="AB41" s="84"/>
      <c r="AE41" s="15" t="str">
        <f t="shared" si="0"/>
        <v>A</v>
      </c>
      <c r="AF41" s="8">
        <f t="shared" si="1"/>
        <v>0</v>
      </c>
      <c r="AG41" s="9">
        <f t="shared" si="16"/>
        <v>0</v>
      </c>
      <c r="AH41" s="9" t="str">
        <f t="shared" si="17"/>
        <v/>
      </c>
      <c r="AI41" s="8">
        <f t="shared" si="2"/>
        <v>0</v>
      </c>
      <c r="AJ41" s="45">
        <f t="shared" si="18"/>
        <v>0</v>
      </c>
      <c r="AK41" s="45">
        <f t="shared" si="19"/>
        <v>0</v>
      </c>
      <c r="AL41" s="45">
        <f t="shared" si="20"/>
        <v>0</v>
      </c>
      <c r="AM41" s="8" t="str">
        <f t="shared" si="21"/>
        <v>--</v>
      </c>
      <c r="AN41" s="10">
        <f t="shared" si="22"/>
        <v>0</v>
      </c>
      <c r="AO41" s="10">
        <f t="shared" si="23"/>
        <v>0</v>
      </c>
      <c r="AP41" s="10">
        <f t="shared" si="24"/>
        <v>0</v>
      </c>
      <c r="AQ41" s="10">
        <f t="shared" si="25"/>
        <v>0</v>
      </c>
      <c r="AR41" s="10">
        <f t="shared" si="26"/>
        <v>0</v>
      </c>
      <c r="AS41" s="8">
        <v>19</v>
      </c>
      <c r="AT41" s="9">
        <f t="shared" si="27"/>
        <v>0</v>
      </c>
      <c r="AU41" s="11">
        <f t="shared" si="28"/>
        <v>0</v>
      </c>
      <c r="AV41" s="6"/>
      <c r="AW41" s="6"/>
      <c r="AX41" s="6"/>
      <c r="AZ41" t="str">
        <f t="shared" si="29"/>
        <v>{"group":"A",</v>
      </c>
      <c r="BA41" t="str">
        <f t="shared" si="3"/>
        <v>"lot":0,</v>
      </c>
      <c r="BB41" t="str">
        <f t="shared" si="30"/>
        <v>"name":"0",</v>
      </c>
      <c r="BC41" t="str">
        <f t="shared" si="31"/>
        <v>"team":"",</v>
      </c>
      <c r="BD41" t="str">
        <f t="shared" si="32"/>
        <v>"year":"0",</v>
      </c>
      <c r="BE41" t="str">
        <f t="shared" si="33"/>
        <v>"gender":"0",</v>
      </c>
      <c r="BF41" t="str">
        <f t="shared" si="34"/>
        <v>"gear":"0",</v>
      </c>
      <c r="BG41" t="str">
        <f t="shared" si="35"/>
        <v>"lifts":"0",</v>
      </c>
      <c r="BH41" t="str">
        <f t="shared" si="36"/>
        <v>"division":"--",</v>
      </c>
      <c r="BI41" t="str">
        <f t="shared" si="37"/>
        <v>"wc":"0",</v>
      </c>
      <c r="BJ41" t="str">
        <f t="shared" si="38"/>
        <v>"bw":"",</v>
      </c>
      <c r="BK41" t="str">
        <f t="shared" si="39"/>
        <v>"pb":[0,0,0,0],</v>
      </c>
      <c r="BL41" t="str">
        <f t="shared" si="10"/>
        <v>"idx":"19",</v>
      </c>
      <c r="BM41" t="str">
        <f t="shared" si="11"/>
        <v>"sr":"0",</v>
      </c>
      <c r="BN41" t="str">
        <f t="shared" si="12"/>
        <v>"br":"0",</v>
      </c>
      <c r="BO41" t="str">
        <f t="shared" si="13"/>
        <v>"row":0,</v>
      </c>
      <c r="BP41" t="s">
        <v>55</v>
      </c>
      <c r="BQ41" t="str">
        <f t="shared" si="14"/>
        <v>"sq":{"a1":0,"a2":"","a3":"","s1":0,"s2":0,"s3":0},"bp":{"a1":0,"a2":"","a3":"","s1":0,"s2":0,"s3":0},"dl":{"a1":0,"a2":"","a3":"","s1":0,"s2":0,"s3":0},"sortOrder":0,"act":{}}</v>
      </c>
      <c r="BR41" t="str">
        <f t="shared" si="40"/>
        <v>{"group":"A","lot":0,"name":"0","team":"","year":"0","gender":"0","gear":"0","lifts":"0","division":"--","wc":"0","bw":"","pb":[0,0,0,0],"idx":"19","sr":"0","br":"0","row":0,"sq":{"a1":0,"a2":"","a3":"","s1":0,"s2":0,"s3":0},"bp":{"a1":0,"a2":"","a3":"","s1":0,"s2":0,"s3":0},"dl":{"a1":0,"a2":"","a3":"","s1":0,"s2":0,"s3":0},"sortOrder":0,"act":{}}</v>
      </c>
    </row>
    <row r="42" spans="5:70" x14ac:dyDescent="0.25">
      <c r="E42" s="80"/>
      <c r="F42" s="81"/>
      <c r="G42" s="81"/>
      <c r="H42" s="80"/>
      <c r="I42" s="80"/>
      <c r="J42" s="80"/>
      <c r="K42" s="88"/>
      <c r="L42" s="80"/>
      <c r="M42" s="82"/>
      <c r="N42" s="80"/>
      <c r="O42" s="148">
        <f t="shared" ref="O42:O69" ca="1" si="41">YEAR(TODAY())-K42</f>
        <v>2023</v>
      </c>
      <c r="P42" s="81"/>
      <c r="Q42" s="81"/>
      <c r="R42" s="81"/>
      <c r="S42" s="81"/>
      <c r="T42" s="81"/>
      <c r="U42" s="81"/>
      <c r="V42" s="81"/>
      <c r="W42" s="81"/>
      <c r="X42" s="81"/>
      <c r="Y42" s="83"/>
      <c r="Z42" s="84"/>
      <c r="AA42" s="89"/>
      <c r="AB42" s="90"/>
      <c r="AE42" s="15" t="str">
        <f t="shared" si="0"/>
        <v>A</v>
      </c>
      <c r="AF42" s="8">
        <f t="shared" si="1"/>
        <v>0</v>
      </c>
      <c r="AG42" s="9">
        <f t="shared" si="16"/>
        <v>0</v>
      </c>
      <c r="AH42" s="9" t="str">
        <f t="shared" si="17"/>
        <v/>
      </c>
      <c r="AI42" s="8">
        <f t="shared" si="2"/>
        <v>0</v>
      </c>
      <c r="AJ42" s="45">
        <f t="shared" si="18"/>
        <v>0</v>
      </c>
      <c r="AK42" s="45">
        <f t="shared" si="19"/>
        <v>0</v>
      </c>
      <c r="AL42" s="45">
        <f t="shared" si="20"/>
        <v>0</v>
      </c>
      <c r="AM42" s="8" t="str">
        <f t="shared" si="21"/>
        <v>--</v>
      </c>
      <c r="AN42" s="10">
        <f t="shared" si="22"/>
        <v>0</v>
      </c>
      <c r="AO42" s="10">
        <f t="shared" si="23"/>
        <v>0</v>
      </c>
      <c r="AP42" s="10">
        <f t="shared" si="24"/>
        <v>0</v>
      </c>
      <c r="AQ42" s="10">
        <f t="shared" si="25"/>
        <v>0</v>
      </c>
      <c r="AR42" s="10">
        <f t="shared" si="26"/>
        <v>0</v>
      </c>
      <c r="AS42" s="8">
        <v>20</v>
      </c>
      <c r="AT42" s="9">
        <f t="shared" si="27"/>
        <v>0</v>
      </c>
      <c r="AU42" s="11">
        <f t="shared" si="28"/>
        <v>0</v>
      </c>
      <c r="AV42" s="6"/>
      <c r="AW42" s="6"/>
      <c r="AX42" s="6"/>
      <c r="AZ42" t="str">
        <f t="shared" si="29"/>
        <v>{"group":"A",</v>
      </c>
      <c r="BA42" t="str">
        <f t="shared" si="3"/>
        <v>"lot":0,</v>
      </c>
      <c r="BB42" t="str">
        <f t="shared" si="30"/>
        <v>"name":"0",</v>
      </c>
      <c r="BC42" t="str">
        <f t="shared" si="31"/>
        <v>"team":"",</v>
      </c>
      <c r="BD42" t="str">
        <f t="shared" si="32"/>
        <v>"year":"0",</v>
      </c>
      <c r="BE42" t="str">
        <f t="shared" si="33"/>
        <v>"gender":"0",</v>
      </c>
      <c r="BF42" t="str">
        <f t="shared" si="34"/>
        <v>"gear":"0",</v>
      </c>
      <c r="BG42" t="str">
        <f t="shared" si="35"/>
        <v>"lifts":"0",</v>
      </c>
      <c r="BH42" t="str">
        <f t="shared" si="36"/>
        <v>"division":"--",</v>
      </c>
      <c r="BI42" t="str">
        <f t="shared" si="37"/>
        <v>"wc":"0",</v>
      </c>
      <c r="BJ42" t="str">
        <f t="shared" si="38"/>
        <v>"bw":"",</v>
      </c>
      <c r="BK42" t="str">
        <f t="shared" si="39"/>
        <v>"pb":[0,0,0,0],</v>
      </c>
      <c r="BL42" t="str">
        <f t="shared" si="10"/>
        <v>"idx":"20",</v>
      </c>
      <c r="BM42" t="str">
        <f t="shared" si="11"/>
        <v>"sr":"0",</v>
      </c>
      <c r="BN42" t="str">
        <f t="shared" si="12"/>
        <v>"br":"0",</v>
      </c>
      <c r="BO42" t="str">
        <f t="shared" si="13"/>
        <v>"row":0,</v>
      </c>
      <c r="BP42" t="s">
        <v>55</v>
      </c>
      <c r="BQ42" t="str">
        <f t="shared" si="14"/>
        <v>"sq":{"a1":0,"a2":"","a3":"","s1":0,"s2":0,"s3":0},"bp":{"a1":0,"a2":"","a3":"","s1":0,"s2":0,"s3":0},"dl":{"a1":0,"a2":"","a3":"","s1":0,"s2":0,"s3":0},"sortOrder":0,"act":{}}</v>
      </c>
      <c r="BR42" t="str">
        <f t="shared" si="40"/>
        <v>{"group":"A","lot":0,"name":"0","team":"","year":"0","gender":"0","gear":"0","lifts":"0","division":"--","wc":"0","bw":"","pb":[0,0,0,0],"idx":"20","sr":"0","br":"0","row":0,"sq":{"a1":0,"a2":"","a3":"","s1":0,"s2":0,"s3":0},"bp":{"a1":0,"a2":"","a3":"","s1":0,"s2":0,"s3":0},"dl":{"a1":0,"a2":"","a3":"","s1":0,"s2":0,"s3":0},"sortOrder":0,"act":{}}</v>
      </c>
    </row>
    <row r="43" spans="5:70" x14ac:dyDescent="0.25">
      <c r="E43" s="91"/>
      <c r="F43" s="92"/>
      <c r="G43" s="92"/>
      <c r="H43" s="93"/>
      <c r="I43" s="93"/>
      <c r="J43" s="93"/>
      <c r="K43" s="94"/>
      <c r="L43" s="93"/>
      <c r="M43" s="95"/>
      <c r="N43" s="93"/>
      <c r="O43" s="148">
        <f t="shared" ca="1" si="41"/>
        <v>2023</v>
      </c>
      <c r="P43" s="92"/>
      <c r="Q43" s="92"/>
      <c r="R43" s="92"/>
      <c r="S43" s="92"/>
      <c r="T43" s="92"/>
      <c r="U43" s="92"/>
      <c r="V43" s="92"/>
      <c r="W43" s="92"/>
      <c r="X43" s="92"/>
      <c r="Y43" s="96"/>
      <c r="Z43" s="97"/>
      <c r="AA43" s="97"/>
      <c r="AB43" s="98"/>
      <c r="AE43" s="15" t="str">
        <f t="shared" si="0"/>
        <v>A</v>
      </c>
      <c r="AF43" s="8">
        <f t="shared" si="1"/>
        <v>0</v>
      </c>
      <c r="AG43" s="9">
        <f t="shared" si="16"/>
        <v>0</v>
      </c>
      <c r="AH43" s="9" t="str">
        <f t="shared" si="17"/>
        <v/>
      </c>
      <c r="AI43" s="8">
        <f t="shared" si="2"/>
        <v>0</v>
      </c>
      <c r="AJ43" s="45">
        <f t="shared" si="18"/>
        <v>0</v>
      </c>
      <c r="AK43" s="45">
        <f t="shared" si="19"/>
        <v>0</v>
      </c>
      <c r="AL43" s="45">
        <f t="shared" si="20"/>
        <v>0</v>
      </c>
      <c r="AM43" s="8" t="str">
        <f t="shared" si="21"/>
        <v>--</v>
      </c>
      <c r="AN43" s="10">
        <f t="shared" si="22"/>
        <v>0</v>
      </c>
      <c r="AO43" s="10">
        <f t="shared" si="23"/>
        <v>0</v>
      </c>
      <c r="AP43" s="10">
        <f t="shared" si="24"/>
        <v>0</v>
      </c>
      <c r="AQ43" s="10">
        <f t="shared" si="25"/>
        <v>0</v>
      </c>
      <c r="AR43" s="10">
        <f t="shared" si="26"/>
        <v>0</v>
      </c>
      <c r="AS43" s="8">
        <v>0</v>
      </c>
      <c r="AT43" s="9">
        <f t="shared" si="27"/>
        <v>0</v>
      </c>
      <c r="AU43" s="11">
        <f t="shared" si="28"/>
        <v>0</v>
      </c>
      <c r="AV43" s="6"/>
      <c r="AW43" s="6"/>
      <c r="AX43" s="6"/>
      <c r="AZ43" t="str">
        <f t="shared" si="29"/>
        <v>{"group":"A",</v>
      </c>
      <c r="BA43" t="str">
        <f t="shared" si="3"/>
        <v>"lot":0,</v>
      </c>
      <c r="BB43" t="str">
        <f t="shared" si="30"/>
        <v>"name":"0",</v>
      </c>
      <c r="BC43" t="str">
        <f t="shared" si="31"/>
        <v>"team":"",</v>
      </c>
      <c r="BD43" t="str">
        <f t="shared" si="32"/>
        <v>"year":"0",</v>
      </c>
      <c r="BE43" t="str">
        <f t="shared" si="33"/>
        <v>"gender":"0",</v>
      </c>
      <c r="BF43" t="str">
        <f t="shared" si="34"/>
        <v>"gear":"0",</v>
      </c>
      <c r="BG43" t="str">
        <f t="shared" si="35"/>
        <v>"lifts":"0",</v>
      </c>
      <c r="BH43" t="str">
        <f t="shared" si="36"/>
        <v>"division":"--",</v>
      </c>
      <c r="BI43" t="str">
        <f t="shared" si="37"/>
        <v>"wc":"0",</v>
      </c>
      <c r="BJ43" t="str">
        <f t="shared" si="38"/>
        <v>"bw":"",</v>
      </c>
      <c r="BK43" t="str">
        <f t="shared" si="39"/>
        <v>"pb":[0,0,0,0],</v>
      </c>
      <c r="BL43" t="str">
        <f t="shared" si="10"/>
        <v>"idx":"0",</v>
      </c>
      <c r="BM43" t="str">
        <f t="shared" si="11"/>
        <v>"sr":"0",</v>
      </c>
      <c r="BN43" t="str">
        <f t="shared" si="12"/>
        <v>"br":"0",</v>
      </c>
      <c r="BO43" t="str">
        <f t="shared" si="13"/>
        <v>"row":0,</v>
      </c>
      <c r="BP43" t="s">
        <v>55</v>
      </c>
      <c r="BQ43" t="str">
        <f t="shared" si="14"/>
        <v>"sq":{"a1":0,"a2":"","a3":"","s1":0,"s2":0,"s3":0},"bp":{"a1":0,"a2":"","a3":"","s1":0,"s2":0,"s3":0},"dl":{"a1":0,"a2":"","a3":"","s1":0,"s2":0,"s3":0},"sortOrder":0,"act":{}}</v>
      </c>
      <c r="BR43" t="str">
        <f t="shared" si="40"/>
        <v>{"group":"A","lot":0,"name":"0","team":"","year":"0","gender":"0","gear":"0","lifts":"0","division":"--","wc":"0","bw":"","pb":[0,0,0,0],"idx":"0","sr":"0","br":"0","row":0,"sq":{"a1":0,"a2":"","a3":"","s1":0,"s2":0,"s3":0},"bp":{"a1":0,"a2":"","a3":"","s1":0,"s2":0,"s3":0},"dl":{"a1":0,"a2":"","a3":"","s1":0,"s2":0,"s3":0},"sortOrder":0,"act":{}}</v>
      </c>
    </row>
    <row r="44" spans="5:70" x14ac:dyDescent="0.25">
      <c r="E44" s="91"/>
      <c r="F44" s="92"/>
      <c r="G44" s="92"/>
      <c r="H44" s="93"/>
      <c r="I44" s="93"/>
      <c r="J44" s="93"/>
      <c r="K44" s="94"/>
      <c r="L44" s="93"/>
      <c r="M44" s="95"/>
      <c r="N44" s="93"/>
      <c r="O44" s="148">
        <f t="shared" ca="1" si="41"/>
        <v>2023</v>
      </c>
      <c r="P44" s="92"/>
      <c r="Q44" s="92"/>
      <c r="R44" s="92"/>
      <c r="S44" s="92"/>
      <c r="T44" s="92"/>
      <c r="U44" s="92"/>
      <c r="V44" s="92"/>
      <c r="W44" s="92"/>
      <c r="X44" s="92"/>
      <c r="Y44" s="96"/>
      <c r="Z44" s="97"/>
      <c r="AA44" s="97"/>
      <c r="AB44" s="98"/>
      <c r="AE44" s="15" t="str">
        <f t="shared" si="0"/>
        <v>A</v>
      </c>
      <c r="AF44" s="8">
        <f t="shared" si="1"/>
        <v>0</v>
      </c>
      <c r="AG44" s="9">
        <f t="shared" si="16"/>
        <v>0</v>
      </c>
      <c r="AH44" s="9" t="str">
        <f t="shared" si="17"/>
        <v/>
      </c>
      <c r="AI44" s="8">
        <f t="shared" si="2"/>
        <v>0</v>
      </c>
      <c r="AJ44" s="45">
        <f t="shared" si="18"/>
        <v>0</v>
      </c>
      <c r="AK44" s="45">
        <f t="shared" si="19"/>
        <v>0</v>
      </c>
      <c r="AL44" s="45">
        <f t="shared" si="20"/>
        <v>0</v>
      </c>
      <c r="AM44" s="8" t="str">
        <f t="shared" si="21"/>
        <v>--</v>
      </c>
      <c r="AN44" s="10">
        <f t="shared" si="22"/>
        <v>0</v>
      </c>
      <c r="AO44" s="10">
        <f t="shared" si="23"/>
        <v>0</v>
      </c>
      <c r="AP44" s="10">
        <f t="shared" si="24"/>
        <v>0</v>
      </c>
      <c r="AQ44" s="10">
        <f t="shared" si="25"/>
        <v>0</v>
      </c>
      <c r="AR44" s="10">
        <f t="shared" si="26"/>
        <v>0</v>
      </c>
      <c r="AS44" s="8">
        <v>1</v>
      </c>
      <c r="AT44" s="9">
        <f t="shared" si="27"/>
        <v>0</v>
      </c>
      <c r="AU44" s="11">
        <f t="shared" si="28"/>
        <v>0</v>
      </c>
      <c r="AV44" s="6"/>
      <c r="AW44" s="6"/>
      <c r="AX44" s="6"/>
      <c r="AZ44" t="str">
        <f t="shared" si="29"/>
        <v>{"group":"A",</v>
      </c>
      <c r="BA44" t="str">
        <f t="shared" si="3"/>
        <v>"lot":0,</v>
      </c>
      <c r="BB44" t="str">
        <f t="shared" si="30"/>
        <v>"name":"0",</v>
      </c>
      <c r="BC44" t="str">
        <f t="shared" si="31"/>
        <v>"team":"",</v>
      </c>
      <c r="BD44" t="str">
        <f t="shared" si="32"/>
        <v>"year":"0",</v>
      </c>
      <c r="BE44" t="str">
        <f t="shared" si="33"/>
        <v>"gender":"0",</v>
      </c>
      <c r="BF44" t="str">
        <f t="shared" si="34"/>
        <v>"gear":"0",</v>
      </c>
      <c r="BG44" t="str">
        <f t="shared" si="35"/>
        <v>"lifts":"0",</v>
      </c>
      <c r="BH44" t="str">
        <f t="shared" si="36"/>
        <v>"division":"--",</v>
      </c>
      <c r="BI44" t="str">
        <f t="shared" si="37"/>
        <v>"wc":"0",</v>
      </c>
      <c r="BJ44" t="str">
        <f t="shared" si="38"/>
        <v>"bw":"",</v>
      </c>
      <c r="BK44" t="str">
        <f t="shared" si="39"/>
        <v>"pb":[0,0,0,0],</v>
      </c>
      <c r="BL44" t="str">
        <f t="shared" si="10"/>
        <v>"idx":"1",</v>
      </c>
      <c r="BM44" t="str">
        <f t="shared" si="11"/>
        <v>"sr":"0",</v>
      </c>
      <c r="BN44" t="str">
        <f t="shared" si="12"/>
        <v>"br":"0",</v>
      </c>
      <c r="BO44" t="str">
        <f t="shared" si="13"/>
        <v>"row":0,</v>
      </c>
      <c r="BP44" t="s">
        <v>55</v>
      </c>
      <c r="BQ44" t="str">
        <f t="shared" si="14"/>
        <v>"sq":{"a1":0,"a2":"","a3":"","s1":0,"s2":0,"s3":0},"bp":{"a1":0,"a2":"","a3":"","s1":0,"s2":0,"s3":0},"dl":{"a1":0,"a2":"","a3":"","s1":0,"s2":0,"s3":0},"sortOrder":0,"act":{}}</v>
      </c>
      <c r="BR44" t="str">
        <f t="shared" si="40"/>
        <v>{"group":"A","lot":0,"name":"0","team":"","year":"0","gender":"0","gear":"0","lifts":"0","division":"--","wc":"0","bw":"","pb":[0,0,0,0],"idx":"1","sr":"0","br":"0","row":0,"sq":{"a1":0,"a2":"","a3":"","s1":0,"s2":0,"s3":0},"bp":{"a1":0,"a2":"","a3":"","s1":0,"s2":0,"s3":0},"dl":{"a1":0,"a2":"","a3":"","s1":0,"s2":0,"s3":0},"sortOrder":0,"act":{}}</v>
      </c>
    </row>
    <row r="45" spans="5:70" x14ac:dyDescent="0.25">
      <c r="E45" s="91"/>
      <c r="F45" s="92"/>
      <c r="G45" s="92"/>
      <c r="H45" s="93"/>
      <c r="I45" s="93"/>
      <c r="J45" s="93"/>
      <c r="K45" s="94"/>
      <c r="L45" s="93"/>
      <c r="M45" s="95"/>
      <c r="N45" s="93"/>
      <c r="O45" s="148">
        <f t="shared" ca="1" si="41"/>
        <v>2023</v>
      </c>
      <c r="P45" s="92"/>
      <c r="Q45" s="92"/>
      <c r="R45" s="92"/>
      <c r="S45" s="92"/>
      <c r="T45" s="92"/>
      <c r="U45" s="92"/>
      <c r="V45" s="92"/>
      <c r="W45" s="92"/>
      <c r="X45" s="92"/>
      <c r="Y45" s="96"/>
      <c r="Z45" s="97"/>
      <c r="AA45" s="97"/>
      <c r="AB45" s="98"/>
      <c r="AE45" s="15" t="str">
        <f t="shared" si="0"/>
        <v>A</v>
      </c>
      <c r="AF45" s="8">
        <f t="shared" si="1"/>
        <v>0</v>
      </c>
      <c r="AG45" s="9">
        <f t="shared" si="16"/>
        <v>0</v>
      </c>
      <c r="AH45" s="9" t="str">
        <f t="shared" si="17"/>
        <v/>
      </c>
      <c r="AI45" s="8">
        <f t="shared" si="2"/>
        <v>0</v>
      </c>
      <c r="AJ45" s="45">
        <f t="shared" si="18"/>
        <v>0</v>
      </c>
      <c r="AK45" s="45">
        <f t="shared" si="19"/>
        <v>0</v>
      </c>
      <c r="AL45" s="45">
        <f t="shared" si="20"/>
        <v>0</v>
      </c>
      <c r="AM45" s="8" t="str">
        <f t="shared" si="21"/>
        <v>--</v>
      </c>
      <c r="AN45" s="10">
        <f t="shared" si="22"/>
        <v>0</v>
      </c>
      <c r="AO45" s="10">
        <f t="shared" si="23"/>
        <v>0</v>
      </c>
      <c r="AP45" s="10">
        <f t="shared" si="24"/>
        <v>0</v>
      </c>
      <c r="AQ45" s="10">
        <f t="shared" si="25"/>
        <v>0</v>
      </c>
      <c r="AR45" s="10">
        <f t="shared" si="26"/>
        <v>0</v>
      </c>
      <c r="AS45" s="8">
        <v>2</v>
      </c>
      <c r="AT45" s="9">
        <f t="shared" si="27"/>
        <v>0</v>
      </c>
      <c r="AU45" s="11">
        <f t="shared" si="28"/>
        <v>0</v>
      </c>
      <c r="AV45" s="6"/>
      <c r="AW45" s="6"/>
      <c r="AX45" s="6"/>
      <c r="AZ45" t="str">
        <f t="shared" si="29"/>
        <v>{"group":"A",</v>
      </c>
      <c r="BA45" t="str">
        <f t="shared" si="3"/>
        <v>"lot":0,</v>
      </c>
      <c r="BB45" t="str">
        <f t="shared" si="30"/>
        <v>"name":"0",</v>
      </c>
      <c r="BC45" t="str">
        <f t="shared" si="31"/>
        <v>"team":"",</v>
      </c>
      <c r="BD45" t="str">
        <f t="shared" si="32"/>
        <v>"year":"0",</v>
      </c>
      <c r="BE45" t="str">
        <f t="shared" si="33"/>
        <v>"gender":"0",</v>
      </c>
      <c r="BF45" t="str">
        <f t="shared" si="34"/>
        <v>"gear":"0",</v>
      </c>
      <c r="BG45" t="str">
        <f t="shared" si="35"/>
        <v>"lifts":"0",</v>
      </c>
      <c r="BH45" t="str">
        <f t="shared" si="36"/>
        <v>"division":"--",</v>
      </c>
      <c r="BI45" t="str">
        <f t="shared" si="37"/>
        <v>"wc":"0",</v>
      </c>
      <c r="BJ45" t="str">
        <f t="shared" si="38"/>
        <v>"bw":"",</v>
      </c>
      <c r="BK45" t="str">
        <f t="shared" si="39"/>
        <v>"pb":[0,0,0,0],</v>
      </c>
      <c r="BL45" t="str">
        <f t="shared" si="10"/>
        <v>"idx":"2",</v>
      </c>
      <c r="BM45" t="str">
        <f t="shared" si="11"/>
        <v>"sr":"0",</v>
      </c>
      <c r="BN45" t="str">
        <f t="shared" si="12"/>
        <v>"br":"0",</v>
      </c>
      <c r="BO45" t="str">
        <f t="shared" si="13"/>
        <v>"row":0,</v>
      </c>
      <c r="BP45" t="s">
        <v>55</v>
      </c>
      <c r="BQ45" t="str">
        <f t="shared" si="14"/>
        <v>"sq":{"a1":0,"a2":"","a3":"","s1":0,"s2":0,"s3":0},"bp":{"a1":0,"a2":"","a3":"","s1":0,"s2":0,"s3":0},"dl":{"a1":0,"a2":"","a3":"","s1":0,"s2":0,"s3":0},"sortOrder":0,"act":{}}</v>
      </c>
      <c r="BR45" t="str">
        <f t="shared" si="40"/>
        <v>{"group":"A","lot":0,"name":"0","team":"","year":"0","gender":"0","gear":"0","lifts":"0","division":"--","wc":"0","bw":"","pb":[0,0,0,0],"idx":"2","sr":"0","br":"0","row":0,"sq":{"a1":0,"a2":"","a3":"","s1":0,"s2":0,"s3":0},"bp":{"a1":0,"a2":"","a3":"","s1":0,"s2":0,"s3":0},"dl":{"a1":0,"a2":"","a3":"","s1":0,"s2":0,"s3":0},"sortOrder":0,"act":{}}</v>
      </c>
    </row>
    <row r="46" spans="5:70" x14ac:dyDescent="0.25">
      <c r="E46" s="91"/>
      <c r="F46" s="92"/>
      <c r="G46" s="92"/>
      <c r="H46" s="93"/>
      <c r="I46" s="93"/>
      <c r="J46" s="93"/>
      <c r="K46" s="94"/>
      <c r="L46" s="93"/>
      <c r="M46" s="95"/>
      <c r="N46" s="93"/>
      <c r="O46" s="148">
        <f t="shared" ca="1" si="41"/>
        <v>2023</v>
      </c>
      <c r="P46" s="92"/>
      <c r="Q46" s="92"/>
      <c r="R46" s="92"/>
      <c r="S46" s="92"/>
      <c r="T46" s="92"/>
      <c r="U46" s="92"/>
      <c r="V46" s="92"/>
      <c r="W46" s="92"/>
      <c r="X46" s="92"/>
      <c r="Y46" s="96"/>
      <c r="Z46" s="97"/>
      <c r="AA46" s="97"/>
      <c r="AB46" s="98"/>
      <c r="AE46" s="15" t="str">
        <f t="shared" si="0"/>
        <v>A</v>
      </c>
      <c r="AF46" s="8">
        <f t="shared" si="1"/>
        <v>0</v>
      </c>
      <c r="AG46" s="9">
        <f t="shared" si="16"/>
        <v>0</v>
      </c>
      <c r="AH46" s="9" t="str">
        <f t="shared" si="17"/>
        <v/>
      </c>
      <c r="AI46" s="8">
        <f t="shared" si="2"/>
        <v>0</v>
      </c>
      <c r="AJ46" s="45">
        <f t="shared" si="18"/>
        <v>0</v>
      </c>
      <c r="AK46" s="45">
        <f t="shared" si="19"/>
        <v>0</v>
      </c>
      <c r="AL46" s="45">
        <f t="shared" si="20"/>
        <v>0</v>
      </c>
      <c r="AM46" s="8" t="str">
        <f t="shared" si="21"/>
        <v>--</v>
      </c>
      <c r="AN46" s="10">
        <f t="shared" si="22"/>
        <v>0</v>
      </c>
      <c r="AO46" s="10">
        <f t="shared" si="23"/>
        <v>0</v>
      </c>
      <c r="AP46" s="10">
        <f t="shared" si="24"/>
        <v>0</v>
      </c>
      <c r="AQ46" s="10">
        <f t="shared" si="25"/>
        <v>0</v>
      </c>
      <c r="AR46" s="10">
        <f t="shared" si="26"/>
        <v>0</v>
      </c>
      <c r="AS46" s="8">
        <v>3</v>
      </c>
      <c r="AT46" s="9">
        <f t="shared" si="27"/>
        <v>0</v>
      </c>
      <c r="AU46" s="11">
        <f t="shared" si="28"/>
        <v>0</v>
      </c>
      <c r="AV46" s="6"/>
      <c r="AW46" s="6"/>
      <c r="AX46" s="6"/>
      <c r="AZ46" t="str">
        <f t="shared" si="29"/>
        <v>{"group":"A",</v>
      </c>
      <c r="BA46" t="str">
        <f t="shared" si="3"/>
        <v>"lot":0,</v>
      </c>
      <c r="BB46" t="str">
        <f t="shared" si="30"/>
        <v>"name":"0",</v>
      </c>
      <c r="BC46" t="str">
        <f t="shared" si="31"/>
        <v>"team":"",</v>
      </c>
      <c r="BD46" t="str">
        <f t="shared" si="32"/>
        <v>"year":"0",</v>
      </c>
      <c r="BE46" t="str">
        <f t="shared" si="33"/>
        <v>"gender":"0",</v>
      </c>
      <c r="BF46" t="str">
        <f t="shared" si="34"/>
        <v>"gear":"0",</v>
      </c>
      <c r="BG46" t="str">
        <f t="shared" si="35"/>
        <v>"lifts":"0",</v>
      </c>
      <c r="BH46" t="str">
        <f t="shared" si="36"/>
        <v>"division":"--",</v>
      </c>
      <c r="BI46" t="str">
        <f t="shared" si="37"/>
        <v>"wc":"0",</v>
      </c>
      <c r="BJ46" t="str">
        <f t="shared" si="38"/>
        <v>"bw":"",</v>
      </c>
      <c r="BK46" t="str">
        <f t="shared" si="39"/>
        <v>"pb":[0,0,0,0],</v>
      </c>
      <c r="BL46" t="str">
        <f t="shared" si="10"/>
        <v>"idx":"3",</v>
      </c>
      <c r="BM46" t="str">
        <f t="shared" si="11"/>
        <v>"sr":"0",</v>
      </c>
      <c r="BN46" t="str">
        <f t="shared" si="12"/>
        <v>"br":"0",</v>
      </c>
      <c r="BO46" t="str">
        <f t="shared" si="13"/>
        <v>"row":0,</v>
      </c>
      <c r="BP46" t="s">
        <v>55</v>
      </c>
      <c r="BQ46" t="str">
        <f t="shared" si="14"/>
        <v>"sq":{"a1":0,"a2":"","a3":"","s1":0,"s2":0,"s3":0},"bp":{"a1":0,"a2":"","a3":"","s1":0,"s2":0,"s3":0},"dl":{"a1":0,"a2":"","a3":"","s1":0,"s2":0,"s3":0},"sortOrder":0,"act":{}}</v>
      </c>
      <c r="BR46" t="str">
        <f t="shared" si="40"/>
        <v>{"group":"A","lot":0,"name":"0","team":"","year":"0","gender":"0","gear":"0","lifts":"0","division":"--","wc":"0","bw":"","pb":[0,0,0,0],"idx":"3","sr":"0","br":"0","row":0,"sq":{"a1":0,"a2":"","a3":"","s1":0,"s2":0,"s3":0},"bp":{"a1":0,"a2":"","a3":"","s1":0,"s2":0,"s3":0},"dl":{"a1":0,"a2":"","a3":"","s1":0,"s2":0,"s3":0},"sortOrder":0,"act":{}}</v>
      </c>
    </row>
    <row r="47" spans="5:70" x14ac:dyDescent="0.25">
      <c r="E47" s="91"/>
      <c r="F47" s="92"/>
      <c r="G47" s="92"/>
      <c r="H47" s="93"/>
      <c r="I47" s="93"/>
      <c r="J47" s="93"/>
      <c r="K47" s="94"/>
      <c r="L47" s="93"/>
      <c r="M47" s="95"/>
      <c r="N47" s="93"/>
      <c r="O47" s="148">
        <f t="shared" ca="1" si="41"/>
        <v>2023</v>
      </c>
      <c r="P47" s="92"/>
      <c r="Q47" s="92"/>
      <c r="R47" s="92"/>
      <c r="S47" s="92"/>
      <c r="T47" s="92"/>
      <c r="U47" s="92"/>
      <c r="V47" s="92"/>
      <c r="W47" s="92"/>
      <c r="X47" s="92"/>
      <c r="Y47" s="96"/>
      <c r="Z47" s="97"/>
      <c r="AA47" s="97"/>
      <c r="AB47" s="98"/>
      <c r="AE47" s="15" t="str">
        <f t="shared" si="0"/>
        <v>A</v>
      </c>
      <c r="AF47" s="8">
        <f t="shared" si="1"/>
        <v>0</v>
      </c>
      <c r="AG47" s="9">
        <f t="shared" si="16"/>
        <v>0</v>
      </c>
      <c r="AH47" s="9" t="str">
        <f t="shared" si="17"/>
        <v/>
      </c>
      <c r="AI47" s="8">
        <f t="shared" si="2"/>
        <v>0</v>
      </c>
      <c r="AJ47" s="45">
        <f t="shared" si="18"/>
        <v>0</v>
      </c>
      <c r="AK47" s="45">
        <f t="shared" si="19"/>
        <v>0</v>
      </c>
      <c r="AL47" s="45">
        <f t="shared" si="20"/>
        <v>0</v>
      </c>
      <c r="AM47" s="8" t="str">
        <f t="shared" si="21"/>
        <v>--</v>
      </c>
      <c r="AN47" s="10">
        <f t="shared" si="22"/>
        <v>0</v>
      </c>
      <c r="AO47" s="10">
        <f t="shared" si="23"/>
        <v>0</v>
      </c>
      <c r="AP47" s="10">
        <f t="shared" si="24"/>
        <v>0</v>
      </c>
      <c r="AQ47" s="10">
        <f t="shared" si="25"/>
        <v>0</v>
      </c>
      <c r="AR47" s="10">
        <f t="shared" si="26"/>
        <v>0</v>
      </c>
      <c r="AS47" s="8">
        <v>4</v>
      </c>
      <c r="AT47" s="9">
        <f t="shared" si="27"/>
        <v>0</v>
      </c>
      <c r="AU47" s="11">
        <f t="shared" si="28"/>
        <v>0</v>
      </c>
      <c r="AV47" s="6"/>
      <c r="AW47" s="6"/>
      <c r="AX47" s="6"/>
      <c r="AZ47" t="str">
        <f t="shared" si="29"/>
        <v>{"group":"A",</v>
      </c>
      <c r="BA47" t="str">
        <f t="shared" si="3"/>
        <v>"lot":0,</v>
      </c>
      <c r="BB47" t="str">
        <f t="shared" si="30"/>
        <v>"name":"0",</v>
      </c>
      <c r="BC47" t="str">
        <f t="shared" si="31"/>
        <v>"team":"",</v>
      </c>
      <c r="BD47" t="str">
        <f t="shared" si="32"/>
        <v>"year":"0",</v>
      </c>
      <c r="BE47" t="str">
        <f t="shared" si="33"/>
        <v>"gender":"0",</v>
      </c>
      <c r="BF47" t="str">
        <f t="shared" si="34"/>
        <v>"gear":"0",</v>
      </c>
      <c r="BG47" t="str">
        <f t="shared" si="35"/>
        <v>"lifts":"0",</v>
      </c>
      <c r="BH47" t="str">
        <f t="shared" si="36"/>
        <v>"division":"--",</v>
      </c>
      <c r="BI47" t="str">
        <f t="shared" si="37"/>
        <v>"wc":"0",</v>
      </c>
      <c r="BJ47" t="str">
        <f t="shared" si="38"/>
        <v>"bw":"",</v>
      </c>
      <c r="BK47" t="str">
        <f t="shared" si="39"/>
        <v>"pb":[0,0,0,0],</v>
      </c>
      <c r="BL47" t="str">
        <f t="shared" si="10"/>
        <v>"idx":"4",</v>
      </c>
      <c r="BM47" t="str">
        <f t="shared" si="11"/>
        <v>"sr":"0",</v>
      </c>
      <c r="BN47" t="str">
        <f t="shared" si="12"/>
        <v>"br":"0",</v>
      </c>
      <c r="BO47" t="str">
        <f t="shared" si="13"/>
        <v>"row":0,</v>
      </c>
      <c r="BP47" t="s">
        <v>55</v>
      </c>
      <c r="BQ47" t="str">
        <f t="shared" si="14"/>
        <v>"sq":{"a1":0,"a2":"","a3":"","s1":0,"s2":0,"s3":0},"bp":{"a1":0,"a2":"","a3":"","s1":0,"s2":0,"s3":0},"dl":{"a1":0,"a2":"","a3":"","s1":0,"s2":0,"s3":0},"sortOrder":0,"act":{}}</v>
      </c>
      <c r="BR47" t="str">
        <f t="shared" si="40"/>
        <v>{"group":"A","lot":0,"name":"0","team":"","year":"0","gender":"0","gear":"0","lifts":"0","division":"--","wc":"0","bw":"","pb":[0,0,0,0],"idx":"4","sr":"0","br":"0","row":0,"sq":{"a1":0,"a2":"","a3":"","s1":0,"s2":0,"s3":0},"bp":{"a1":0,"a2":"","a3":"","s1":0,"s2":0,"s3":0},"dl":{"a1":0,"a2":"","a3":"","s1":0,"s2":0,"s3":0},"sortOrder":0,"act":{}}</v>
      </c>
    </row>
    <row r="48" spans="5:70" x14ac:dyDescent="0.25">
      <c r="E48" s="91"/>
      <c r="F48" s="92"/>
      <c r="G48" s="92"/>
      <c r="H48" s="93"/>
      <c r="I48" s="93"/>
      <c r="J48" s="93"/>
      <c r="K48" s="94"/>
      <c r="L48" s="93"/>
      <c r="M48" s="95"/>
      <c r="N48" s="93"/>
      <c r="O48" s="148">
        <f t="shared" ca="1" si="41"/>
        <v>2023</v>
      </c>
      <c r="P48" s="92"/>
      <c r="Q48" s="92"/>
      <c r="R48" s="92"/>
      <c r="S48" s="92"/>
      <c r="T48" s="92"/>
      <c r="U48" s="92"/>
      <c r="V48" s="92"/>
      <c r="W48" s="92"/>
      <c r="X48" s="92"/>
      <c r="Y48" s="96"/>
      <c r="Z48" s="97"/>
      <c r="AA48" s="97"/>
      <c r="AB48" s="98"/>
      <c r="AE48" s="15" t="str">
        <f t="shared" si="0"/>
        <v>A</v>
      </c>
      <c r="AF48" s="8">
        <f t="shared" si="1"/>
        <v>0</v>
      </c>
      <c r="AG48" s="9">
        <f t="shared" si="16"/>
        <v>0</v>
      </c>
      <c r="AH48" s="9" t="str">
        <f t="shared" si="17"/>
        <v/>
      </c>
      <c r="AI48" s="8">
        <f t="shared" si="2"/>
        <v>0</v>
      </c>
      <c r="AJ48" s="45">
        <f t="shared" si="18"/>
        <v>0</v>
      </c>
      <c r="AK48" s="45">
        <f t="shared" si="19"/>
        <v>0</v>
      </c>
      <c r="AL48" s="45">
        <f t="shared" si="20"/>
        <v>0</v>
      </c>
      <c r="AM48" s="8" t="str">
        <f t="shared" si="21"/>
        <v>--</v>
      </c>
      <c r="AN48" s="10">
        <f t="shared" si="22"/>
        <v>0</v>
      </c>
      <c r="AO48" s="10">
        <f t="shared" si="23"/>
        <v>0</v>
      </c>
      <c r="AP48" s="10">
        <f t="shared" si="24"/>
        <v>0</v>
      </c>
      <c r="AQ48" s="10">
        <f t="shared" si="25"/>
        <v>0</v>
      </c>
      <c r="AR48" s="10">
        <f t="shared" si="26"/>
        <v>0</v>
      </c>
      <c r="AS48" s="8">
        <v>5</v>
      </c>
      <c r="AT48" s="9">
        <f t="shared" si="27"/>
        <v>0</v>
      </c>
      <c r="AU48" s="11">
        <f t="shared" si="28"/>
        <v>0</v>
      </c>
      <c r="AV48" s="6"/>
      <c r="AW48" s="6"/>
      <c r="AX48" s="6"/>
      <c r="AZ48" t="str">
        <f t="shared" si="29"/>
        <v>{"group":"A",</v>
      </c>
      <c r="BA48" t="str">
        <f t="shared" si="3"/>
        <v>"lot":0,</v>
      </c>
      <c r="BB48" t="str">
        <f t="shared" si="30"/>
        <v>"name":"0",</v>
      </c>
      <c r="BC48" t="str">
        <f t="shared" si="31"/>
        <v>"team":"",</v>
      </c>
      <c r="BD48" t="str">
        <f t="shared" si="32"/>
        <v>"year":"0",</v>
      </c>
      <c r="BE48" t="str">
        <f t="shared" si="33"/>
        <v>"gender":"0",</v>
      </c>
      <c r="BF48" t="str">
        <f t="shared" si="34"/>
        <v>"gear":"0",</v>
      </c>
      <c r="BG48" t="str">
        <f t="shared" si="35"/>
        <v>"lifts":"0",</v>
      </c>
      <c r="BH48" t="str">
        <f t="shared" si="36"/>
        <v>"division":"--",</v>
      </c>
      <c r="BI48" t="str">
        <f t="shared" si="37"/>
        <v>"wc":"0",</v>
      </c>
      <c r="BJ48" t="str">
        <f t="shared" si="38"/>
        <v>"bw":"",</v>
      </c>
      <c r="BK48" t="str">
        <f t="shared" si="39"/>
        <v>"pb":[0,0,0,0],</v>
      </c>
      <c r="BL48" t="str">
        <f t="shared" si="10"/>
        <v>"idx":"5",</v>
      </c>
      <c r="BM48" t="str">
        <f t="shared" si="11"/>
        <v>"sr":"0",</v>
      </c>
      <c r="BN48" t="str">
        <f t="shared" si="12"/>
        <v>"br":"0",</v>
      </c>
      <c r="BO48" t="str">
        <f t="shared" si="13"/>
        <v>"row":0,</v>
      </c>
      <c r="BP48" t="s">
        <v>55</v>
      </c>
      <c r="BQ48" t="str">
        <f t="shared" si="14"/>
        <v>"sq":{"a1":0,"a2":"","a3":"","s1":0,"s2":0,"s3":0},"bp":{"a1":0,"a2":"","a3":"","s1":0,"s2":0,"s3":0},"dl":{"a1":0,"a2":"","a3":"","s1":0,"s2":0,"s3":0},"sortOrder":0,"act":{}}</v>
      </c>
      <c r="BR48" t="str">
        <f t="shared" si="40"/>
        <v>{"group":"A","lot":0,"name":"0","team":"","year":"0","gender":"0","gear":"0","lifts":"0","division":"--","wc":"0","bw":"","pb":[0,0,0,0],"idx":"5","sr":"0","br":"0","row":0,"sq":{"a1":0,"a2":"","a3":"","s1":0,"s2":0,"s3":0},"bp":{"a1":0,"a2":"","a3":"","s1":0,"s2":0,"s3":0},"dl":{"a1":0,"a2":"","a3":"","s1":0,"s2":0,"s3":0},"sortOrder":0,"act":{}}</v>
      </c>
    </row>
    <row r="49" spans="5:70" x14ac:dyDescent="0.25">
      <c r="E49" s="91"/>
      <c r="F49" s="92"/>
      <c r="G49" s="92"/>
      <c r="H49" s="93"/>
      <c r="I49" s="93"/>
      <c r="J49" s="93"/>
      <c r="K49" s="94"/>
      <c r="L49" s="93"/>
      <c r="M49" s="95"/>
      <c r="N49" s="93"/>
      <c r="O49" s="148">
        <f t="shared" ca="1" si="41"/>
        <v>2023</v>
      </c>
      <c r="P49" s="92"/>
      <c r="Q49" s="92"/>
      <c r="R49" s="92"/>
      <c r="S49" s="92"/>
      <c r="T49" s="92"/>
      <c r="U49" s="92"/>
      <c r="V49" s="92"/>
      <c r="W49" s="92"/>
      <c r="X49" s="92"/>
      <c r="Y49" s="96"/>
      <c r="Z49" s="97"/>
      <c r="AA49" s="97"/>
      <c r="AB49" s="98"/>
      <c r="AE49" s="15" t="str">
        <f t="shared" si="0"/>
        <v>A</v>
      </c>
      <c r="AF49" s="8">
        <f t="shared" si="1"/>
        <v>0</v>
      </c>
      <c r="AG49" s="9">
        <f t="shared" si="16"/>
        <v>0</v>
      </c>
      <c r="AH49" s="9" t="str">
        <f t="shared" si="17"/>
        <v/>
      </c>
      <c r="AI49" s="8">
        <f t="shared" si="2"/>
        <v>0</v>
      </c>
      <c r="AJ49" s="45">
        <f t="shared" si="18"/>
        <v>0</v>
      </c>
      <c r="AK49" s="45">
        <f t="shared" si="19"/>
        <v>0</v>
      </c>
      <c r="AL49" s="45">
        <f t="shared" si="20"/>
        <v>0</v>
      </c>
      <c r="AM49" s="8" t="str">
        <f t="shared" si="21"/>
        <v>--</v>
      </c>
      <c r="AN49" s="10">
        <f t="shared" si="22"/>
        <v>0</v>
      </c>
      <c r="AO49" s="10">
        <f t="shared" si="23"/>
        <v>0</v>
      </c>
      <c r="AP49" s="10">
        <f t="shared" si="24"/>
        <v>0</v>
      </c>
      <c r="AQ49" s="10">
        <f t="shared" si="25"/>
        <v>0</v>
      </c>
      <c r="AR49" s="10">
        <f t="shared" si="26"/>
        <v>0</v>
      </c>
      <c r="AS49" s="8">
        <v>6</v>
      </c>
      <c r="AT49" s="9">
        <f t="shared" si="27"/>
        <v>0</v>
      </c>
      <c r="AU49" s="11">
        <f t="shared" si="28"/>
        <v>0</v>
      </c>
      <c r="AV49" s="6"/>
      <c r="AW49" s="6"/>
      <c r="AX49" s="6"/>
      <c r="AZ49" t="str">
        <f t="shared" si="29"/>
        <v>{"group":"A",</v>
      </c>
      <c r="BA49" t="str">
        <f t="shared" si="3"/>
        <v>"lot":0,</v>
      </c>
      <c r="BB49" t="str">
        <f t="shared" si="30"/>
        <v>"name":"0",</v>
      </c>
      <c r="BC49" t="str">
        <f t="shared" si="31"/>
        <v>"team":"",</v>
      </c>
      <c r="BD49" t="str">
        <f t="shared" si="32"/>
        <v>"year":"0",</v>
      </c>
      <c r="BE49" t="str">
        <f t="shared" si="33"/>
        <v>"gender":"0",</v>
      </c>
      <c r="BF49" t="str">
        <f t="shared" si="34"/>
        <v>"gear":"0",</v>
      </c>
      <c r="BG49" t="str">
        <f t="shared" si="35"/>
        <v>"lifts":"0",</v>
      </c>
      <c r="BH49" t="str">
        <f t="shared" si="36"/>
        <v>"division":"--",</v>
      </c>
      <c r="BI49" t="str">
        <f t="shared" si="37"/>
        <v>"wc":"0",</v>
      </c>
      <c r="BJ49" t="str">
        <f t="shared" si="38"/>
        <v>"bw":"",</v>
      </c>
      <c r="BK49" t="str">
        <f t="shared" si="39"/>
        <v>"pb":[0,0,0,0],</v>
      </c>
      <c r="BL49" t="str">
        <f t="shared" si="10"/>
        <v>"idx":"6",</v>
      </c>
      <c r="BM49" t="str">
        <f t="shared" si="11"/>
        <v>"sr":"0",</v>
      </c>
      <c r="BN49" t="str">
        <f t="shared" si="12"/>
        <v>"br":"0",</v>
      </c>
      <c r="BO49" t="str">
        <f t="shared" si="13"/>
        <v>"row":0,</v>
      </c>
      <c r="BP49" t="s">
        <v>55</v>
      </c>
      <c r="BQ49" t="str">
        <f t="shared" si="14"/>
        <v>"sq":{"a1":0,"a2":"","a3":"","s1":0,"s2":0,"s3":0},"bp":{"a1":0,"a2":"","a3":"","s1":0,"s2":0,"s3":0},"dl":{"a1":0,"a2":"","a3":"","s1":0,"s2":0,"s3":0},"sortOrder":0,"act":{}}</v>
      </c>
      <c r="BR49" t="str">
        <f t="shared" si="40"/>
        <v>{"group":"A","lot":0,"name":"0","team":"","year":"0","gender":"0","gear":"0","lifts":"0","division":"--","wc":"0","bw":"","pb":[0,0,0,0],"idx":"6","sr":"0","br":"0","row":0,"sq":{"a1":0,"a2":"","a3":"","s1":0,"s2":0,"s3":0},"bp":{"a1":0,"a2":"","a3":"","s1":0,"s2":0,"s3":0},"dl":{"a1":0,"a2":"","a3":"","s1":0,"s2":0,"s3":0},"sortOrder":0,"act":{}}</v>
      </c>
    </row>
    <row r="50" spans="5:70" x14ac:dyDescent="0.25">
      <c r="E50" s="91"/>
      <c r="F50" s="92"/>
      <c r="G50" s="92"/>
      <c r="H50" s="93"/>
      <c r="I50" s="93"/>
      <c r="J50" s="93"/>
      <c r="K50" s="94"/>
      <c r="L50" s="93"/>
      <c r="M50" s="95"/>
      <c r="N50" s="93"/>
      <c r="O50" s="148">
        <f t="shared" ca="1" si="41"/>
        <v>2023</v>
      </c>
      <c r="P50" s="92"/>
      <c r="Q50" s="92"/>
      <c r="R50" s="92"/>
      <c r="S50" s="92"/>
      <c r="T50" s="92"/>
      <c r="U50" s="92"/>
      <c r="V50" s="92"/>
      <c r="W50" s="92"/>
      <c r="X50" s="99"/>
      <c r="Y50" s="100"/>
      <c r="Z50" s="97"/>
      <c r="AA50" s="97"/>
      <c r="AB50" s="98"/>
      <c r="AE50" s="15" t="str">
        <f t="shared" si="0"/>
        <v>A</v>
      </c>
      <c r="AF50" s="8">
        <f t="shared" si="1"/>
        <v>0</v>
      </c>
      <c r="AG50" s="9">
        <f t="shared" si="16"/>
        <v>0</v>
      </c>
      <c r="AH50" s="9" t="str">
        <f t="shared" si="17"/>
        <v/>
      </c>
      <c r="AI50" s="8">
        <f t="shared" si="2"/>
        <v>0</v>
      </c>
      <c r="AJ50" s="45">
        <f t="shared" si="18"/>
        <v>0</v>
      </c>
      <c r="AK50" s="45">
        <f t="shared" si="19"/>
        <v>0</v>
      </c>
      <c r="AL50" s="45">
        <f t="shared" si="20"/>
        <v>0</v>
      </c>
      <c r="AM50" s="8" t="str">
        <f t="shared" si="21"/>
        <v>--</v>
      </c>
      <c r="AN50" s="10">
        <f t="shared" si="22"/>
        <v>0</v>
      </c>
      <c r="AO50" s="10">
        <f t="shared" si="23"/>
        <v>0</v>
      </c>
      <c r="AP50" s="10">
        <f t="shared" si="24"/>
        <v>0</v>
      </c>
      <c r="AQ50" s="10">
        <f t="shared" si="25"/>
        <v>0</v>
      </c>
      <c r="AR50" s="10">
        <f t="shared" si="26"/>
        <v>0</v>
      </c>
      <c r="AS50" s="8">
        <v>7</v>
      </c>
      <c r="AT50" s="9">
        <f t="shared" si="27"/>
        <v>0</v>
      </c>
      <c r="AU50" s="11">
        <f t="shared" si="28"/>
        <v>0</v>
      </c>
      <c r="AV50" s="6"/>
      <c r="AW50" s="6"/>
      <c r="AX50" s="6"/>
      <c r="AZ50" t="str">
        <f t="shared" si="29"/>
        <v>{"group":"A",</v>
      </c>
      <c r="BA50" t="str">
        <f t="shared" si="3"/>
        <v>"lot":0,</v>
      </c>
      <c r="BB50" t="str">
        <f t="shared" si="30"/>
        <v>"name":"0",</v>
      </c>
      <c r="BC50" t="str">
        <f t="shared" si="31"/>
        <v>"team":"",</v>
      </c>
      <c r="BD50" t="str">
        <f t="shared" si="32"/>
        <v>"year":"0",</v>
      </c>
      <c r="BE50" t="str">
        <f t="shared" si="33"/>
        <v>"gender":"0",</v>
      </c>
      <c r="BF50" t="str">
        <f t="shared" si="34"/>
        <v>"gear":"0",</v>
      </c>
      <c r="BG50" t="str">
        <f t="shared" si="35"/>
        <v>"lifts":"0",</v>
      </c>
      <c r="BH50" t="str">
        <f t="shared" si="36"/>
        <v>"division":"--",</v>
      </c>
      <c r="BI50" t="str">
        <f t="shared" si="37"/>
        <v>"wc":"0",</v>
      </c>
      <c r="BJ50" t="str">
        <f t="shared" si="38"/>
        <v>"bw":"",</v>
      </c>
      <c r="BK50" t="str">
        <f t="shared" si="39"/>
        <v>"pb":[0,0,0,0],</v>
      </c>
      <c r="BL50" t="str">
        <f t="shared" si="10"/>
        <v>"idx":"7",</v>
      </c>
      <c r="BM50" t="str">
        <f t="shared" si="11"/>
        <v>"sr":"0",</v>
      </c>
      <c r="BN50" t="str">
        <f t="shared" si="12"/>
        <v>"br":"0",</v>
      </c>
      <c r="BO50" t="str">
        <f t="shared" si="13"/>
        <v>"row":0,</v>
      </c>
      <c r="BP50" t="s">
        <v>55</v>
      </c>
      <c r="BQ50" t="str">
        <f t="shared" si="14"/>
        <v>"sq":{"a1":0,"a2":"","a3":"","s1":0,"s2":0,"s3":0},"bp":{"a1":0,"a2":"","a3":"","s1":0,"s2":0,"s3":0},"dl":{"a1":0,"a2":"","a3":"","s1":0,"s2":0,"s3":0},"sortOrder":0,"act":{}}</v>
      </c>
      <c r="BR50" t="str">
        <f t="shared" si="40"/>
        <v>{"group":"A","lot":0,"name":"0","team":"","year":"0","gender":"0","gear":"0","lifts":"0","division":"--","wc":"0","bw":"","pb":[0,0,0,0],"idx":"7","sr":"0","br":"0","row":0,"sq":{"a1":0,"a2":"","a3":"","s1":0,"s2":0,"s3":0},"bp":{"a1":0,"a2":"","a3":"","s1":0,"s2":0,"s3":0},"dl":{"a1":0,"a2":"","a3":"","s1":0,"s2":0,"s3":0},"sortOrder":0,"act":{}}</v>
      </c>
    </row>
    <row r="51" spans="5:70" x14ac:dyDescent="0.25">
      <c r="E51" s="91"/>
      <c r="F51" s="101"/>
      <c r="G51" s="101"/>
      <c r="H51" s="101"/>
      <c r="I51" s="101"/>
      <c r="J51" s="101"/>
      <c r="K51" s="101"/>
      <c r="L51" s="93"/>
      <c r="M51" s="95"/>
      <c r="N51" s="93"/>
      <c r="O51" s="148">
        <f t="shared" ca="1" si="41"/>
        <v>2023</v>
      </c>
      <c r="P51" s="101"/>
      <c r="Q51" s="101"/>
      <c r="R51" s="101"/>
      <c r="S51" s="101"/>
      <c r="T51" s="101"/>
      <c r="U51" s="101"/>
      <c r="V51" s="101"/>
      <c r="W51" s="101"/>
      <c r="X51" s="101"/>
      <c r="Y51" s="102"/>
      <c r="Z51" s="103"/>
      <c r="AA51" s="97"/>
      <c r="AB51" s="98"/>
      <c r="AE51" s="15" t="str">
        <f t="shared" si="0"/>
        <v>A</v>
      </c>
      <c r="AF51" s="8">
        <f t="shared" si="1"/>
        <v>0</v>
      </c>
      <c r="AG51" s="9">
        <f t="shared" si="16"/>
        <v>0</v>
      </c>
      <c r="AH51" s="9" t="str">
        <f t="shared" si="17"/>
        <v/>
      </c>
      <c r="AI51" s="8">
        <f t="shared" si="2"/>
        <v>0</v>
      </c>
      <c r="AJ51" s="45">
        <f t="shared" si="18"/>
        <v>0</v>
      </c>
      <c r="AK51" s="45">
        <f t="shared" si="19"/>
        <v>0</v>
      </c>
      <c r="AL51" s="45">
        <f t="shared" si="20"/>
        <v>0</v>
      </c>
      <c r="AM51" s="8" t="str">
        <f t="shared" si="21"/>
        <v>--</v>
      </c>
      <c r="AN51" s="10">
        <f t="shared" si="22"/>
        <v>0</v>
      </c>
      <c r="AO51" s="10">
        <f t="shared" si="23"/>
        <v>0</v>
      </c>
      <c r="AP51" s="10">
        <f t="shared" si="24"/>
        <v>0</v>
      </c>
      <c r="AQ51" s="10">
        <f t="shared" si="25"/>
        <v>0</v>
      </c>
      <c r="AR51" s="10">
        <f t="shared" si="26"/>
        <v>0</v>
      </c>
      <c r="AS51" s="8">
        <v>8</v>
      </c>
      <c r="AT51" s="9">
        <f t="shared" si="27"/>
        <v>0</v>
      </c>
      <c r="AU51" s="11">
        <f t="shared" si="28"/>
        <v>0</v>
      </c>
      <c r="AV51" s="6"/>
      <c r="AW51" s="6"/>
      <c r="AX51" s="6"/>
      <c r="AZ51" t="str">
        <f t="shared" si="29"/>
        <v>{"group":"A",</v>
      </c>
      <c r="BA51" t="str">
        <f t="shared" si="3"/>
        <v>"lot":0,</v>
      </c>
      <c r="BB51" t="str">
        <f t="shared" si="30"/>
        <v>"name":"0",</v>
      </c>
      <c r="BC51" t="str">
        <f t="shared" si="31"/>
        <v>"team":"",</v>
      </c>
      <c r="BD51" t="str">
        <f t="shared" si="32"/>
        <v>"year":"0",</v>
      </c>
      <c r="BE51" t="str">
        <f t="shared" si="33"/>
        <v>"gender":"0",</v>
      </c>
      <c r="BF51" t="str">
        <f t="shared" si="34"/>
        <v>"gear":"0",</v>
      </c>
      <c r="BG51" t="str">
        <f t="shared" si="35"/>
        <v>"lifts":"0",</v>
      </c>
      <c r="BH51" t="str">
        <f t="shared" si="36"/>
        <v>"division":"--",</v>
      </c>
      <c r="BI51" t="str">
        <f t="shared" si="37"/>
        <v>"wc":"0",</v>
      </c>
      <c r="BJ51" t="str">
        <f t="shared" si="38"/>
        <v>"bw":"",</v>
      </c>
      <c r="BK51" t="str">
        <f t="shared" si="39"/>
        <v>"pb":[0,0,0,0],</v>
      </c>
      <c r="BL51" t="str">
        <f t="shared" si="10"/>
        <v>"idx":"8",</v>
      </c>
      <c r="BM51" t="str">
        <f t="shared" si="11"/>
        <v>"sr":"0",</v>
      </c>
      <c r="BN51" t="str">
        <f t="shared" si="12"/>
        <v>"br":"0",</v>
      </c>
      <c r="BO51" t="str">
        <f t="shared" si="13"/>
        <v>"row":0,</v>
      </c>
      <c r="BP51" t="s">
        <v>55</v>
      </c>
      <c r="BQ51" t="str">
        <f t="shared" si="14"/>
        <v>"sq":{"a1":0,"a2":"","a3":"","s1":0,"s2":0,"s3":0},"bp":{"a1":0,"a2":"","a3":"","s1":0,"s2":0,"s3":0},"dl":{"a1":0,"a2":"","a3":"","s1":0,"s2":0,"s3":0},"sortOrder":0,"act":{}}</v>
      </c>
      <c r="BR51" t="str">
        <f t="shared" si="40"/>
        <v>{"group":"A","lot":0,"name":"0","team":"","year":"0","gender":"0","gear":"0","lifts":"0","division":"--","wc":"0","bw":"","pb":[0,0,0,0],"idx":"8","sr":"0","br":"0","row":0,"sq":{"a1":0,"a2":"","a3":"","s1":0,"s2":0,"s3":0},"bp":{"a1":0,"a2":"","a3":"","s1":0,"s2":0,"s3":0},"dl":{"a1":0,"a2":"","a3":"","s1":0,"s2":0,"s3":0},"sortOrder":0,"act":{}}</v>
      </c>
    </row>
    <row r="52" spans="5:70" x14ac:dyDescent="0.25">
      <c r="E52" s="91"/>
      <c r="F52" s="92"/>
      <c r="G52" s="92"/>
      <c r="H52" s="93"/>
      <c r="I52" s="93"/>
      <c r="J52" s="93"/>
      <c r="K52" s="94"/>
      <c r="L52" s="93"/>
      <c r="M52" s="95"/>
      <c r="N52" s="93"/>
      <c r="O52" s="148">
        <f t="shared" ca="1" si="41"/>
        <v>2023</v>
      </c>
      <c r="P52" s="92"/>
      <c r="Q52" s="92"/>
      <c r="R52" s="92"/>
      <c r="S52" s="92"/>
      <c r="T52" s="92"/>
      <c r="U52" s="92"/>
      <c r="V52" s="92"/>
      <c r="W52" s="92"/>
      <c r="X52" s="101"/>
      <c r="Y52" s="102"/>
      <c r="Z52" s="103"/>
      <c r="AA52" s="97"/>
      <c r="AB52" s="98"/>
      <c r="AE52" s="15" t="str">
        <f>IF(Q52="","A",PROPER(Q52))</f>
        <v>A</v>
      </c>
      <c r="AF52" s="8">
        <f>G52</f>
        <v>0</v>
      </c>
      <c r="AG52" s="9">
        <f t="shared" si="16"/>
        <v>0</v>
      </c>
      <c r="AH52" s="9" t="str">
        <f t="shared" si="17"/>
        <v/>
      </c>
      <c r="AI52" s="8">
        <f>K52</f>
        <v>0</v>
      </c>
      <c r="AJ52" s="45">
        <f t="shared" si="18"/>
        <v>0</v>
      </c>
      <c r="AK52" s="45">
        <f t="shared" si="19"/>
        <v>0</v>
      </c>
      <c r="AL52" s="45">
        <f t="shared" si="20"/>
        <v>0</v>
      </c>
      <c r="AM52" s="8" t="str">
        <f>LEFT(N52,1)&amp;"-"&amp;L52&amp;"-"&amp;M52</f>
        <v>--</v>
      </c>
      <c r="AN52" s="10">
        <f>W52</f>
        <v>0</v>
      </c>
      <c r="AO52" s="10">
        <f t="shared" si="23"/>
        <v>0</v>
      </c>
      <c r="AP52" s="10">
        <f t="shared" si="24"/>
        <v>0</v>
      </c>
      <c r="AQ52" s="10">
        <f t="shared" si="25"/>
        <v>0</v>
      </c>
      <c r="AR52" s="10">
        <f t="shared" si="26"/>
        <v>0</v>
      </c>
      <c r="AS52" s="8">
        <v>9</v>
      </c>
      <c r="AT52" s="9">
        <f t="shared" si="27"/>
        <v>0</v>
      </c>
      <c r="AU52" s="11">
        <f t="shared" si="28"/>
        <v>0</v>
      </c>
      <c r="AV52" s="6"/>
      <c r="AW52" s="6"/>
      <c r="AX52" s="6"/>
      <c r="AZ52" t="str">
        <f t="shared" si="29"/>
        <v>{"group":"A",</v>
      </c>
      <c r="BA52" t="str">
        <f t="shared" si="3"/>
        <v>"lot":0,</v>
      </c>
      <c r="BB52" t="str">
        <f t="shared" si="30"/>
        <v>"name":"0",</v>
      </c>
      <c r="BC52" t="str">
        <f t="shared" si="31"/>
        <v>"team":"",</v>
      </c>
      <c r="BD52" t="str">
        <f t="shared" si="32"/>
        <v>"year":"0",</v>
      </c>
      <c r="BE52" t="str">
        <f t="shared" si="33"/>
        <v>"gender":"0",</v>
      </c>
      <c r="BF52" t="str">
        <f t="shared" si="34"/>
        <v>"gear":"0",</v>
      </c>
      <c r="BG52" t="str">
        <f t="shared" si="35"/>
        <v>"lifts":"0",</v>
      </c>
      <c r="BH52" t="str">
        <f t="shared" si="36"/>
        <v>"division":"--",</v>
      </c>
      <c r="BI52" t="str">
        <f t="shared" si="37"/>
        <v>"wc":"0",</v>
      </c>
      <c r="BJ52" t="str">
        <f t="shared" si="38"/>
        <v>"bw":"",</v>
      </c>
      <c r="BK52" t="str">
        <f t="shared" si="39"/>
        <v>"pb":[0,0,0,0],</v>
      </c>
      <c r="BL52" t="str">
        <f t="shared" si="10"/>
        <v>"idx":"9",</v>
      </c>
      <c r="BM52" t="str">
        <f t="shared" si="11"/>
        <v>"sr":"0",</v>
      </c>
      <c r="BN52" t="str">
        <f t="shared" si="12"/>
        <v>"br":"0",</v>
      </c>
      <c r="BO52" t="str">
        <f t="shared" si="13"/>
        <v>"row":0,</v>
      </c>
      <c r="BP52" t="s">
        <v>55</v>
      </c>
      <c r="BQ52" t="str">
        <f t="shared" si="14"/>
        <v>"sq":{"a1":0,"a2":"","a3":"","s1":0,"s2":0,"s3":0},"bp":{"a1":0,"a2":"","a3":"","s1":0,"s2":0,"s3":0},"dl":{"a1":0,"a2":"","a3":"","s1":0,"s2":0,"s3":0},"sortOrder":0,"act":{}}</v>
      </c>
      <c r="BR52" t="str">
        <f t="shared" si="40"/>
        <v>{"group":"A","lot":0,"name":"0","team":"","year":"0","gender":"0","gear":"0","lifts":"0","division":"--","wc":"0","bw":"","pb":[0,0,0,0],"idx":"9","sr":"0","br":"0","row":0,"sq":{"a1":0,"a2":"","a3":"","s1":0,"s2":0,"s3":0},"bp":{"a1":0,"a2":"","a3":"","s1":0,"s2":0,"s3":0},"dl":{"a1":0,"a2":"","a3":"","s1":0,"s2":0,"s3":0},"sortOrder":0,"act":{}}</v>
      </c>
    </row>
    <row r="53" spans="5:70" x14ac:dyDescent="0.25">
      <c r="E53" s="91"/>
      <c r="F53" s="92"/>
      <c r="G53" s="92"/>
      <c r="H53" s="93"/>
      <c r="I53" s="93"/>
      <c r="J53" s="93"/>
      <c r="K53" s="94"/>
      <c r="L53" s="93"/>
      <c r="M53" s="95"/>
      <c r="N53" s="93"/>
      <c r="O53" s="148">
        <f t="shared" ca="1" si="41"/>
        <v>2023</v>
      </c>
      <c r="P53" s="92"/>
      <c r="Q53" s="92"/>
      <c r="R53" s="92"/>
      <c r="S53" s="92"/>
      <c r="T53" s="92"/>
      <c r="U53" s="92"/>
      <c r="V53" s="92"/>
      <c r="W53" s="92"/>
      <c r="X53" s="101"/>
      <c r="Y53" s="102"/>
      <c r="Z53" s="103"/>
      <c r="AA53" s="104"/>
      <c r="AB53" s="105"/>
      <c r="AE53" s="15" t="str">
        <f>IF(Q53="","A",PROPER(Q53))</f>
        <v>A</v>
      </c>
      <c r="AF53" s="8">
        <f>G53</f>
        <v>0</v>
      </c>
      <c r="AG53" s="9">
        <f t="shared" si="16"/>
        <v>0</v>
      </c>
      <c r="AH53" s="9" t="str">
        <f t="shared" si="17"/>
        <v/>
      </c>
      <c r="AI53" s="8">
        <f>K53</f>
        <v>0</v>
      </c>
      <c r="AJ53" s="45">
        <f t="shared" si="18"/>
        <v>0</v>
      </c>
      <c r="AK53" s="45">
        <f t="shared" si="19"/>
        <v>0</v>
      </c>
      <c r="AL53" s="45">
        <f t="shared" si="20"/>
        <v>0</v>
      </c>
      <c r="AM53" s="8" t="str">
        <f>LEFT(N53,1)&amp;"-"&amp;L53&amp;"-"&amp;M53</f>
        <v>--</v>
      </c>
      <c r="AN53" s="10">
        <f>W53</f>
        <v>0</v>
      </c>
      <c r="AO53" s="10">
        <f t="shared" si="23"/>
        <v>0</v>
      </c>
      <c r="AP53" s="10">
        <f t="shared" si="24"/>
        <v>0</v>
      </c>
      <c r="AQ53" s="10">
        <f t="shared" si="25"/>
        <v>0</v>
      </c>
      <c r="AR53" s="10">
        <f t="shared" si="26"/>
        <v>0</v>
      </c>
      <c r="AS53" s="8">
        <v>10</v>
      </c>
      <c r="AT53" s="9">
        <f t="shared" si="27"/>
        <v>0</v>
      </c>
      <c r="AU53" s="11">
        <f t="shared" si="28"/>
        <v>0</v>
      </c>
      <c r="AV53" s="6"/>
      <c r="AW53" s="6"/>
      <c r="AX53" s="6"/>
      <c r="AZ53" t="str">
        <f t="shared" si="29"/>
        <v>{"group":"A",</v>
      </c>
      <c r="BA53" t="str">
        <f t="shared" si="3"/>
        <v>"lot":0,</v>
      </c>
      <c r="BB53" t="str">
        <f t="shared" si="30"/>
        <v>"name":"0",</v>
      </c>
      <c r="BC53" t="str">
        <f t="shared" si="31"/>
        <v>"team":"",</v>
      </c>
      <c r="BD53" t="str">
        <f t="shared" si="32"/>
        <v>"year":"0",</v>
      </c>
      <c r="BE53" t="str">
        <f t="shared" si="33"/>
        <v>"gender":"0",</v>
      </c>
      <c r="BF53" t="str">
        <f t="shared" si="34"/>
        <v>"gear":"0",</v>
      </c>
      <c r="BG53" t="str">
        <f t="shared" si="35"/>
        <v>"lifts":"0",</v>
      </c>
      <c r="BH53" t="str">
        <f t="shared" si="36"/>
        <v>"division":"--",</v>
      </c>
      <c r="BI53" t="str">
        <f t="shared" si="37"/>
        <v>"wc":"0",</v>
      </c>
      <c r="BJ53" t="str">
        <f t="shared" si="38"/>
        <v>"bw":"",</v>
      </c>
      <c r="BK53" t="str">
        <f t="shared" si="39"/>
        <v>"pb":[0,0,0,0],</v>
      </c>
      <c r="BL53" t="str">
        <f t="shared" si="10"/>
        <v>"idx":"10",</v>
      </c>
      <c r="BM53" t="str">
        <f t="shared" si="11"/>
        <v>"sr":"0",</v>
      </c>
      <c r="BN53" t="str">
        <f t="shared" si="12"/>
        <v>"br":"0",</v>
      </c>
      <c r="BO53" t="str">
        <f t="shared" si="13"/>
        <v>"row":0,</v>
      </c>
      <c r="BP53" t="s">
        <v>55</v>
      </c>
      <c r="BQ53" t="str">
        <f t="shared" si="14"/>
        <v>"sq":{"a1":0,"a2":"","a3":"","s1":0,"s2":0,"s3":0},"bp":{"a1":0,"a2":"","a3":"","s1":0,"s2":0,"s3":0},"dl":{"a1":0,"a2":"","a3":"","s1":0,"s2":0,"s3":0},"sortOrder":0,"act":{}}</v>
      </c>
      <c r="BR53" t="str">
        <f t="shared" si="40"/>
        <v>{"group":"A","lot":0,"name":"0","team":"","year":"0","gender":"0","gear":"0","lifts":"0","division":"--","wc":"0","bw":"","pb":[0,0,0,0],"idx":"10","sr":"0","br":"0","row":0,"sq":{"a1":0,"a2":"","a3":"","s1":0,"s2":0,"s3":0},"bp":{"a1":0,"a2":"","a3":"","s1":0,"s2":0,"s3":0},"dl":{"a1":0,"a2":"","a3":"","s1":0,"s2":0,"s3":0},"sortOrder":0,"act":{}}</v>
      </c>
    </row>
    <row r="54" spans="5:70" x14ac:dyDescent="0.25">
      <c r="E54" s="91"/>
      <c r="F54" s="92"/>
      <c r="G54" s="92"/>
      <c r="H54" s="93"/>
      <c r="I54" s="93"/>
      <c r="J54" s="93"/>
      <c r="K54" s="94"/>
      <c r="L54" s="93"/>
      <c r="M54" s="95"/>
      <c r="N54" s="93"/>
      <c r="O54" s="148">
        <f t="shared" ca="1" si="41"/>
        <v>2023</v>
      </c>
      <c r="P54" s="92"/>
      <c r="Q54" s="92"/>
      <c r="R54" s="92"/>
      <c r="S54" s="92"/>
      <c r="T54" s="92"/>
      <c r="U54" s="92"/>
      <c r="V54" s="92"/>
      <c r="W54" s="92"/>
      <c r="X54" s="92"/>
      <c r="Y54" s="96"/>
      <c r="Z54" s="97"/>
      <c r="AA54" s="103"/>
      <c r="AB54" s="106"/>
      <c r="AE54" s="15" t="str">
        <f t="shared" ref="AE54:AE117" si="42">IF(Q54="","A",PROPER(Q54))</f>
        <v>A</v>
      </c>
      <c r="AF54" s="8">
        <f t="shared" si="1"/>
        <v>0</v>
      </c>
      <c r="AG54" s="9">
        <f t="shared" si="16"/>
        <v>0</v>
      </c>
      <c r="AH54" s="9" t="str">
        <f t="shared" si="17"/>
        <v/>
      </c>
      <c r="AI54" s="8">
        <f t="shared" si="2"/>
        <v>0</v>
      </c>
      <c r="AJ54" s="45">
        <f t="shared" si="18"/>
        <v>0</v>
      </c>
      <c r="AK54" s="45">
        <f t="shared" si="19"/>
        <v>0</v>
      </c>
      <c r="AL54" s="45">
        <f t="shared" si="20"/>
        <v>0</v>
      </c>
      <c r="AM54" s="8" t="str">
        <f t="shared" si="21"/>
        <v>--</v>
      </c>
      <c r="AN54" s="10">
        <f t="shared" si="22"/>
        <v>0</v>
      </c>
      <c r="AO54" s="10">
        <f t="shared" si="23"/>
        <v>0</v>
      </c>
      <c r="AP54" s="10">
        <f t="shared" si="24"/>
        <v>0</v>
      </c>
      <c r="AQ54" s="10">
        <f t="shared" si="25"/>
        <v>0</v>
      </c>
      <c r="AR54" s="10">
        <f t="shared" si="26"/>
        <v>0</v>
      </c>
      <c r="AS54" s="8">
        <v>11</v>
      </c>
      <c r="AT54" s="9">
        <f t="shared" si="27"/>
        <v>0</v>
      </c>
      <c r="AU54" s="11">
        <f t="shared" si="28"/>
        <v>0</v>
      </c>
      <c r="AV54" s="6"/>
      <c r="AW54" s="6"/>
      <c r="AX54" s="6"/>
      <c r="AZ54" t="str">
        <f t="shared" si="29"/>
        <v>{"group":"A",</v>
      </c>
      <c r="BA54" t="str">
        <f t="shared" si="3"/>
        <v>"lot":0,</v>
      </c>
      <c r="BB54" t="str">
        <f t="shared" si="30"/>
        <v>"name":"0",</v>
      </c>
      <c r="BC54" t="str">
        <f t="shared" si="31"/>
        <v>"team":"",</v>
      </c>
      <c r="BD54" t="str">
        <f t="shared" si="32"/>
        <v>"year":"0",</v>
      </c>
      <c r="BE54" t="str">
        <f t="shared" si="33"/>
        <v>"gender":"0",</v>
      </c>
      <c r="BF54" t="str">
        <f t="shared" si="34"/>
        <v>"gear":"0",</v>
      </c>
      <c r="BG54" t="str">
        <f t="shared" si="35"/>
        <v>"lifts":"0",</v>
      </c>
      <c r="BH54" t="str">
        <f t="shared" si="36"/>
        <v>"division":"--",</v>
      </c>
      <c r="BI54" t="str">
        <f t="shared" si="37"/>
        <v>"wc":"0",</v>
      </c>
      <c r="BJ54" t="str">
        <f t="shared" si="38"/>
        <v>"bw":"",</v>
      </c>
      <c r="BK54" t="str">
        <f t="shared" si="39"/>
        <v>"pb":[0,0,0,0],</v>
      </c>
      <c r="BL54" t="str">
        <f t="shared" si="10"/>
        <v>"idx":"11",</v>
      </c>
      <c r="BM54" t="str">
        <f t="shared" si="11"/>
        <v>"sr":"0",</v>
      </c>
      <c r="BN54" t="str">
        <f t="shared" si="12"/>
        <v>"br":"0",</v>
      </c>
      <c r="BO54" t="str">
        <f t="shared" si="13"/>
        <v>"row":0,</v>
      </c>
      <c r="BP54" t="s">
        <v>55</v>
      </c>
      <c r="BQ54" t="str">
        <f t="shared" si="14"/>
        <v>"sq":{"a1":0,"a2":"","a3":"","s1":0,"s2":0,"s3":0},"bp":{"a1":0,"a2":"","a3":"","s1":0,"s2":0,"s3":0},"dl":{"a1":0,"a2":"","a3":"","s1":0,"s2":0,"s3":0},"sortOrder":0,"act":{}}</v>
      </c>
      <c r="BR54" t="str">
        <f t="shared" si="40"/>
        <v>{"group":"A","lot":0,"name":"0","team":"","year":"0","gender":"0","gear":"0","lifts":"0","division":"--","wc":"0","bw":"","pb":[0,0,0,0],"idx":"11","sr":"0","br":"0","row":0,"sq":{"a1":0,"a2":"","a3":"","s1":0,"s2":0,"s3":0},"bp":{"a1":0,"a2":"","a3":"","s1":0,"s2":0,"s3":0},"dl":{"a1":0,"a2":"","a3":"","s1":0,"s2":0,"s3":0},"sortOrder":0,"act":{}}</v>
      </c>
    </row>
    <row r="55" spans="5:70" x14ac:dyDescent="0.25">
      <c r="E55" s="91"/>
      <c r="F55" s="101"/>
      <c r="G55" s="101"/>
      <c r="H55" s="101"/>
      <c r="I55" s="101"/>
      <c r="J55" s="101"/>
      <c r="K55" s="101"/>
      <c r="L55" s="93"/>
      <c r="M55" s="95"/>
      <c r="N55" s="93"/>
      <c r="O55" s="148">
        <f t="shared" ca="1" si="41"/>
        <v>2023</v>
      </c>
      <c r="P55" s="101"/>
      <c r="Q55" s="101"/>
      <c r="R55" s="101"/>
      <c r="S55" s="101"/>
      <c r="T55" s="101"/>
      <c r="U55" s="101"/>
      <c r="V55" s="101"/>
      <c r="W55" s="101"/>
      <c r="X55" s="101"/>
      <c r="Y55" s="102"/>
      <c r="Z55" s="103"/>
      <c r="AA55" s="103"/>
      <c r="AB55" s="106"/>
      <c r="AE55" s="15" t="str">
        <f t="shared" si="42"/>
        <v>A</v>
      </c>
      <c r="AF55" s="8">
        <f t="shared" si="1"/>
        <v>0</v>
      </c>
      <c r="AG55" s="9">
        <f t="shared" si="16"/>
        <v>0</v>
      </c>
      <c r="AH55" s="9" t="str">
        <f t="shared" si="17"/>
        <v/>
      </c>
      <c r="AI55" s="8">
        <f t="shared" si="2"/>
        <v>0</v>
      </c>
      <c r="AJ55" s="45">
        <f t="shared" si="18"/>
        <v>0</v>
      </c>
      <c r="AK55" s="45">
        <f t="shared" si="19"/>
        <v>0</v>
      </c>
      <c r="AL55" s="45">
        <f t="shared" si="20"/>
        <v>0</v>
      </c>
      <c r="AM55" s="8" t="str">
        <f t="shared" si="21"/>
        <v>--</v>
      </c>
      <c r="AN55" s="10">
        <f t="shared" si="22"/>
        <v>0</v>
      </c>
      <c r="AO55" s="10">
        <f t="shared" si="23"/>
        <v>0</v>
      </c>
      <c r="AP55" s="10">
        <f t="shared" si="24"/>
        <v>0</v>
      </c>
      <c r="AQ55" s="10">
        <f t="shared" si="25"/>
        <v>0</v>
      </c>
      <c r="AR55" s="10">
        <f t="shared" si="26"/>
        <v>0</v>
      </c>
      <c r="AS55" s="8">
        <v>12</v>
      </c>
      <c r="AT55" s="9">
        <f t="shared" si="27"/>
        <v>0</v>
      </c>
      <c r="AU55" s="11">
        <f t="shared" si="28"/>
        <v>0</v>
      </c>
      <c r="AV55" s="6"/>
      <c r="AW55" s="6"/>
      <c r="AX55" s="6"/>
      <c r="AZ55" t="str">
        <f t="shared" si="29"/>
        <v>{"group":"A",</v>
      </c>
      <c r="BA55" t="str">
        <f t="shared" si="3"/>
        <v>"lot":0,</v>
      </c>
      <c r="BB55" t="str">
        <f t="shared" si="30"/>
        <v>"name":"0",</v>
      </c>
      <c r="BC55" t="str">
        <f t="shared" si="31"/>
        <v>"team":"",</v>
      </c>
      <c r="BD55" t="str">
        <f t="shared" si="32"/>
        <v>"year":"0",</v>
      </c>
      <c r="BE55" t="str">
        <f t="shared" si="33"/>
        <v>"gender":"0",</v>
      </c>
      <c r="BF55" t="str">
        <f t="shared" si="34"/>
        <v>"gear":"0",</v>
      </c>
      <c r="BG55" t="str">
        <f t="shared" si="35"/>
        <v>"lifts":"0",</v>
      </c>
      <c r="BH55" t="str">
        <f t="shared" si="36"/>
        <v>"division":"--",</v>
      </c>
      <c r="BI55" t="str">
        <f t="shared" si="37"/>
        <v>"wc":"0",</v>
      </c>
      <c r="BJ55" t="str">
        <f t="shared" si="38"/>
        <v>"bw":"",</v>
      </c>
      <c r="BK55" t="str">
        <f t="shared" si="39"/>
        <v>"pb":[0,0,0,0],</v>
      </c>
      <c r="BL55" t="str">
        <f t="shared" si="10"/>
        <v>"idx":"12",</v>
      </c>
      <c r="BM55" t="str">
        <f t="shared" si="11"/>
        <v>"sr":"0",</v>
      </c>
      <c r="BN55" t="str">
        <f t="shared" si="12"/>
        <v>"br":"0",</v>
      </c>
      <c r="BO55" t="str">
        <f t="shared" si="13"/>
        <v>"row":0,</v>
      </c>
      <c r="BP55" t="s">
        <v>55</v>
      </c>
      <c r="BQ55" t="str">
        <f t="shared" si="14"/>
        <v>"sq":{"a1":0,"a2":"","a3":"","s1":0,"s2":0,"s3":0},"bp":{"a1":0,"a2":"","a3":"","s1":0,"s2":0,"s3":0},"dl":{"a1":0,"a2":"","a3":"","s1":0,"s2":0,"s3":0},"sortOrder":0,"act":{}}</v>
      </c>
      <c r="BR55" t="str">
        <f t="shared" si="40"/>
        <v>{"group":"A","lot":0,"name":"0","team":"","year":"0","gender":"0","gear":"0","lifts":"0","division":"--","wc":"0","bw":"","pb":[0,0,0,0],"idx":"12","sr":"0","br":"0","row":0,"sq":{"a1":0,"a2":"","a3":"","s1":0,"s2":0,"s3":0},"bp":{"a1":0,"a2":"","a3":"","s1":0,"s2":0,"s3":0},"dl":{"a1":0,"a2":"","a3":"","s1":0,"s2":0,"s3":0},"sortOrder":0,"act":{}}</v>
      </c>
    </row>
    <row r="56" spans="5:70" x14ac:dyDescent="0.25">
      <c r="E56" s="91"/>
      <c r="F56" s="101"/>
      <c r="G56" s="101"/>
      <c r="H56" s="101"/>
      <c r="I56" s="101"/>
      <c r="J56" s="101"/>
      <c r="K56" s="101"/>
      <c r="L56" s="93"/>
      <c r="M56" s="95"/>
      <c r="N56" s="93"/>
      <c r="O56" s="148">
        <f t="shared" ca="1" si="41"/>
        <v>2023</v>
      </c>
      <c r="P56" s="101"/>
      <c r="Q56" s="101"/>
      <c r="R56" s="101"/>
      <c r="S56" s="101"/>
      <c r="T56" s="101"/>
      <c r="U56" s="101"/>
      <c r="V56" s="101"/>
      <c r="W56" s="101"/>
      <c r="X56" s="101"/>
      <c r="Y56" s="102"/>
      <c r="Z56" s="103"/>
      <c r="AA56" s="103"/>
      <c r="AB56" s="106"/>
      <c r="AE56" s="15" t="str">
        <f t="shared" si="42"/>
        <v>A</v>
      </c>
      <c r="AF56" s="8">
        <f t="shared" si="1"/>
        <v>0</v>
      </c>
      <c r="AG56" s="9">
        <f t="shared" si="16"/>
        <v>0</v>
      </c>
      <c r="AH56" s="9" t="str">
        <f t="shared" si="17"/>
        <v/>
      </c>
      <c r="AI56" s="8">
        <f t="shared" si="2"/>
        <v>0</v>
      </c>
      <c r="AJ56" s="45">
        <f t="shared" si="18"/>
        <v>0</v>
      </c>
      <c r="AK56" s="45">
        <f t="shared" si="19"/>
        <v>0</v>
      </c>
      <c r="AL56" s="45">
        <f t="shared" si="20"/>
        <v>0</v>
      </c>
      <c r="AM56" s="8" t="str">
        <f t="shared" si="21"/>
        <v>--</v>
      </c>
      <c r="AN56" s="10">
        <f t="shared" si="22"/>
        <v>0</v>
      </c>
      <c r="AO56" s="10">
        <f t="shared" si="23"/>
        <v>0</v>
      </c>
      <c r="AP56" s="10">
        <f t="shared" si="24"/>
        <v>0</v>
      </c>
      <c r="AQ56" s="10">
        <f t="shared" si="25"/>
        <v>0</v>
      </c>
      <c r="AR56" s="10">
        <f t="shared" si="26"/>
        <v>0</v>
      </c>
      <c r="AS56" s="8">
        <v>13</v>
      </c>
      <c r="AT56" s="9">
        <f t="shared" si="27"/>
        <v>0</v>
      </c>
      <c r="AU56" s="11">
        <f t="shared" si="28"/>
        <v>0</v>
      </c>
      <c r="AV56" s="6"/>
      <c r="AW56" s="6"/>
      <c r="AX56" s="6"/>
      <c r="AZ56" t="str">
        <f t="shared" si="29"/>
        <v>{"group":"A",</v>
      </c>
      <c r="BA56" t="str">
        <f t="shared" si="3"/>
        <v>"lot":0,</v>
      </c>
      <c r="BB56" t="str">
        <f t="shared" si="30"/>
        <v>"name":"0",</v>
      </c>
      <c r="BC56" t="str">
        <f t="shared" si="31"/>
        <v>"team":"",</v>
      </c>
      <c r="BD56" t="str">
        <f t="shared" si="32"/>
        <v>"year":"0",</v>
      </c>
      <c r="BE56" t="str">
        <f t="shared" si="33"/>
        <v>"gender":"0",</v>
      </c>
      <c r="BF56" t="str">
        <f t="shared" si="34"/>
        <v>"gear":"0",</v>
      </c>
      <c r="BG56" t="str">
        <f t="shared" si="35"/>
        <v>"lifts":"0",</v>
      </c>
      <c r="BH56" t="str">
        <f t="shared" si="36"/>
        <v>"division":"--",</v>
      </c>
      <c r="BI56" t="str">
        <f t="shared" si="37"/>
        <v>"wc":"0",</v>
      </c>
      <c r="BJ56" t="str">
        <f t="shared" si="38"/>
        <v>"bw":"",</v>
      </c>
      <c r="BK56" t="str">
        <f t="shared" si="39"/>
        <v>"pb":[0,0,0,0],</v>
      </c>
      <c r="BL56" t="str">
        <f t="shared" si="10"/>
        <v>"idx":"13",</v>
      </c>
      <c r="BM56" t="str">
        <f t="shared" si="11"/>
        <v>"sr":"0",</v>
      </c>
      <c r="BN56" t="str">
        <f t="shared" si="12"/>
        <v>"br":"0",</v>
      </c>
      <c r="BO56" t="str">
        <f t="shared" si="13"/>
        <v>"row":0,</v>
      </c>
      <c r="BP56" t="s">
        <v>55</v>
      </c>
      <c r="BQ56" t="str">
        <f t="shared" si="14"/>
        <v>"sq":{"a1":0,"a2":"","a3":"","s1":0,"s2":0,"s3":0},"bp":{"a1":0,"a2":"","a3":"","s1":0,"s2":0,"s3":0},"dl":{"a1":0,"a2":"","a3":"","s1":0,"s2":0,"s3":0},"sortOrder":0,"act":{}}</v>
      </c>
      <c r="BR56" t="str">
        <f t="shared" si="40"/>
        <v>{"group":"A","lot":0,"name":"0","team":"","year":"0","gender":"0","gear":"0","lifts":"0","division":"--","wc":"0","bw":"","pb":[0,0,0,0],"idx":"13","sr":"0","br":"0","row":0,"sq":{"a1":0,"a2":"","a3":"","s1":0,"s2":0,"s3":0},"bp":{"a1":0,"a2":"","a3":"","s1":0,"s2":0,"s3":0},"dl":{"a1":0,"a2":"","a3":"","s1":0,"s2":0,"s3":0},"sortOrder":0,"act":{}}</v>
      </c>
    </row>
    <row r="57" spans="5:70" x14ac:dyDescent="0.25">
      <c r="E57" s="107"/>
      <c r="F57" s="108"/>
      <c r="G57" s="108"/>
      <c r="H57" s="108"/>
      <c r="I57" s="108"/>
      <c r="J57" s="108"/>
      <c r="K57" s="108"/>
      <c r="L57" s="109"/>
      <c r="M57" s="110"/>
      <c r="N57" s="109"/>
      <c r="O57" s="148">
        <f t="shared" ca="1" si="41"/>
        <v>2023</v>
      </c>
      <c r="P57" s="108"/>
      <c r="Q57" s="108"/>
      <c r="R57" s="108"/>
      <c r="S57" s="108"/>
      <c r="T57" s="108"/>
      <c r="U57" s="108"/>
      <c r="V57" s="108"/>
      <c r="W57" s="108"/>
      <c r="X57" s="108"/>
      <c r="Y57" s="111"/>
      <c r="Z57" s="112"/>
      <c r="AA57" s="112"/>
      <c r="AB57" s="113"/>
      <c r="AE57" s="15" t="str">
        <f t="shared" si="42"/>
        <v>A</v>
      </c>
      <c r="AF57" s="8">
        <f t="shared" si="1"/>
        <v>0</v>
      </c>
      <c r="AG57" s="9">
        <f t="shared" si="16"/>
        <v>0</v>
      </c>
      <c r="AH57" s="9" t="str">
        <f t="shared" si="17"/>
        <v/>
      </c>
      <c r="AI57" s="8">
        <f t="shared" si="2"/>
        <v>0</v>
      </c>
      <c r="AJ57" s="45">
        <f t="shared" si="18"/>
        <v>0</v>
      </c>
      <c r="AK57" s="45">
        <f t="shared" si="19"/>
        <v>0</v>
      </c>
      <c r="AL57" s="45">
        <f t="shared" si="20"/>
        <v>0</v>
      </c>
      <c r="AM57" s="8" t="str">
        <f t="shared" si="21"/>
        <v>--</v>
      </c>
      <c r="AN57" s="10">
        <f t="shared" si="22"/>
        <v>0</v>
      </c>
      <c r="AO57" s="10">
        <f t="shared" si="23"/>
        <v>0</v>
      </c>
      <c r="AP57" s="10">
        <f t="shared" si="24"/>
        <v>0</v>
      </c>
      <c r="AQ57" s="10">
        <f t="shared" si="25"/>
        <v>0</v>
      </c>
      <c r="AR57" s="10">
        <f t="shared" si="26"/>
        <v>0</v>
      </c>
      <c r="AS57" s="8">
        <v>14</v>
      </c>
      <c r="AT57" s="9">
        <f t="shared" si="27"/>
        <v>0</v>
      </c>
      <c r="AU57" s="11">
        <f t="shared" si="28"/>
        <v>0</v>
      </c>
      <c r="AV57" s="6"/>
      <c r="AW57" s="6"/>
      <c r="AX57" s="6"/>
      <c r="AZ57" t="str">
        <f t="shared" si="29"/>
        <v>{"group":"A",</v>
      </c>
      <c r="BA57" t="str">
        <f t="shared" si="3"/>
        <v>"lot":0,</v>
      </c>
      <c r="BB57" t="str">
        <f t="shared" si="30"/>
        <v>"name":"0",</v>
      </c>
      <c r="BC57" t="str">
        <f t="shared" si="31"/>
        <v>"team":"",</v>
      </c>
      <c r="BD57" t="str">
        <f t="shared" si="32"/>
        <v>"year":"0",</v>
      </c>
      <c r="BE57" t="str">
        <f t="shared" si="33"/>
        <v>"gender":"0",</v>
      </c>
      <c r="BF57" t="str">
        <f t="shared" si="34"/>
        <v>"gear":"0",</v>
      </c>
      <c r="BG57" t="str">
        <f t="shared" si="35"/>
        <v>"lifts":"0",</v>
      </c>
      <c r="BH57" t="str">
        <f t="shared" si="36"/>
        <v>"division":"--",</v>
      </c>
      <c r="BI57" t="str">
        <f t="shared" si="37"/>
        <v>"wc":"0",</v>
      </c>
      <c r="BJ57" t="str">
        <f t="shared" si="38"/>
        <v>"bw":"",</v>
      </c>
      <c r="BK57" t="str">
        <f t="shared" si="39"/>
        <v>"pb":[0,0,0,0],</v>
      </c>
      <c r="BL57" t="str">
        <f t="shared" si="10"/>
        <v>"idx":"14",</v>
      </c>
      <c r="BM57" t="str">
        <f t="shared" si="11"/>
        <v>"sr":"0",</v>
      </c>
      <c r="BN57" t="str">
        <f t="shared" si="12"/>
        <v>"br":"0",</v>
      </c>
      <c r="BO57" t="str">
        <f t="shared" si="13"/>
        <v>"row":0,</v>
      </c>
      <c r="BP57" t="s">
        <v>55</v>
      </c>
      <c r="BQ57" t="str">
        <f t="shared" si="14"/>
        <v>"sq":{"a1":0,"a2":"","a3":"","s1":0,"s2":0,"s3":0},"bp":{"a1":0,"a2":"","a3":"","s1":0,"s2":0,"s3":0},"dl":{"a1":0,"a2":"","a3":"","s1":0,"s2":0,"s3":0},"sortOrder":0,"act":{}}</v>
      </c>
      <c r="BR57" t="str">
        <f t="shared" si="40"/>
        <v>{"group":"A","lot":0,"name":"0","team":"","year":"0","gender":"0","gear":"0","lifts":"0","division":"--","wc":"0","bw":"","pb":[0,0,0,0],"idx":"14","sr":"0","br":"0","row":0,"sq":{"a1":0,"a2":"","a3":"","s1":0,"s2":0,"s3":0},"bp":{"a1":0,"a2":"","a3":"","s1":0,"s2":0,"s3":0},"dl":{"a1":0,"a2":"","a3":"","s1":0,"s2":0,"s3":0},"sortOrder":0,"act":{}}</v>
      </c>
    </row>
    <row r="58" spans="5:70" x14ac:dyDescent="0.25">
      <c r="E58" s="107"/>
      <c r="F58" s="108"/>
      <c r="G58" s="108"/>
      <c r="H58" s="108"/>
      <c r="I58" s="108"/>
      <c r="J58" s="108"/>
      <c r="K58" s="108"/>
      <c r="L58" s="109"/>
      <c r="M58" s="110"/>
      <c r="N58" s="109"/>
      <c r="O58" s="148">
        <f t="shared" ca="1" si="41"/>
        <v>2023</v>
      </c>
      <c r="P58" s="108"/>
      <c r="Q58" s="108"/>
      <c r="R58" s="108"/>
      <c r="S58" s="108"/>
      <c r="T58" s="108"/>
      <c r="U58" s="108"/>
      <c r="V58" s="108"/>
      <c r="W58" s="108"/>
      <c r="X58" s="108"/>
      <c r="Y58" s="111"/>
      <c r="Z58" s="112"/>
      <c r="AA58" s="112"/>
      <c r="AB58" s="113"/>
      <c r="AE58" s="15" t="str">
        <f t="shared" si="42"/>
        <v>A</v>
      </c>
      <c r="AF58" s="8">
        <f t="shared" si="1"/>
        <v>0</v>
      </c>
      <c r="AG58" s="9">
        <f t="shared" si="16"/>
        <v>0</v>
      </c>
      <c r="AH58" s="9" t="str">
        <f t="shared" si="17"/>
        <v/>
      </c>
      <c r="AI58" s="8">
        <f t="shared" si="2"/>
        <v>0</v>
      </c>
      <c r="AJ58" s="45">
        <f t="shared" si="18"/>
        <v>0</v>
      </c>
      <c r="AK58" s="45">
        <f t="shared" si="19"/>
        <v>0</v>
      </c>
      <c r="AL58" s="45">
        <f t="shared" si="20"/>
        <v>0</v>
      </c>
      <c r="AM58" s="8" t="str">
        <f t="shared" si="21"/>
        <v>--</v>
      </c>
      <c r="AN58" s="10">
        <f t="shared" si="22"/>
        <v>0</v>
      </c>
      <c r="AO58" s="10">
        <f t="shared" si="23"/>
        <v>0</v>
      </c>
      <c r="AP58" s="10">
        <f t="shared" si="24"/>
        <v>0</v>
      </c>
      <c r="AQ58" s="10">
        <f t="shared" si="25"/>
        <v>0</v>
      </c>
      <c r="AR58" s="10">
        <f t="shared" si="26"/>
        <v>0</v>
      </c>
      <c r="AS58" s="8">
        <v>15</v>
      </c>
      <c r="AT58" s="9">
        <f t="shared" si="27"/>
        <v>0</v>
      </c>
      <c r="AU58" s="11">
        <f t="shared" si="28"/>
        <v>0</v>
      </c>
      <c r="AV58" s="6"/>
      <c r="AW58" s="6"/>
      <c r="AX58" s="6"/>
      <c r="AZ58" t="str">
        <f t="shared" si="29"/>
        <v>{"group":"A",</v>
      </c>
      <c r="BA58" t="str">
        <f t="shared" si="3"/>
        <v>"lot":0,</v>
      </c>
      <c r="BB58" t="str">
        <f t="shared" si="30"/>
        <v>"name":"0",</v>
      </c>
      <c r="BC58" t="str">
        <f t="shared" si="31"/>
        <v>"team":"",</v>
      </c>
      <c r="BD58" t="str">
        <f t="shared" si="32"/>
        <v>"year":"0",</v>
      </c>
      <c r="BE58" t="str">
        <f t="shared" si="33"/>
        <v>"gender":"0",</v>
      </c>
      <c r="BF58" t="str">
        <f t="shared" si="34"/>
        <v>"gear":"0",</v>
      </c>
      <c r="BG58" t="str">
        <f t="shared" si="35"/>
        <v>"lifts":"0",</v>
      </c>
      <c r="BH58" t="str">
        <f t="shared" si="36"/>
        <v>"division":"--",</v>
      </c>
      <c r="BI58" t="str">
        <f t="shared" si="37"/>
        <v>"wc":"0",</v>
      </c>
      <c r="BJ58" t="str">
        <f t="shared" si="38"/>
        <v>"bw":"",</v>
      </c>
      <c r="BK58" t="str">
        <f t="shared" si="39"/>
        <v>"pb":[0,0,0,0],</v>
      </c>
      <c r="BL58" t="str">
        <f t="shared" si="10"/>
        <v>"idx":"15",</v>
      </c>
      <c r="BM58" t="str">
        <f t="shared" si="11"/>
        <v>"sr":"0",</v>
      </c>
      <c r="BN58" t="str">
        <f t="shared" si="12"/>
        <v>"br":"0",</v>
      </c>
      <c r="BO58" t="str">
        <f t="shared" si="13"/>
        <v>"row":0,</v>
      </c>
      <c r="BP58" t="s">
        <v>55</v>
      </c>
      <c r="BQ58" t="str">
        <f t="shared" si="14"/>
        <v>"sq":{"a1":0,"a2":"","a3":"","s1":0,"s2":0,"s3":0},"bp":{"a1":0,"a2":"","a3":"","s1":0,"s2":0,"s3":0},"dl":{"a1":0,"a2":"","a3":"","s1":0,"s2":0,"s3":0},"sortOrder":0,"act":{}}</v>
      </c>
      <c r="BR58" t="str">
        <f t="shared" si="40"/>
        <v>{"group":"A","lot":0,"name":"0","team":"","year":"0","gender":"0","gear":"0","lifts":"0","division":"--","wc":"0","bw":"","pb":[0,0,0,0],"idx":"15","sr":"0","br":"0","row":0,"sq":{"a1":0,"a2":"","a3":"","s1":0,"s2":0,"s3":0},"bp":{"a1":0,"a2":"","a3":"","s1":0,"s2":0,"s3":0},"dl":{"a1":0,"a2":"","a3":"","s1":0,"s2":0,"s3":0},"sortOrder":0,"act":{}}</v>
      </c>
    </row>
    <row r="59" spans="5:70" x14ac:dyDescent="0.25">
      <c r="E59" s="107"/>
      <c r="F59" s="108"/>
      <c r="G59" s="108"/>
      <c r="H59" s="108"/>
      <c r="I59" s="108"/>
      <c r="J59" s="108"/>
      <c r="K59" s="108"/>
      <c r="L59" s="109"/>
      <c r="M59" s="110"/>
      <c r="N59" s="109"/>
      <c r="O59" s="148">
        <f t="shared" ca="1" si="41"/>
        <v>2023</v>
      </c>
      <c r="P59" s="108"/>
      <c r="Q59" s="108"/>
      <c r="R59" s="108"/>
      <c r="S59" s="108"/>
      <c r="T59" s="108"/>
      <c r="U59" s="108"/>
      <c r="V59" s="108"/>
      <c r="W59" s="108"/>
      <c r="X59" s="108"/>
      <c r="Y59" s="111"/>
      <c r="Z59" s="112"/>
      <c r="AA59" s="112"/>
      <c r="AB59" s="113"/>
      <c r="AE59" s="15" t="str">
        <f t="shared" si="42"/>
        <v>A</v>
      </c>
      <c r="AF59" s="8">
        <f t="shared" si="1"/>
        <v>0</v>
      </c>
      <c r="AG59" s="9">
        <f t="shared" si="16"/>
        <v>0</v>
      </c>
      <c r="AH59" s="9" t="str">
        <f t="shared" si="17"/>
        <v/>
      </c>
      <c r="AI59" s="8">
        <f t="shared" si="2"/>
        <v>0</v>
      </c>
      <c r="AJ59" s="45">
        <f t="shared" si="18"/>
        <v>0</v>
      </c>
      <c r="AK59" s="45">
        <f t="shared" si="19"/>
        <v>0</v>
      </c>
      <c r="AL59" s="45">
        <f t="shared" si="20"/>
        <v>0</v>
      </c>
      <c r="AM59" s="8" t="str">
        <f t="shared" si="21"/>
        <v>--</v>
      </c>
      <c r="AN59" s="10">
        <f t="shared" si="22"/>
        <v>0</v>
      </c>
      <c r="AO59" s="10">
        <f t="shared" si="23"/>
        <v>0</v>
      </c>
      <c r="AP59" s="10">
        <f t="shared" si="24"/>
        <v>0</v>
      </c>
      <c r="AQ59" s="10">
        <f t="shared" si="25"/>
        <v>0</v>
      </c>
      <c r="AR59" s="10">
        <f t="shared" si="26"/>
        <v>0</v>
      </c>
      <c r="AS59" s="8">
        <v>16</v>
      </c>
      <c r="AT59" s="9">
        <f t="shared" si="27"/>
        <v>0</v>
      </c>
      <c r="AU59" s="11">
        <f t="shared" si="28"/>
        <v>0</v>
      </c>
      <c r="AV59" s="6"/>
      <c r="AW59" s="6"/>
      <c r="AX59" s="6"/>
      <c r="AZ59" t="str">
        <f t="shared" si="29"/>
        <v>{"group":"A",</v>
      </c>
      <c r="BA59" t="str">
        <f t="shared" si="3"/>
        <v>"lot":0,</v>
      </c>
      <c r="BB59" t="str">
        <f t="shared" si="30"/>
        <v>"name":"0",</v>
      </c>
      <c r="BC59" t="str">
        <f t="shared" si="31"/>
        <v>"team":"",</v>
      </c>
      <c r="BD59" t="str">
        <f t="shared" si="32"/>
        <v>"year":"0",</v>
      </c>
      <c r="BE59" t="str">
        <f t="shared" si="33"/>
        <v>"gender":"0",</v>
      </c>
      <c r="BF59" t="str">
        <f t="shared" si="34"/>
        <v>"gear":"0",</v>
      </c>
      <c r="BG59" t="str">
        <f t="shared" si="35"/>
        <v>"lifts":"0",</v>
      </c>
      <c r="BH59" t="str">
        <f t="shared" si="36"/>
        <v>"division":"--",</v>
      </c>
      <c r="BI59" t="str">
        <f t="shared" si="37"/>
        <v>"wc":"0",</v>
      </c>
      <c r="BJ59" t="str">
        <f t="shared" si="38"/>
        <v>"bw":"",</v>
      </c>
      <c r="BK59" t="str">
        <f t="shared" si="39"/>
        <v>"pb":[0,0,0,0],</v>
      </c>
      <c r="BL59" t="str">
        <f t="shared" si="10"/>
        <v>"idx":"16",</v>
      </c>
      <c r="BM59" t="str">
        <f t="shared" si="11"/>
        <v>"sr":"0",</v>
      </c>
      <c r="BN59" t="str">
        <f t="shared" si="12"/>
        <v>"br":"0",</v>
      </c>
      <c r="BO59" t="str">
        <f t="shared" si="13"/>
        <v>"row":0,</v>
      </c>
      <c r="BP59" t="s">
        <v>55</v>
      </c>
      <c r="BQ59" t="str">
        <f t="shared" si="14"/>
        <v>"sq":{"a1":0,"a2":"","a3":"","s1":0,"s2":0,"s3":0},"bp":{"a1":0,"a2":"","a3":"","s1":0,"s2":0,"s3":0},"dl":{"a1":0,"a2":"","a3":"","s1":0,"s2":0,"s3":0},"sortOrder":0,"act":{}}</v>
      </c>
      <c r="BR59" t="str">
        <f t="shared" si="40"/>
        <v>{"group":"A","lot":0,"name":"0","team":"","year":"0","gender":"0","gear":"0","lifts":"0","division":"--","wc":"0","bw":"","pb":[0,0,0,0],"idx":"16","sr":"0","br":"0","row":0,"sq":{"a1":0,"a2":"","a3":"","s1":0,"s2":0,"s3":0},"bp":{"a1":0,"a2":"","a3":"","s1":0,"s2":0,"s3":0},"dl":{"a1":0,"a2":"","a3":"","s1":0,"s2":0,"s3":0},"sortOrder":0,"act":{}}</v>
      </c>
    </row>
    <row r="60" spans="5:70" x14ac:dyDescent="0.25">
      <c r="E60" s="107"/>
      <c r="F60" s="108"/>
      <c r="G60" s="108"/>
      <c r="H60" s="108"/>
      <c r="I60" s="108"/>
      <c r="J60" s="108"/>
      <c r="K60" s="108"/>
      <c r="L60" s="109"/>
      <c r="M60" s="110"/>
      <c r="N60" s="109"/>
      <c r="O60" s="148">
        <f t="shared" ca="1" si="41"/>
        <v>2023</v>
      </c>
      <c r="P60" s="108"/>
      <c r="Q60" s="108"/>
      <c r="R60" s="108"/>
      <c r="S60" s="108"/>
      <c r="T60" s="108"/>
      <c r="U60" s="108"/>
      <c r="V60" s="108"/>
      <c r="W60" s="108"/>
      <c r="X60" s="108"/>
      <c r="Y60" s="111"/>
      <c r="Z60" s="112"/>
      <c r="AA60" s="112"/>
      <c r="AB60" s="113"/>
      <c r="AE60" s="15" t="str">
        <f t="shared" si="42"/>
        <v>A</v>
      </c>
      <c r="AF60" s="8">
        <f t="shared" si="1"/>
        <v>0</v>
      </c>
      <c r="AG60" s="9">
        <f t="shared" si="16"/>
        <v>0</v>
      </c>
      <c r="AH60" s="9" t="str">
        <f t="shared" si="17"/>
        <v/>
      </c>
      <c r="AI60" s="8">
        <f t="shared" si="2"/>
        <v>0</v>
      </c>
      <c r="AJ60" s="45">
        <f t="shared" si="18"/>
        <v>0</v>
      </c>
      <c r="AK60" s="45">
        <f t="shared" si="19"/>
        <v>0</v>
      </c>
      <c r="AL60" s="45">
        <f t="shared" si="20"/>
        <v>0</v>
      </c>
      <c r="AM60" s="8" t="str">
        <f t="shared" si="21"/>
        <v>--</v>
      </c>
      <c r="AN60" s="10">
        <f t="shared" si="22"/>
        <v>0</v>
      </c>
      <c r="AO60" s="10">
        <f t="shared" si="23"/>
        <v>0</v>
      </c>
      <c r="AP60" s="10">
        <f t="shared" si="24"/>
        <v>0</v>
      </c>
      <c r="AQ60" s="10">
        <f t="shared" si="25"/>
        <v>0</v>
      </c>
      <c r="AR60" s="10">
        <f t="shared" si="26"/>
        <v>0</v>
      </c>
      <c r="AS60" s="8">
        <v>17</v>
      </c>
      <c r="AT60" s="9">
        <f t="shared" si="27"/>
        <v>0</v>
      </c>
      <c r="AU60" s="11">
        <f t="shared" si="28"/>
        <v>0</v>
      </c>
      <c r="AV60" s="6"/>
      <c r="AW60" s="6"/>
      <c r="AX60" s="6"/>
      <c r="AZ60" t="str">
        <f t="shared" si="29"/>
        <v>{"group":"A",</v>
      </c>
      <c r="BA60" t="str">
        <f t="shared" si="3"/>
        <v>"lot":0,</v>
      </c>
      <c r="BB60" t="str">
        <f t="shared" si="30"/>
        <v>"name":"0",</v>
      </c>
      <c r="BC60" t="str">
        <f t="shared" si="31"/>
        <v>"team":"",</v>
      </c>
      <c r="BD60" t="str">
        <f t="shared" si="32"/>
        <v>"year":"0",</v>
      </c>
      <c r="BE60" t="str">
        <f t="shared" si="33"/>
        <v>"gender":"0",</v>
      </c>
      <c r="BF60" t="str">
        <f t="shared" si="34"/>
        <v>"gear":"0",</v>
      </c>
      <c r="BG60" t="str">
        <f t="shared" si="35"/>
        <v>"lifts":"0",</v>
      </c>
      <c r="BH60" t="str">
        <f t="shared" si="36"/>
        <v>"division":"--",</v>
      </c>
      <c r="BI60" t="str">
        <f t="shared" si="37"/>
        <v>"wc":"0",</v>
      </c>
      <c r="BJ60" t="str">
        <f t="shared" si="38"/>
        <v>"bw":"",</v>
      </c>
      <c r="BK60" t="str">
        <f t="shared" si="39"/>
        <v>"pb":[0,0,0,0],</v>
      </c>
      <c r="BL60" t="str">
        <f t="shared" si="10"/>
        <v>"idx":"17",</v>
      </c>
      <c r="BM60" t="str">
        <f t="shared" si="11"/>
        <v>"sr":"0",</v>
      </c>
      <c r="BN60" t="str">
        <f t="shared" si="12"/>
        <v>"br":"0",</v>
      </c>
      <c r="BO60" t="str">
        <f t="shared" si="13"/>
        <v>"row":0,</v>
      </c>
      <c r="BP60" t="s">
        <v>55</v>
      </c>
      <c r="BQ60" t="str">
        <f t="shared" si="14"/>
        <v>"sq":{"a1":0,"a2":"","a3":"","s1":0,"s2":0,"s3":0},"bp":{"a1":0,"a2":"","a3":"","s1":0,"s2":0,"s3":0},"dl":{"a1":0,"a2":"","a3":"","s1":0,"s2":0,"s3":0},"sortOrder":0,"act":{}}</v>
      </c>
      <c r="BR60" t="str">
        <f t="shared" si="40"/>
        <v>{"group":"A","lot":0,"name":"0","team":"","year":"0","gender":"0","gear":"0","lifts":"0","division":"--","wc":"0","bw":"","pb":[0,0,0,0],"idx":"17","sr":"0","br":"0","row":0,"sq":{"a1":0,"a2":"","a3":"","s1":0,"s2":0,"s3":0},"bp":{"a1":0,"a2":"","a3":"","s1":0,"s2":0,"s3":0},"dl":{"a1":0,"a2":"","a3":"","s1":0,"s2":0,"s3":0},"sortOrder":0,"act":{}}</v>
      </c>
    </row>
    <row r="61" spans="5:70" x14ac:dyDescent="0.25">
      <c r="E61" s="107"/>
      <c r="F61" s="108"/>
      <c r="G61" s="108"/>
      <c r="H61" s="108"/>
      <c r="I61" s="108"/>
      <c r="J61" s="108"/>
      <c r="K61" s="108"/>
      <c r="L61" s="109"/>
      <c r="M61" s="110"/>
      <c r="N61" s="109"/>
      <c r="O61" s="148">
        <f t="shared" ca="1" si="41"/>
        <v>2023</v>
      </c>
      <c r="P61" s="108"/>
      <c r="Q61" s="108"/>
      <c r="R61" s="108"/>
      <c r="S61" s="108"/>
      <c r="T61" s="108"/>
      <c r="U61" s="108"/>
      <c r="V61" s="108"/>
      <c r="W61" s="108"/>
      <c r="X61" s="108"/>
      <c r="Y61" s="111"/>
      <c r="Z61" s="112"/>
      <c r="AA61" s="112"/>
      <c r="AB61" s="113"/>
      <c r="AE61" s="15" t="str">
        <f t="shared" si="42"/>
        <v>A</v>
      </c>
      <c r="AF61" s="8">
        <f t="shared" si="1"/>
        <v>0</v>
      </c>
      <c r="AG61" s="9">
        <f t="shared" si="16"/>
        <v>0</v>
      </c>
      <c r="AH61" s="9" t="str">
        <f t="shared" si="17"/>
        <v/>
      </c>
      <c r="AI61" s="8">
        <f t="shared" si="2"/>
        <v>0</v>
      </c>
      <c r="AJ61" s="45">
        <f t="shared" si="18"/>
        <v>0</v>
      </c>
      <c r="AK61" s="45">
        <f t="shared" si="19"/>
        <v>0</v>
      </c>
      <c r="AL61" s="45">
        <f t="shared" si="20"/>
        <v>0</v>
      </c>
      <c r="AM61" s="8" t="str">
        <f t="shared" si="21"/>
        <v>--</v>
      </c>
      <c r="AN61" s="10">
        <f t="shared" si="22"/>
        <v>0</v>
      </c>
      <c r="AO61" s="10">
        <f t="shared" si="23"/>
        <v>0</v>
      </c>
      <c r="AP61" s="10">
        <f t="shared" si="24"/>
        <v>0</v>
      </c>
      <c r="AQ61" s="10">
        <f t="shared" si="25"/>
        <v>0</v>
      </c>
      <c r="AR61" s="10">
        <f t="shared" si="26"/>
        <v>0</v>
      </c>
      <c r="AS61" s="8">
        <v>18</v>
      </c>
      <c r="AT61" s="9">
        <f t="shared" si="27"/>
        <v>0</v>
      </c>
      <c r="AU61" s="11">
        <f t="shared" si="28"/>
        <v>0</v>
      </c>
      <c r="AV61" s="6"/>
      <c r="AW61" s="6"/>
      <c r="AX61" s="6"/>
      <c r="AZ61" t="str">
        <f t="shared" si="29"/>
        <v>{"group":"A",</v>
      </c>
      <c r="BA61" t="str">
        <f t="shared" si="3"/>
        <v>"lot":0,</v>
      </c>
      <c r="BB61" t="str">
        <f t="shared" si="30"/>
        <v>"name":"0",</v>
      </c>
      <c r="BC61" t="str">
        <f t="shared" si="31"/>
        <v>"team":"",</v>
      </c>
      <c r="BD61" t="str">
        <f t="shared" si="32"/>
        <v>"year":"0",</v>
      </c>
      <c r="BE61" t="str">
        <f t="shared" si="33"/>
        <v>"gender":"0",</v>
      </c>
      <c r="BF61" t="str">
        <f t="shared" si="34"/>
        <v>"gear":"0",</v>
      </c>
      <c r="BG61" t="str">
        <f t="shared" si="35"/>
        <v>"lifts":"0",</v>
      </c>
      <c r="BH61" t="str">
        <f t="shared" si="36"/>
        <v>"division":"--",</v>
      </c>
      <c r="BI61" t="str">
        <f t="shared" si="37"/>
        <v>"wc":"0",</v>
      </c>
      <c r="BJ61" t="str">
        <f t="shared" si="38"/>
        <v>"bw":"",</v>
      </c>
      <c r="BK61" t="str">
        <f t="shared" si="39"/>
        <v>"pb":[0,0,0,0],</v>
      </c>
      <c r="BL61" t="str">
        <f t="shared" si="10"/>
        <v>"idx":"18",</v>
      </c>
      <c r="BM61" t="str">
        <f t="shared" si="11"/>
        <v>"sr":"0",</v>
      </c>
      <c r="BN61" t="str">
        <f t="shared" si="12"/>
        <v>"br":"0",</v>
      </c>
      <c r="BO61" t="str">
        <f t="shared" si="13"/>
        <v>"row":0,</v>
      </c>
      <c r="BP61" t="s">
        <v>55</v>
      </c>
      <c r="BQ61" t="str">
        <f t="shared" si="14"/>
        <v>"sq":{"a1":0,"a2":"","a3":"","s1":0,"s2":0,"s3":0},"bp":{"a1":0,"a2":"","a3":"","s1":0,"s2":0,"s3":0},"dl":{"a1":0,"a2":"","a3":"","s1":0,"s2":0,"s3":0},"sortOrder":0,"act":{}}</v>
      </c>
      <c r="BR61" t="str">
        <f t="shared" si="40"/>
        <v>{"group":"A","lot":0,"name":"0","team":"","year":"0","gender":"0","gear":"0","lifts":"0","division":"--","wc":"0","bw":"","pb":[0,0,0,0],"idx":"18","sr":"0","br":"0","row":0,"sq":{"a1":0,"a2":"","a3":"","s1":0,"s2":0,"s3":0},"bp":{"a1":0,"a2":"","a3":"","s1":0,"s2":0,"s3":0},"dl":{"a1":0,"a2":"","a3":"","s1":0,"s2":0,"s3":0},"sortOrder":0,"act":{}}</v>
      </c>
    </row>
    <row r="62" spans="5:70" x14ac:dyDescent="0.25">
      <c r="E62" s="107"/>
      <c r="F62" s="108"/>
      <c r="G62" s="108"/>
      <c r="H62" s="108"/>
      <c r="I62" s="108"/>
      <c r="J62" s="108"/>
      <c r="K62" s="108"/>
      <c r="L62" s="109"/>
      <c r="M62" s="110"/>
      <c r="N62" s="109"/>
      <c r="O62" s="148">
        <f t="shared" ca="1" si="41"/>
        <v>2023</v>
      </c>
      <c r="P62" s="108"/>
      <c r="Q62" s="108"/>
      <c r="R62" s="108"/>
      <c r="S62" s="108"/>
      <c r="T62" s="108"/>
      <c r="U62" s="108"/>
      <c r="V62" s="108"/>
      <c r="W62" s="108"/>
      <c r="X62" s="108"/>
      <c r="Y62" s="111"/>
      <c r="Z62" s="112"/>
      <c r="AA62" s="112"/>
      <c r="AB62" s="113"/>
      <c r="AE62" s="15" t="str">
        <f t="shared" si="42"/>
        <v>A</v>
      </c>
      <c r="AF62" s="8">
        <f t="shared" si="1"/>
        <v>0</v>
      </c>
      <c r="AG62" s="9">
        <f t="shared" si="16"/>
        <v>0</v>
      </c>
      <c r="AH62" s="9" t="str">
        <f t="shared" si="17"/>
        <v/>
      </c>
      <c r="AI62" s="8">
        <f t="shared" si="2"/>
        <v>0</v>
      </c>
      <c r="AJ62" s="45">
        <f t="shared" si="18"/>
        <v>0</v>
      </c>
      <c r="AK62" s="45">
        <f t="shared" si="19"/>
        <v>0</v>
      </c>
      <c r="AL62" s="45">
        <f t="shared" si="20"/>
        <v>0</v>
      </c>
      <c r="AM62" s="8" t="str">
        <f t="shared" si="21"/>
        <v>--</v>
      </c>
      <c r="AN62" s="10">
        <f t="shared" si="22"/>
        <v>0</v>
      </c>
      <c r="AO62" s="10">
        <f t="shared" si="23"/>
        <v>0</v>
      </c>
      <c r="AP62" s="10">
        <f t="shared" si="24"/>
        <v>0</v>
      </c>
      <c r="AQ62" s="10">
        <f t="shared" si="25"/>
        <v>0</v>
      </c>
      <c r="AR62" s="10">
        <f t="shared" si="26"/>
        <v>0</v>
      </c>
      <c r="AS62" s="8">
        <v>19</v>
      </c>
      <c r="AT62" s="9">
        <f t="shared" si="27"/>
        <v>0</v>
      </c>
      <c r="AU62" s="11">
        <f t="shared" si="28"/>
        <v>0</v>
      </c>
      <c r="AV62" s="6"/>
      <c r="AW62" s="6"/>
      <c r="AX62" s="6"/>
      <c r="AZ62" t="str">
        <f t="shared" si="29"/>
        <v>{"group":"A",</v>
      </c>
      <c r="BA62" t="str">
        <f t="shared" si="3"/>
        <v>"lot":0,</v>
      </c>
      <c r="BB62" t="str">
        <f t="shared" si="30"/>
        <v>"name":"0",</v>
      </c>
      <c r="BC62" t="str">
        <f t="shared" si="31"/>
        <v>"team":"",</v>
      </c>
      <c r="BD62" t="str">
        <f t="shared" si="32"/>
        <v>"year":"0",</v>
      </c>
      <c r="BE62" t="str">
        <f t="shared" si="33"/>
        <v>"gender":"0",</v>
      </c>
      <c r="BF62" t="str">
        <f t="shared" si="34"/>
        <v>"gear":"0",</v>
      </c>
      <c r="BG62" t="str">
        <f t="shared" si="35"/>
        <v>"lifts":"0",</v>
      </c>
      <c r="BH62" t="str">
        <f t="shared" si="36"/>
        <v>"division":"--",</v>
      </c>
      <c r="BI62" t="str">
        <f t="shared" si="37"/>
        <v>"wc":"0",</v>
      </c>
      <c r="BJ62" t="str">
        <f t="shared" si="38"/>
        <v>"bw":"",</v>
      </c>
      <c r="BK62" t="str">
        <f t="shared" si="39"/>
        <v>"pb":[0,0,0,0],</v>
      </c>
      <c r="BL62" t="str">
        <f t="shared" si="10"/>
        <v>"idx":"19",</v>
      </c>
      <c r="BM62" t="str">
        <f t="shared" si="11"/>
        <v>"sr":"0",</v>
      </c>
      <c r="BN62" t="str">
        <f t="shared" si="12"/>
        <v>"br":"0",</v>
      </c>
      <c r="BO62" t="str">
        <f t="shared" si="13"/>
        <v>"row":0,</v>
      </c>
      <c r="BP62" t="s">
        <v>55</v>
      </c>
      <c r="BQ62" t="str">
        <f t="shared" si="14"/>
        <v>"sq":{"a1":0,"a2":"","a3":"","s1":0,"s2":0,"s3":0},"bp":{"a1":0,"a2":"","a3":"","s1":0,"s2":0,"s3":0},"dl":{"a1":0,"a2":"","a3":"","s1":0,"s2":0,"s3":0},"sortOrder":0,"act":{}}</v>
      </c>
      <c r="BR62" t="str">
        <f t="shared" si="40"/>
        <v>{"group":"A","lot":0,"name":"0","team":"","year":"0","gender":"0","gear":"0","lifts":"0","division":"--","wc":"0","bw":"","pb":[0,0,0,0],"idx":"19","sr":"0","br":"0","row":0,"sq":{"a1":0,"a2":"","a3":"","s1":0,"s2":0,"s3":0},"bp":{"a1":0,"a2":"","a3":"","s1":0,"s2":0,"s3":0},"dl":{"a1":0,"a2":"","a3":"","s1":0,"s2":0,"s3":0},"sortOrder":0,"act":{}}</v>
      </c>
    </row>
    <row r="63" spans="5:70" x14ac:dyDescent="0.25">
      <c r="E63" s="107"/>
      <c r="F63" s="108"/>
      <c r="G63" s="108"/>
      <c r="H63" s="108"/>
      <c r="I63" s="108"/>
      <c r="J63" s="108"/>
      <c r="K63" s="108"/>
      <c r="L63" s="109"/>
      <c r="M63" s="110"/>
      <c r="N63" s="109"/>
      <c r="O63" s="148">
        <f t="shared" ca="1" si="41"/>
        <v>2023</v>
      </c>
      <c r="P63" s="108"/>
      <c r="Q63" s="108"/>
      <c r="R63" s="108"/>
      <c r="S63" s="108"/>
      <c r="T63" s="108"/>
      <c r="U63" s="108"/>
      <c r="V63" s="108"/>
      <c r="W63" s="108"/>
      <c r="X63" s="108"/>
      <c r="Y63" s="111"/>
      <c r="Z63" s="112"/>
      <c r="AA63" s="112"/>
      <c r="AB63" s="113"/>
      <c r="AE63" s="15" t="str">
        <f t="shared" si="42"/>
        <v>A</v>
      </c>
      <c r="AF63" s="8">
        <f t="shared" si="1"/>
        <v>0</v>
      </c>
      <c r="AG63" s="9">
        <f t="shared" si="16"/>
        <v>0</v>
      </c>
      <c r="AH63" s="9" t="str">
        <f t="shared" si="17"/>
        <v/>
      </c>
      <c r="AI63" s="8">
        <f t="shared" si="2"/>
        <v>0</v>
      </c>
      <c r="AJ63" s="45">
        <f t="shared" si="18"/>
        <v>0</v>
      </c>
      <c r="AK63" s="45">
        <f t="shared" si="19"/>
        <v>0</v>
      </c>
      <c r="AL63" s="45">
        <f t="shared" si="20"/>
        <v>0</v>
      </c>
      <c r="AM63" s="8" t="str">
        <f t="shared" si="21"/>
        <v>--</v>
      </c>
      <c r="AN63" s="10">
        <f t="shared" si="22"/>
        <v>0</v>
      </c>
      <c r="AO63" s="10">
        <f t="shared" si="23"/>
        <v>0</v>
      </c>
      <c r="AP63" s="10">
        <f t="shared" si="24"/>
        <v>0</v>
      </c>
      <c r="AQ63" s="10">
        <f t="shared" si="25"/>
        <v>0</v>
      </c>
      <c r="AR63" s="10">
        <f t="shared" si="26"/>
        <v>0</v>
      </c>
      <c r="AS63" s="8">
        <v>20</v>
      </c>
      <c r="AT63" s="9">
        <f t="shared" si="27"/>
        <v>0</v>
      </c>
      <c r="AU63" s="11">
        <f t="shared" si="28"/>
        <v>0</v>
      </c>
      <c r="AV63" s="6"/>
      <c r="AW63" s="6"/>
      <c r="AX63" s="6"/>
      <c r="AZ63" t="str">
        <f t="shared" si="29"/>
        <v>{"group":"A",</v>
      </c>
      <c r="BA63" t="str">
        <f t="shared" si="3"/>
        <v>"lot":0,</v>
      </c>
      <c r="BB63" t="str">
        <f t="shared" si="30"/>
        <v>"name":"0",</v>
      </c>
      <c r="BC63" t="str">
        <f t="shared" si="31"/>
        <v>"team":"",</v>
      </c>
      <c r="BD63" t="str">
        <f t="shared" si="32"/>
        <v>"year":"0",</v>
      </c>
      <c r="BE63" t="str">
        <f t="shared" si="33"/>
        <v>"gender":"0",</v>
      </c>
      <c r="BF63" t="str">
        <f t="shared" si="34"/>
        <v>"gear":"0",</v>
      </c>
      <c r="BG63" t="str">
        <f t="shared" si="35"/>
        <v>"lifts":"0",</v>
      </c>
      <c r="BH63" t="str">
        <f t="shared" si="36"/>
        <v>"division":"--",</v>
      </c>
      <c r="BI63" t="str">
        <f t="shared" si="37"/>
        <v>"wc":"0",</v>
      </c>
      <c r="BJ63" t="str">
        <f t="shared" si="38"/>
        <v>"bw":"",</v>
      </c>
      <c r="BK63" t="str">
        <f t="shared" si="39"/>
        <v>"pb":[0,0,0,0],</v>
      </c>
      <c r="BL63" t="str">
        <f t="shared" si="10"/>
        <v>"idx":"20",</v>
      </c>
      <c r="BM63" t="str">
        <f t="shared" si="11"/>
        <v>"sr":"0",</v>
      </c>
      <c r="BN63" t="str">
        <f t="shared" si="12"/>
        <v>"br":"0",</v>
      </c>
      <c r="BO63" t="str">
        <f t="shared" si="13"/>
        <v>"row":0,</v>
      </c>
      <c r="BP63" t="s">
        <v>55</v>
      </c>
      <c r="BQ63" t="str">
        <f t="shared" si="14"/>
        <v>"sq":{"a1":0,"a2":"","a3":"","s1":0,"s2":0,"s3":0},"bp":{"a1":0,"a2":"","a3":"","s1":0,"s2":0,"s3":0},"dl":{"a1":0,"a2":"","a3":"","s1":0,"s2":0,"s3":0},"sortOrder":0,"act":{}}</v>
      </c>
      <c r="BR63" t="str">
        <f t="shared" si="40"/>
        <v>{"group":"A","lot":0,"name":"0","team":"","year":"0","gender":"0","gear":"0","lifts":"0","division":"--","wc":"0","bw":"","pb":[0,0,0,0],"idx":"20","sr":"0","br":"0","row":0,"sq":{"a1":0,"a2":"","a3":"","s1":0,"s2":0,"s3":0},"bp":{"a1":0,"a2":"","a3":"","s1":0,"s2":0,"s3":0},"dl":{"a1":0,"a2":"","a3":"","s1":0,"s2":0,"s3":0},"sortOrder":0,"act":{}}</v>
      </c>
    </row>
    <row r="64" spans="5:70" x14ac:dyDescent="0.25">
      <c r="E64" s="107"/>
      <c r="F64" s="108"/>
      <c r="G64" s="108"/>
      <c r="H64" s="108"/>
      <c r="I64" s="108"/>
      <c r="J64" s="108"/>
      <c r="K64" s="108"/>
      <c r="L64" s="109"/>
      <c r="M64" s="110"/>
      <c r="N64" s="109"/>
      <c r="O64" s="148">
        <f t="shared" ca="1" si="41"/>
        <v>2023</v>
      </c>
      <c r="P64" s="108"/>
      <c r="Q64" s="108"/>
      <c r="R64" s="108"/>
      <c r="S64" s="108"/>
      <c r="T64" s="108"/>
      <c r="U64" s="108"/>
      <c r="V64" s="108"/>
      <c r="W64" s="108"/>
      <c r="X64" s="108"/>
      <c r="Y64" s="111"/>
      <c r="Z64" s="112"/>
      <c r="AA64" s="112"/>
      <c r="AB64" s="113"/>
      <c r="AE64" s="15" t="str">
        <f t="shared" si="42"/>
        <v>A</v>
      </c>
      <c r="AF64" s="8">
        <f t="shared" si="1"/>
        <v>0</v>
      </c>
      <c r="AG64" s="9">
        <f t="shared" si="16"/>
        <v>0</v>
      </c>
      <c r="AH64" s="9" t="str">
        <f t="shared" si="17"/>
        <v/>
      </c>
      <c r="AI64" s="8">
        <f t="shared" si="2"/>
        <v>0</v>
      </c>
      <c r="AJ64" s="45">
        <f t="shared" si="18"/>
        <v>0</v>
      </c>
      <c r="AK64" s="45">
        <f t="shared" si="19"/>
        <v>0</v>
      </c>
      <c r="AL64" s="45">
        <f t="shared" si="20"/>
        <v>0</v>
      </c>
      <c r="AM64" s="8" t="str">
        <f t="shared" si="21"/>
        <v>--</v>
      </c>
      <c r="AN64" s="10">
        <f t="shared" si="22"/>
        <v>0</v>
      </c>
      <c r="AO64" s="10">
        <f t="shared" si="23"/>
        <v>0</v>
      </c>
      <c r="AP64" s="10">
        <f t="shared" si="24"/>
        <v>0</v>
      </c>
      <c r="AQ64" s="10">
        <f t="shared" si="25"/>
        <v>0</v>
      </c>
      <c r="AR64" s="10">
        <f t="shared" si="26"/>
        <v>0</v>
      </c>
      <c r="AS64" s="8">
        <v>21</v>
      </c>
      <c r="AT64" s="9">
        <f t="shared" si="27"/>
        <v>0</v>
      </c>
      <c r="AU64" s="11">
        <f t="shared" si="28"/>
        <v>0</v>
      </c>
      <c r="AV64" s="6"/>
      <c r="AW64" s="6"/>
      <c r="AX64" s="6"/>
      <c r="AZ64" t="str">
        <f t="shared" si="29"/>
        <v>{"group":"A",</v>
      </c>
      <c r="BA64" t="str">
        <f t="shared" si="3"/>
        <v>"lot":0,</v>
      </c>
      <c r="BB64" t="str">
        <f t="shared" si="30"/>
        <v>"name":"0",</v>
      </c>
      <c r="BC64" t="str">
        <f t="shared" si="31"/>
        <v>"team":"",</v>
      </c>
      <c r="BD64" t="str">
        <f t="shared" si="32"/>
        <v>"year":"0",</v>
      </c>
      <c r="BE64" t="str">
        <f t="shared" si="33"/>
        <v>"gender":"0",</v>
      </c>
      <c r="BF64" t="str">
        <f t="shared" si="34"/>
        <v>"gear":"0",</v>
      </c>
      <c r="BG64" t="str">
        <f t="shared" si="35"/>
        <v>"lifts":"0",</v>
      </c>
      <c r="BH64" t="str">
        <f t="shared" si="36"/>
        <v>"division":"--",</v>
      </c>
      <c r="BI64" t="str">
        <f t="shared" si="37"/>
        <v>"wc":"0",</v>
      </c>
      <c r="BJ64" t="str">
        <f t="shared" si="38"/>
        <v>"bw":"",</v>
      </c>
      <c r="BK64" t="str">
        <f t="shared" si="39"/>
        <v>"pb":[0,0,0,0],</v>
      </c>
      <c r="BL64" t="str">
        <f t="shared" si="10"/>
        <v>"idx":"21",</v>
      </c>
      <c r="BM64" t="str">
        <f t="shared" si="11"/>
        <v>"sr":"0",</v>
      </c>
      <c r="BN64" t="str">
        <f t="shared" si="12"/>
        <v>"br":"0",</v>
      </c>
      <c r="BO64" t="str">
        <f t="shared" si="13"/>
        <v>"row":0,</v>
      </c>
      <c r="BP64" t="s">
        <v>55</v>
      </c>
      <c r="BQ64" t="str">
        <f t="shared" si="14"/>
        <v>"sq":{"a1":0,"a2":"","a3":"","s1":0,"s2":0,"s3":0},"bp":{"a1":0,"a2":"","a3":"","s1":0,"s2":0,"s3":0},"dl":{"a1":0,"a2":"","a3":"","s1":0,"s2":0,"s3":0},"sortOrder":0,"act":{}}</v>
      </c>
      <c r="BR64" t="str">
        <f t="shared" si="40"/>
        <v>{"group":"A","lot":0,"name":"0","team":"","year":"0","gender":"0","gear":"0","lifts":"0","division":"--","wc":"0","bw":"","pb":[0,0,0,0],"idx":"21","sr":"0","br":"0","row":0,"sq":{"a1":0,"a2":"","a3":"","s1":0,"s2":0,"s3":0},"bp":{"a1":0,"a2":"","a3":"","s1":0,"s2":0,"s3":0},"dl":{"a1":0,"a2":"","a3":"","s1":0,"s2":0,"s3":0},"sortOrder":0,"act":{}}</v>
      </c>
    </row>
    <row r="65" spans="5:70" x14ac:dyDescent="0.25">
      <c r="E65" s="107"/>
      <c r="F65" s="108"/>
      <c r="G65" s="108"/>
      <c r="H65" s="108"/>
      <c r="I65" s="108"/>
      <c r="J65" s="108"/>
      <c r="K65" s="108"/>
      <c r="L65" s="109"/>
      <c r="M65" s="110"/>
      <c r="N65" s="109"/>
      <c r="O65" s="148">
        <f t="shared" ca="1" si="41"/>
        <v>2023</v>
      </c>
      <c r="P65" s="108"/>
      <c r="Q65" s="108"/>
      <c r="R65" s="108"/>
      <c r="S65" s="108"/>
      <c r="T65" s="108"/>
      <c r="U65" s="108"/>
      <c r="V65" s="108"/>
      <c r="W65" s="108"/>
      <c r="X65" s="108"/>
      <c r="Y65" s="111"/>
      <c r="Z65" s="112"/>
      <c r="AA65" s="112"/>
      <c r="AB65" s="113"/>
      <c r="AE65" s="15" t="str">
        <f t="shared" si="42"/>
        <v>A</v>
      </c>
      <c r="AF65" s="8">
        <f t="shared" si="1"/>
        <v>0</v>
      </c>
      <c r="AG65" s="9">
        <f t="shared" si="16"/>
        <v>0</v>
      </c>
      <c r="AH65" s="9" t="str">
        <f t="shared" si="17"/>
        <v/>
      </c>
      <c r="AI65" s="8">
        <f t="shared" si="2"/>
        <v>0</v>
      </c>
      <c r="AJ65" s="45">
        <f t="shared" si="18"/>
        <v>0</v>
      </c>
      <c r="AK65" s="45">
        <f t="shared" si="19"/>
        <v>0</v>
      </c>
      <c r="AL65" s="45">
        <f t="shared" si="20"/>
        <v>0</v>
      </c>
      <c r="AM65" s="8" t="str">
        <f t="shared" si="21"/>
        <v>--</v>
      </c>
      <c r="AN65" s="10">
        <f t="shared" si="22"/>
        <v>0</v>
      </c>
      <c r="AO65" s="10">
        <f t="shared" si="23"/>
        <v>0</v>
      </c>
      <c r="AP65" s="10">
        <f t="shared" si="24"/>
        <v>0</v>
      </c>
      <c r="AQ65" s="10">
        <f t="shared" si="25"/>
        <v>0</v>
      </c>
      <c r="AR65" s="10">
        <f t="shared" si="26"/>
        <v>0</v>
      </c>
      <c r="AS65" s="8">
        <v>22</v>
      </c>
      <c r="AT65" s="9">
        <f t="shared" si="27"/>
        <v>0</v>
      </c>
      <c r="AU65" s="11">
        <f t="shared" si="28"/>
        <v>0</v>
      </c>
      <c r="AV65" s="6"/>
      <c r="AW65" s="6"/>
      <c r="AX65" s="6"/>
      <c r="AZ65" t="str">
        <f t="shared" si="29"/>
        <v>{"group":"A",</v>
      </c>
      <c r="BA65" t="str">
        <f t="shared" si="3"/>
        <v>"lot":0,</v>
      </c>
      <c r="BB65" t="str">
        <f t="shared" si="30"/>
        <v>"name":"0",</v>
      </c>
      <c r="BC65" t="str">
        <f t="shared" si="31"/>
        <v>"team":"",</v>
      </c>
      <c r="BD65" t="str">
        <f t="shared" si="32"/>
        <v>"year":"0",</v>
      </c>
      <c r="BE65" t="str">
        <f t="shared" si="33"/>
        <v>"gender":"0",</v>
      </c>
      <c r="BF65" t="str">
        <f t="shared" si="34"/>
        <v>"gear":"0",</v>
      </c>
      <c r="BG65" t="str">
        <f t="shared" si="35"/>
        <v>"lifts":"0",</v>
      </c>
      <c r="BH65" t="str">
        <f t="shared" si="36"/>
        <v>"division":"--",</v>
      </c>
      <c r="BI65" t="str">
        <f t="shared" si="37"/>
        <v>"wc":"0",</v>
      </c>
      <c r="BJ65" t="str">
        <f t="shared" si="38"/>
        <v>"bw":"",</v>
      </c>
      <c r="BK65" t="str">
        <f t="shared" si="39"/>
        <v>"pb":[0,0,0,0],</v>
      </c>
      <c r="BL65" t="str">
        <f t="shared" si="10"/>
        <v>"idx":"22",</v>
      </c>
      <c r="BM65" t="str">
        <f t="shared" si="11"/>
        <v>"sr":"0",</v>
      </c>
      <c r="BN65" t="str">
        <f t="shared" si="12"/>
        <v>"br":"0",</v>
      </c>
      <c r="BO65" t="str">
        <f t="shared" si="13"/>
        <v>"row":0,</v>
      </c>
      <c r="BP65" t="s">
        <v>55</v>
      </c>
      <c r="BQ65" t="str">
        <f t="shared" si="14"/>
        <v>"sq":{"a1":0,"a2":"","a3":"","s1":0,"s2":0,"s3":0},"bp":{"a1":0,"a2":"","a3":"","s1":0,"s2":0,"s3":0},"dl":{"a1":0,"a2":"","a3":"","s1":0,"s2":0,"s3":0},"sortOrder":0,"act":{}}</v>
      </c>
      <c r="BR65" t="str">
        <f t="shared" si="40"/>
        <v>{"group":"A","lot":0,"name":"0","team":"","year":"0","gender":"0","gear":"0","lifts":"0","division":"--","wc":"0","bw":"","pb":[0,0,0,0],"idx":"22","sr":"0","br":"0","row":0,"sq":{"a1":0,"a2":"","a3":"","s1":0,"s2":0,"s3":0},"bp":{"a1":0,"a2":"","a3":"","s1":0,"s2":0,"s3":0},"dl":{"a1":0,"a2":"","a3":"","s1":0,"s2":0,"s3":0},"sortOrder":0,"act":{}}</v>
      </c>
    </row>
    <row r="66" spans="5:70" x14ac:dyDescent="0.25">
      <c r="E66" s="107"/>
      <c r="F66" s="108"/>
      <c r="G66" s="108"/>
      <c r="H66" s="108"/>
      <c r="I66" s="108"/>
      <c r="J66" s="108"/>
      <c r="K66" s="108"/>
      <c r="L66" s="109"/>
      <c r="M66" s="110"/>
      <c r="N66" s="109"/>
      <c r="O66" s="148">
        <f t="shared" ca="1" si="41"/>
        <v>2023</v>
      </c>
      <c r="P66" s="108"/>
      <c r="Q66" s="108"/>
      <c r="R66" s="108"/>
      <c r="S66" s="108"/>
      <c r="T66" s="108"/>
      <c r="U66" s="108"/>
      <c r="V66" s="108"/>
      <c r="W66" s="108"/>
      <c r="X66" s="108"/>
      <c r="Y66" s="111"/>
      <c r="Z66" s="112"/>
      <c r="AA66" s="112"/>
      <c r="AB66" s="113"/>
      <c r="AE66" s="15" t="str">
        <f t="shared" si="42"/>
        <v>A</v>
      </c>
      <c r="AF66" s="8">
        <f t="shared" si="1"/>
        <v>0</v>
      </c>
      <c r="AG66" s="9">
        <f t="shared" si="16"/>
        <v>0</v>
      </c>
      <c r="AH66" s="9" t="str">
        <f t="shared" si="17"/>
        <v/>
      </c>
      <c r="AI66" s="8">
        <f t="shared" si="2"/>
        <v>0</v>
      </c>
      <c r="AJ66" s="45">
        <f t="shared" si="18"/>
        <v>0</v>
      </c>
      <c r="AK66" s="45">
        <f t="shared" si="19"/>
        <v>0</v>
      </c>
      <c r="AL66" s="45">
        <f t="shared" si="20"/>
        <v>0</v>
      </c>
      <c r="AM66" s="8" t="str">
        <f t="shared" si="21"/>
        <v>--</v>
      </c>
      <c r="AN66" s="10">
        <f t="shared" si="22"/>
        <v>0</v>
      </c>
      <c r="AO66" s="10">
        <f t="shared" si="23"/>
        <v>0</v>
      </c>
      <c r="AP66" s="10">
        <f t="shared" si="24"/>
        <v>0</v>
      </c>
      <c r="AQ66" s="10">
        <f t="shared" si="25"/>
        <v>0</v>
      </c>
      <c r="AR66" s="10">
        <f t="shared" si="26"/>
        <v>0</v>
      </c>
      <c r="AS66" s="8">
        <v>23</v>
      </c>
      <c r="AT66" s="9">
        <f t="shared" si="27"/>
        <v>0</v>
      </c>
      <c r="AU66" s="11">
        <f t="shared" si="28"/>
        <v>0</v>
      </c>
      <c r="AV66" s="6"/>
      <c r="AW66" s="6"/>
      <c r="AX66" s="6"/>
      <c r="AZ66" t="str">
        <f t="shared" si="29"/>
        <v>{"group":"A",</v>
      </c>
      <c r="BA66" t="str">
        <f t="shared" si="3"/>
        <v>"lot":0,</v>
      </c>
      <c r="BB66" t="str">
        <f t="shared" si="30"/>
        <v>"name":"0",</v>
      </c>
      <c r="BC66" t="str">
        <f t="shared" si="31"/>
        <v>"team":"",</v>
      </c>
      <c r="BD66" t="str">
        <f t="shared" si="32"/>
        <v>"year":"0",</v>
      </c>
      <c r="BE66" t="str">
        <f t="shared" si="33"/>
        <v>"gender":"0",</v>
      </c>
      <c r="BF66" t="str">
        <f t="shared" si="34"/>
        <v>"gear":"0",</v>
      </c>
      <c r="BG66" t="str">
        <f t="shared" si="35"/>
        <v>"lifts":"0",</v>
      </c>
      <c r="BH66" t="str">
        <f t="shared" si="36"/>
        <v>"division":"--",</v>
      </c>
      <c r="BI66" t="str">
        <f t="shared" si="37"/>
        <v>"wc":"0",</v>
      </c>
      <c r="BJ66" t="str">
        <f t="shared" si="38"/>
        <v>"bw":"",</v>
      </c>
      <c r="BK66" t="str">
        <f t="shared" si="39"/>
        <v>"pb":[0,0,0,0],</v>
      </c>
      <c r="BL66" t="str">
        <f t="shared" si="10"/>
        <v>"idx":"23",</v>
      </c>
      <c r="BM66" t="str">
        <f t="shared" si="11"/>
        <v>"sr":"0",</v>
      </c>
      <c r="BN66" t="str">
        <f t="shared" si="12"/>
        <v>"br":"0",</v>
      </c>
      <c r="BO66" t="str">
        <f t="shared" si="13"/>
        <v>"row":0,</v>
      </c>
      <c r="BP66" t="s">
        <v>55</v>
      </c>
      <c r="BQ66" t="str">
        <f t="shared" si="14"/>
        <v>"sq":{"a1":0,"a2":"","a3":"","s1":0,"s2":0,"s3":0},"bp":{"a1":0,"a2":"","a3":"","s1":0,"s2":0,"s3":0},"dl":{"a1":0,"a2":"","a3":"","s1":0,"s2":0,"s3":0},"sortOrder":0,"act":{}}</v>
      </c>
      <c r="BR66" t="str">
        <f t="shared" si="40"/>
        <v>{"group":"A","lot":0,"name":"0","team":"","year":"0","gender":"0","gear":"0","lifts":"0","division":"--","wc":"0","bw":"","pb":[0,0,0,0],"idx":"23","sr":"0","br":"0","row":0,"sq":{"a1":0,"a2":"","a3":"","s1":0,"s2":0,"s3":0},"bp":{"a1":0,"a2":"","a3":"","s1":0,"s2":0,"s3":0},"dl":{"a1":0,"a2":"","a3":"","s1":0,"s2":0,"s3":0},"sortOrder":0,"act":{}}</v>
      </c>
    </row>
    <row r="67" spans="5:70" x14ac:dyDescent="0.25">
      <c r="E67" s="107"/>
      <c r="F67" s="108"/>
      <c r="G67" s="108"/>
      <c r="H67" s="108"/>
      <c r="I67" s="108"/>
      <c r="J67" s="108"/>
      <c r="K67" s="108"/>
      <c r="L67" s="109"/>
      <c r="M67" s="110"/>
      <c r="N67" s="109"/>
      <c r="O67" s="148">
        <f t="shared" ca="1" si="41"/>
        <v>2023</v>
      </c>
      <c r="P67" s="108"/>
      <c r="Q67" s="108"/>
      <c r="R67" s="108"/>
      <c r="S67" s="108"/>
      <c r="T67" s="108"/>
      <c r="U67" s="108"/>
      <c r="V67" s="108"/>
      <c r="W67" s="108"/>
      <c r="X67" s="108"/>
      <c r="Y67" s="111"/>
      <c r="Z67" s="112"/>
      <c r="AA67" s="112"/>
      <c r="AB67" s="113"/>
      <c r="AE67" s="15" t="str">
        <f t="shared" si="42"/>
        <v>A</v>
      </c>
      <c r="AF67" s="8">
        <f t="shared" si="1"/>
        <v>0</v>
      </c>
      <c r="AG67" s="9">
        <f t="shared" si="16"/>
        <v>0</v>
      </c>
      <c r="AH67" s="9" t="str">
        <f t="shared" si="17"/>
        <v/>
      </c>
      <c r="AI67" s="8">
        <f t="shared" si="2"/>
        <v>0</v>
      </c>
      <c r="AJ67" s="45">
        <f t="shared" si="18"/>
        <v>0</v>
      </c>
      <c r="AK67" s="45">
        <f t="shared" si="19"/>
        <v>0</v>
      </c>
      <c r="AL67" s="45">
        <f t="shared" si="20"/>
        <v>0</v>
      </c>
      <c r="AM67" s="8" t="str">
        <f t="shared" si="21"/>
        <v>--</v>
      </c>
      <c r="AN67" s="10">
        <f t="shared" si="22"/>
        <v>0</v>
      </c>
      <c r="AO67" s="10">
        <f t="shared" si="23"/>
        <v>0</v>
      </c>
      <c r="AP67" s="10">
        <f t="shared" si="24"/>
        <v>0</v>
      </c>
      <c r="AQ67" s="10">
        <f t="shared" si="25"/>
        <v>0</v>
      </c>
      <c r="AR67" s="10">
        <f t="shared" si="26"/>
        <v>0</v>
      </c>
      <c r="AS67" s="8">
        <v>24</v>
      </c>
      <c r="AT67" s="9">
        <f t="shared" si="27"/>
        <v>0</v>
      </c>
      <c r="AU67" s="11">
        <f t="shared" si="28"/>
        <v>0</v>
      </c>
      <c r="AV67" s="6"/>
      <c r="AW67" s="6"/>
      <c r="AX67" s="6"/>
      <c r="AZ67" t="str">
        <f t="shared" si="29"/>
        <v>{"group":"A",</v>
      </c>
      <c r="BA67" t="str">
        <f t="shared" si="3"/>
        <v>"lot":0,</v>
      </c>
      <c r="BB67" t="str">
        <f t="shared" si="30"/>
        <v>"name":"0",</v>
      </c>
      <c r="BC67" t="str">
        <f t="shared" si="31"/>
        <v>"team":"",</v>
      </c>
      <c r="BD67" t="str">
        <f t="shared" si="32"/>
        <v>"year":"0",</v>
      </c>
      <c r="BE67" t="str">
        <f t="shared" si="33"/>
        <v>"gender":"0",</v>
      </c>
      <c r="BF67" t="str">
        <f t="shared" si="34"/>
        <v>"gear":"0",</v>
      </c>
      <c r="BG67" t="str">
        <f t="shared" si="35"/>
        <v>"lifts":"0",</v>
      </c>
      <c r="BH67" t="str">
        <f t="shared" si="36"/>
        <v>"division":"--",</v>
      </c>
      <c r="BI67" t="str">
        <f t="shared" si="37"/>
        <v>"wc":"0",</v>
      </c>
      <c r="BJ67" t="str">
        <f t="shared" si="38"/>
        <v>"bw":"",</v>
      </c>
      <c r="BK67" t="str">
        <f t="shared" si="39"/>
        <v>"pb":[0,0,0,0],</v>
      </c>
      <c r="BL67" t="str">
        <f t="shared" si="10"/>
        <v>"idx":"24",</v>
      </c>
      <c r="BM67" t="str">
        <f t="shared" si="11"/>
        <v>"sr":"0",</v>
      </c>
      <c r="BN67" t="str">
        <f t="shared" si="12"/>
        <v>"br":"0",</v>
      </c>
      <c r="BO67" t="str">
        <f t="shared" si="13"/>
        <v>"row":0,</v>
      </c>
      <c r="BP67" t="s">
        <v>55</v>
      </c>
      <c r="BQ67" t="str">
        <f t="shared" si="14"/>
        <v>"sq":{"a1":0,"a2":"","a3":"","s1":0,"s2":0,"s3":0},"bp":{"a1":0,"a2":"","a3":"","s1":0,"s2":0,"s3":0},"dl":{"a1":0,"a2":"","a3":"","s1":0,"s2":0,"s3":0},"sortOrder":0,"act":{}}</v>
      </c>
      <c r="BR67" t="str">
        <f t="shared" si="40"/>
        <v>{"group":"A","lot":0,"name":"0","team":"","year":"0","gender":"0","gear":"0","lifts":"0","division":"--","wc":"0","bw":"","pb":[0,0,0,0],"idx":"24","sr":"0","br":"0","row":0,"sq":{"a1":0,"a2":"","a3":"","s1":0,"s2":0,"s3":0},"bp":{"a1":0,"a2":"","a3":"","s1":0,"s2":0,"s3":0},"dl":{"a1":0,"a2":"","a3":"","s1":0,"s2":0,"s3":0},"sortOrder":0,"act":{}}</v>
      </c>
    </row>
    <row r="68" spans="5:70" x14ac:dyDescent="0.25">
      <c r="E68" s="107"/>
      <c r="F68" s="108"/>
      <c r="G68" s="108"/>
      <c r="H68" s="108"/>
      <c r="I68" s="108"/>
      <c r="J68" s="108"/>
      <c r="K68" s="108"/>
      <c r="L68" s="109"/>
      <c r="M68" s="110"/>
      <c r="N68" s="109"/>
      <c r="O68" s="148">
        <f t="shared" ca="1" si="41"/>
        <v>2023</v>
      </c>
      <c r="P68" s="108"/>
      <c r="Q68" s="108"/>
      <c r="R68" s="108"/>
      <c r="S68" s="108"/>
      <c r="T68" s="108"/>
      <c r="U68" s="108"/>
      <c r="V68" s="108"/>
      <c r="W68" s="108"/>
      <c r="X68" s="108"/>
      <c r="Y68" s="111"/>
      <c r="Z68" s="112"/>
      <c r="AA68" s="112"/>
      <c r="AB68" s="113"/>
      <c r="AE68" s="15" t="str">
        <f t="shared" si="42"/>
        <v>A</v>
      </c>
      <c r="AF68" s="8">
        <f t="shared" ref="AF68:AF131" si="43">G68</f>
        <v>0</v>
      </c>
      <c r="AG68" s="9">
        <f t="shared" si="16"/>
        <v>0</v>
      </c>
      <c r="AH68" s="9" t="str">
        <f t="shared" si="17"/>
        <v/>
      </c>
      <c r="AI68" s="8">
        <f t="shared" ref="AI68:AI131" si="44">K68</f>
        <v>0</v>
      </c>
      <c r="AJ68" s="45">
        <f t="shared" si="18"/>
        <v>0</v>
      </c>
      <c r="AK68" s="45">
        <f t="shared" si="19"/>
        <v>0</v>
      </c>
      <c r="AL68" s="45">
        <f t="shared" si="20"/>
        <v>0</v>
      </c>
      <c r="AM68" s="8" t="str">
        <f t="shared" si="21"/>
        <v>--</v>
      </c>
      <c r="AN68" s="10">
        <f t="shared" si="22"/>
        <v>0</v>
      </c>
      <c r="AO68" s="10">
        <f t="shared" si="23"/>
        <v>0</v>
      </c>
      <c r="AP68" s="10">
        <f t="shared" si="24"/>
        <v>0</v>
      </c>
      <c r="AQ68" s="10">
        <f t="shared" si="25"/>
        <v>0</v>
      </c>
      <c r="AR68" s="10">
        <f t="shared" si="26"/>
        <v>0</v>
      </c>
      <c r="AS68" s="8">
        <v>25</v>
      </c>
      <c r="AT68" s="9">
        <f t="shared" si="27"/>
        <v>0</v>
      </c>
      <c r="AU68" s="11">
        <f t="shared" si="28"/>
        <v>0</v>
      </c>
      <c r="AV68" s="6"/>
      <c r="AW68" s="6"/>
      <c r="AX68" s="6"/>
      <c r="AZ68" t="str">
        <f t="shared" si="29"/>
        <v>{"group":"A",</v>
      </c>
      <c r="BA68" t="str">
        <f t="shared" ref="BA68:BA131" si="45">AF$3&amp;":"&amp;AF68&amp;","</f>
        <v>"lot":0,</v>
      </c>
      <c r="BB68" t="str">
        <f t="shared" si="30"/>
        <v>"name":"0",</v>
      </c>
      <c r="BC68" t="str">
        <f t="shared" si="31"/>
        <v>"team":"",</v>
      </c>
      <c r="BD68" t="str">
        <f t="shared" si="32"/>
        <v>"year":"0",</v>
      </c>
      <c r="BE68" t="str">
        <f t="shared" si="33"/>
        <v>"gender":"0",</v>
      </c>
      <c r="BF68" t="str">
        <f t="shared" si="34"/>
        <v>"gear":"0",</v>
      </c>
      <c r="BG68" t="str">
        <f t="shared" si="35"/>
        <v>"lifts":"0",</v>
      </c>
      <c r="BH68" t="str">
        <f t="shared" si="36"/>
        <v>"division":"--",</v>
      </c>
      <c r="BI68" t="str">
        <f t="shared" si="37"/>
        <v>"wc":"0",</v>
      </c>
      <c r="BJ68" t="str">
        <f t="shared" si="38"/>
        <v>"bw":"",</v>
      </c>
      <c r="BK68" t="str">
        <f t="shared" si="39"/>
        <v>"pb":[0,0,0,0],</v>
      </c>
      <c r="BL68" t="str">
        <f t="shared" ref="BL68:BL131" si="46">AS$3&amp;":"&amp;CHAR(34)&amp;AS68&amp;CHAR(34)&amp;","</f>
        <v>"idx":"25",</v>
      </c>
      <c r="BM68" t="str">
        <f t="shared" ref="BM68:BM131" si="47">AT$3&amp;":"&amp;CHAR(34)&amp;AT68&amp;CHAR(34)&amp;","</f>
        <v>"sr":"0",</v>
      </c>
      <c r="BN68" t="str">
        <f t="shared" ref="BN68:BN131" si="48">AU$3&amp;":"&amp;CHAR(34)&amp;AU68&amp;CHAR(34)&amp;","</f>
        <v>"br":"0",</v>
      </c>
      <c r="BO68" t="str">
        <f t="shared" ref="BO68:BO131" si="49">CHAR(34)&amp;"row"&amp;CHAR(34)&amp;":"&amp;AF68&amp;","</f>
        <v>"row":0,</v>
      </c>
      <c r="BP68" t="s">
        <v>55</v>
      </c>
      <c r="BQ68" t="str">
        <f t="shared" ref="BQ68:BQ131" si="50">SUBSTITUTE(SUBSTITUTE(SUBSTITUTE(BP68,"999.5",IF(ISBLANK(Z68),"0",Z68)),"888.5",IF(ISBLANK(AA68),"0",AA68)),"555.5",IF(ISBLANK(AB68),"0",AB68))</f>
        <v>"sq":{"a1":0,"a2":"","a3":"","s1":0,"s2":0,"s3":0},"bp":{"a1":0,"a2":"","a3":"","s1":0,"s2":0,"s3":0},"dl":{"a1":0,"a2":"","a3":"","s1":0,"s2":0,"s3":0},"sortOrder":0,"act":{}}</v>
      </c>
      <c r="BR68" t="str">
        <f t="shared" si="40"/>
        <v>{"group":"A","lot":0,"name":"0","team":"","year":"0","gender":"0","gear":"0","lifts":"0","division":"--","wc":"0","bw":"","pb":[0,0,0,0],"idx":"25","sr":"0","br":"0","row":0,"sq":{"a1":0,"a2":"","a3":"","s1":0,"s2":0,"s3":0},"bp":{"a1":0,"a2":"","a3":"","s1":0,"s2":0,"s3":0},"dl":{"a1":0,"a2":"","a3":"","s1":0,"s2":0,"s3":0},"sortOrder":0,"act":{}}</v>
      </c>
    </row>
    <row r="69" spans="5:70" x14ac:dyDescent="0.25">
      <c r="E69" s="107"/>
      <c r="F69" s="108"/>
      <c r="G69" s="108"/>
      <c r="H69" s="108"/>
      <c r="I69" s="108"/>
      <c r="J69" s="108"/>
      <c r="K69" s="108"/>
      <c r="L69" s="109"/>
      <c r="M69" s="110"/>
      <c r="N69" s="109"/>
      <c r="O69" s="148">
        <f t="shared" ca="1" si="41"/>
        <v>2023</v>
      </c>
      <c r="P69" s="108"/>
      <c r="Q69" s="108"/>
      <c r="R69" s="108"/>
      <c r="S69" s="108"/>
      <c r="T69" s="108"/>
      <c r="U69" s="108"/>
      <c r="V69" s="108"/>
      <c r="W69" s="108"/>
      <c r="X69" s="108"/>
      <c r="Y69" s="111"/>
      <c r="Z69" s="112"/>
      <c r="AA69" s="112"/>
      <c r="AB69" s="113"/>
      <c r="AE69" s="15" t="str">
        <f t="shared" si="42"/>
        <v>A</v>
      </c>
      <c r="AF69" s="8">
        <f t="shared" si="43"/>
        <v>0</v>
      </c>
      <c r="AG69" s="9">
        <f t="shared" ref="AG69:AG132" si="51">IF(ISBLANK(H69),I69,H69&amp;" " &amp;I69)</f>
        <v>0</v>
      </c>
      <c r="AH69" s="9" t="str">
        <f t="shared" ref="AH69:AH132" si="52">IF(ISBLANK(J69),"",J69)</f>
        <v/>
      </c>
      <c r="AI69" s="8">
        <f t="shared" si="44"/>
        <v>0</v>
      </c>
      <c r="AJ69" s="45">
        <f t="shared" ref="AJ69:AJ132" si="53">N69</f>
        <v>0</v>
      </c>
      <c r="AK69" s="45">
        <f t="shared" ref="AK69:AK132" si="54">L69</f>
        <v>0</v>
      </c>
      <c r="AL69" s="45">
        <f t="shared" ref="AL69:AL132" si="55">M69</f>
        <v>0</v>
      </c>
      <c r="AM69" s="8" t="str">
        <f t="shared" ref="AM69:AM132" si="56">LEFT(N69,1)&amp;"-"&amp;L69&amp;"-"&amp;M69</f>
        <v>--</v>
      </c>
      <c r="AN69" s="10">
        <f t="shared" ref="AN69:AN132" si="57">W69</f>
        <v>0</v>
      </c>
      <c r="AO69" s="10">
        <f t="shared" ref="AO69:AO132" si="58">R69</f>
        <v>0</v>
      </c>
      <c r="AP69" s="10">
        <f t="shared" ref="AP69:AP132" si="59">S69</f>
        <v>0</v>
      </c>
      <c r="AQ69" s="10">
        <f t="shared" ref="AQ69:AQ132" si="60">T69</f>
        <v>0</v>
      </c>
      <c r="AR69" s="10">
        <f t="shared" ref="AR69:AR132" si="61">U69</f>
        <v>0</v>
      </c>
      <c r="AS69" s="8">
        <v>26</v>
      </c>
      <c r="AT69" s="9">
        <f t="shared" ref="AT69:AT132" si="62">X69</f>
        <v>0</v>
      </c>
      <c r="AU69" s="11">
        <f t="shared" ref="AU69:AU132" si="63">Y69</f>
        <v>0</v>
      </c>
      <c r="AV69" s="6"/>
      <c r="AW69" s="6"/>
      <c r="AX69" s="6"/>
      <c r="AZ69" t="str">
        <f t="shared" ref="AZ69:AZ132" si="64">"{"&amp;AE$3&amp;":"&amp;CHAR(34)&amp;AE69&amp;CHAR(34)&amp;","</f>
        <v>{"group":"A",</v>
      </c>
      <c r="BA69" t="str">
        <f t="shared" si="45"/>
        <v>"lot":0,</v>
      </c>
      <c r="BB69" t="str">
        <f t="shared" ref="BB69:BB132" si="65">AG$3&amp;":"&amp;CHAR(34)&amp;AG69&amp;CHAR(34)&amp;","</f>
        <v>"name":"0",</v>
      </c>
      <c r="BC69" t="str">
        <f t="shared" ref="BC69:BC132" si="66">AH$3&amp;":"&amp;CHAR(34)&amp;AH69&amp;CHAR(34)&amp;","</f>
        <v>"team":"",</v>
      </c>
      <c r="BD69" t="str">
        <f t="shared" ref="BD69:BD132" si="67">AI$3&amp;":"&amp;CHAR(34)&amp;AI69&amp;CHAR(34)&amp;","</f>
        <v>"year":"0",</v>
      </c>
      <c r="BE69" t="str">
        <f t="shared" ref="BE69:BE132" si="68">AJ$3&amp;":"&amp;CHAR(34)&amp;AJ69&amp;CHAR(34)&amp;","</f>
        <v>"gender":"0",</v>
      </c>
      <c r="BF69" t="str">
        <f t="shared" ref="BF69:BF132" si="69">AK$3&amp;":"&amp;CHAR(34)&amp;AK69&amp;CHAR(34)&amp;","</f>
        <v>"gear":"0",</v>
      </c>
      <c r="BG69" t="str">
        <f t="shared" ref="BG69:BG132" si="70">AL$3&amp;":"&amp;CHAR(34)&amp;AL69&amp;CHAR(34)&amp;","</f>
        <v>"lifts":"0",</v>
      </c>
      <c r="BH69" t="str">
        <f t="shared" ref="BH69:BH132" si="71">AM$3&amp;":"&amp;CHAR(34)&amp;AM69&amp;CHAR(34)&amp;","</f>
        <v>"division":"--",</v>
      </c>
      <c r="BI69" t="str">
        <f t="shared" ref="BI69:BI132" si="72">AN$3&amp;":"&amp;CHAR(34)&amp;AN69&amp;CHAR(34)&amp;","</f>
        <v>"wc":"0",</v>
      </c>
      <c r="BJ69" t="str">
        <f t="shared" ref="BJ69:BJ132" si="73">CHAR(34)&amp;W$3&amp;CHAR(34)&amp;":"&amp;CHAR(34)&amp;W69&amp;CHAR(34)&amp;","</f>
        <v>"bw":"",</v>
      </c>
      <c r="BK69" t="str">
        <f t="shared" ref="BK69:BK132" si="74">CHAR(34)&amp;"pb"&amp;CHAR(34)&amp;":["&amp;AO69&amp;","&amp;AP69&amp;","&amp;AQ69&amp;","&amp;AR69&amp;"],"</f>
        <v>"pb":[0,0,0,0],</v>
      </c>
      <c r="BL69" t="str">
        <f t="shared" si="46"/>
        <v>"idx":"26",</v>
      </c>
      <c r="BM69" t="str">
        <f t="shared" si="47"/>
        <v>"sr":"0",</v>
      </c>
      <c r="BN69" t="str">
        <f t="shared" si="48"/>
        <v>"br":"0",</v>
      </c>
      <c r="BO69" t="str">
        <f t="shared" si="49"/>
        <v>"row":0,</v>
      </c>
      <c r="BP69" t="s">
        <v>55</v>
      </c>
      <c r="BQ69" t="str">
        <f t="shared" si="50"/>
        <v>"sq":{"a1":0,"a2":"","a3":"","s1":0,"s2":0,"s3":0},"bp":{"a1":0,"a2":"","a3":"","s1":0,"s2":0,"s3":0},"dl":{"a1":0,"a2":"","a3":"","s1":0,"s2":0,"s3":0},"sortOrder":0,"act":{}}</v>
      </c>
      <c r="BR69" t="str">
        <f t="shared" ref="BR69:BR132" si="75">AZ69&amp;BA69&amp;BB69&amp;BC69&amp;BD69&amp;BE69&amp;BF69&amp;BG69&amp;BH69&amp;BI69&amp;BJ69&amp;BK69&amp;BL69&amp;BM69&amp;BN69&amp;BO69&amp;BQ69</f>
        <v>{"group":"A","lot":0,"name":"0","team":"","year":"0","gender":"0","gear":"0","lifts":"0","division":"--","wc":"0","bw":"","pb":[0,0,0,0],"idx":"26","sr":"0","br":"0","row":0,"sq":{"a1":0,"a2":"","a3":"","s1":0,"s2":0,"s3":0},"bp":{"a1":0,"a2":"","a3":"","s1":0,"s2":0,"s3":0},"dl":{"a1":0,"a2":"","a3":"","s1":0,"s2":0,"s3":0},"sortOrder":0,"act":{}}</v>
      </c>
    </row>
    <row r="70" spans="5:70" x14ac:dyDescent="0.25">
      <c r="E70" s="107"/>
      <c r="F70" s="108"/>
      <c r="G70" s="108"/>
      <c r="H70" s="108"/>
      <c r="I70" s="108"/>
      <c r="J70" s="108"/>
      <c r="K70" s="108"/>
      <c r="L70" s="109"/>
      <c r="M70" s="110"/>
      <c r="N70" s="109"/>
      <c r="O70" s="148">
        <f t="shared" ref="O70:O133" ca="1" si="76">YEAR(TODAY())-K70</f>
        <v>2023</v>
      </c>
      <c r="P70" s="108"/>
      <c r="Q70" s="108"/>
      <c r="R70" s="108"/>
      <c r="S70" s="108"/>
      <c r="T70" s="108"/>
      <c r="U70" s="108"/>
      <c r="V70" s="108"/>
      <c r="W70" s="108"/>
      <c r="X70" s="108"/>
      <c r="Y70" s="111"/>
      <c r="Z70" s="112"/>
      <c r="AA70" s="112"/>
      <c r="AB70" s="113"/>
      <c r="AE70" s="15" t="str">
        <f t="shared" si="42"/>
        <v>A</v>
      </c>
      <c r="AF70" s="8">
        <f t="shared" si="43"/>
        <v>0</v>
      </c>
      <c r="AG70" s="9">
        <f t="shared" si="51"/>
        <v>0</v>
      </c>
      <c r="AH70" s="9" t="str">
        <f t="shared" si="52"/>
        <v/>
      </c>
      <c r="AI70" s="8">
        <f t="shared" si="44"/>
        <v>0</v>
      </c>
      <c r="AJ70" s="45">
        <f t="shared" si="53"/>
        <v>0</v>
      </c>
      <c r="AK70" s="45">
        <f t="shared" si="54"/>
        <v>0</v>
      </c>
      <c r="AL70" s="45">
        <f t="shared" si="55"/>
        <v>0</v>
      </c>
      <c r="AM70" s="8" t="str">
        <f t="shared" si="56"/>
        <v>--</v>
      </c>
      <c r="AN70" s="10">
        <f t="shared" si="57"/>
        <v>0</v>
      </c>
      <c r="AO70" s="10">
        <f t="shared" si="58"/>
        <v>0</v>
      </c>
      <c r="AP70" s="10">
        <f t="shared" si="59"/>
        <v>0</v>
      </c>
      <c r="AQ70" s="10">
        <f t="shared" si="60"/>
        <v>0</v>
      </c>
      <c r="AR70" s="10">
        <f t="shared" si="61"/>
        <v>0</v>
      </c>
      <c r="AS70" s="8">
        <v>27</v>
      </c>
      <c r="AT70" s="9">
        <f t="shared" si="62"/>
        <v>0</v>
      </c>
      <c r="AU70" s="11">
        <f t="shared" si="63"/>
        <v>0</v>
      </c>
      <c r="AV70" s="6"/>
      <c r="AW70" s="6"/>
      <c r="AX70" s="6"/>
      <c r="AZ70" t="str">
        <f t="shared" si="64"/>
        <v>{"group":"A",</v>
      </c>
      <c r="BA70" t="str">
        <f t="shared" si="45"/>
        <v>"lot":0,</v>
      </c>
      <c r="BB70" t="str">
        <f t="shared" si="65"/>
        <v>"name":"0",</v>
      </c>
      <c r="BC70" t="str">
        <f t="shared" si="66"/>
        <v>"team":"",</v>
      </c>
      <c r="BD70" t="str">
        <f t="shared" si="67"/>
        <v>"year":"0",</v>
      </c>
      <c r="BE70" t="str">
        <f t="shared" si="68"/>
        <v>"gender":"0",</v>
      </c>
      <c r="BF70" t="str">
        <f t="shared" si="69"/>
        <v>"gear":"0",</v>
      </c>
      <c r="BG70" t="str">
        <f t="shared" si="70"/>
        <v>"lifts":"0",</v>
      </c>
      <c r="BH70" t="str">
        <f t="shared" si="71"/>
        <v>"division":"--",</v>
      </c>
      <c r="BI70" t="str">
        <f t="shared" si="72"/>
        <v>"wc":"0",</v>
      </c>
      <c r="BJ70" t="str">
        <f t="shared" si="73"/>
        <v>"bw":"",</v>
      </c>
      <c r="BK70" t="str">
        <f t="shared" si="74"/>
        <v>"pb":[0,0,0,0],</v>
      </c>
      <c r="BL70" t="str">
        <f t="shared" si="46"/>
        <v>"idx":"27",</v>
      </c>
      <c r="BM70" t="str">
        <f t="shared" si="47"/>
        <v>"sr":"0",</v>
      </c>
      <c r="BN70" t="str">
        <f t="shared" si="48"/>
        <v>"br":"0",</v>
      </c>
      <c r="BO70" t="str">
        <f t="shared" si="49"/>
        <v>"row":0,</v>
      </c>
      <c r="BP70" t="s">
        <v>55</v>
      </c>
      <c r="BQ70" t="str">
        <f t="shared" si="50"/>
        <v>"sq":{"a1":0,"a2":"","a3":"","s1":0,"s2":0,"s3":0},"bp":{"a1":0,"a2":"","a3":"","s1":0,"s2":0,"s3":0},"dl":{"a1":0,"a2":"","a3":"","s1":0,"s2":0,"s3":0},"sortOrder":0,"act":{}}</v>
      </c>
      <c r="BR70" t="str">
        <f t="shared" si="75"/>
        <v>{"group":"A","lot":0,"name":"0","team":"","year":"0","gender":"0","gear":"0","lifts":"0","division":"--","wc":"0","bw":"","pb":[0,0,0,0],"idx":"27","sr":"0","br":"0","row":0,"sq":{"a1":0,"a2":"","a3":"","s1":0,"s2":0,"s3":0},"bp":{"a1":0,"a2":"","a3":"","s1":0,"s2":0,"s3":0},"dl":{"a1":0,"a2":"","a3":"","s1":0,"s2":0,"s3":0},"sortOrder":0,"act":{}}</v>
      </c>
    </row>
    <row r="71" spans="5:70" x14ac:dyDescent="0.25">
      <c r="E71" s="114"/>
      <c r="F71" s="115"/>
      <c r="G71" s="115"/>
      <c r="H71" s="115"/>
      <c r="I71" s="115"/>
      <c r="J71" s="115"/>
      <c r="K71" s="115"/>
      <c r="L71" s="116"/>
      <c r="M71" s="117"/>
      <c r="N71" s="116"/>
      <c r="O71" s="148">
        <f t="shared" ca="1" si="76"/>
        <v>2023</v>
      </c>
      <c r="P71" s="115"/>
      <c r="Q71" s="115"/>
      <c r="R71" s="115"/>
      <c r="S71" s="115"/>
      <c r="T71" s="115"/>
      <c r="U71" s="115"/>
      <c r="V71" s="115"/>
      <c r="W71" s="115"/>
      <c r="X71" s="115"/>
      <c r="Y71" s="118"/>
      <c r="Z71" s="119"/>
      <c r="AA71" s="119"/>
      <c r="AB71" s="120"/>
      <c r="AE71" s="15" t="str">
        <f t="shared" si="42"/>
        <v>A</v>
      </c>
      <c r="AF71" s="8">
        <f t="shared" si="43"/>
        <v>0</v>
      </c>
      <c r="AG71" s="9">
        <f t="shared" si="51"/>
        <v>0</v>
      </c>
      <c r="AH71" s="9" t="str">
        <f t="shared" si="52"/>
        <v/>
      </c>
      <c r="AI71" s="8">
        <f t="shared" si="44"/>
        <v>0</v>
      </c>
      <c r="AJ71" s="45">
        <f t="shared" si="53"/>
        <v>0</v>
      </c>
      <c r="AK71" s="45">
        <f t="shared" si="54"/>
        <v>0</v>
      </c>
      <c r="AL71" s="45">
        <f t="shared" si="55"/>
        <v>0</v>
      </c>
      <c r="AM71" s="8" t="str">
        <f t="shared" si="56"/>
        <v>--</v>
      </c>
      <c r="AN71" s="10">
        <f t="shared" si="57"/>
        <v>0</v>
      </c>
      <c r="AO71" s="10">
        <f t="shared" si="58"/>
        <v>0</v>
      </c>
      <c r="AP71" s="10">
        <f t="shared" si="59"/>
        <v>0</v>
      </c>
      <c r="AQ71" s="10">
        <f t="shared" si="60"/>
        <v>0</v>
      </c>
      <c r="AR71" s="10">
        <f t="shared" si="61"/>
        <v>0</v>
      </c>
      <c r="AS71" s="8">
        <v>0</v>
      </c>
      <c r="AT71" s="9">
        <f t="shared" si="62"/>
        <v>0</v>
      </c>
      <c r="AU71" s="11">
        <f t="shared" si="63"/>
        <v>0</v>
      </c>
      <c r="AV71" s="6"/>
      <c r="AW71" s="6"/>
      <c r="AX71" s="6"/>
      <c r="AZ71" t="str">
        <f t="shared" si="64"/>
        <v>{"group":"A",</v>
      </c>
      <c r="BA71" t="str">
        <f t="shared" si="45"/>
        <v>"lot":0,</v>
      </c>
      <c r="BB71" t="str">
        <f t="shared" si="65"/>
        <v>"name":"0",</v>
      </c>
      <c r="BC71" t="str">
        <f t="shared" si="66"/>
        <v>"team":"",</v>
      </c>
      <c r="BD71" t="str">
        <f t="shared" si="67"/>
        <v>"year":"0",</v>
      </c>
      <c r="BE71" t="str">
        <f t="shared" si="68"/>
        <v>"gender":"0",</v>
      </c>
      <c r="BF71" t="str">
        <f t="shared" si="69"/>
        <v>"gear":"0",</v>
      </c>
      <c r="BG71" t="str">
        <f t="shared" si="70"/>
        <v>"lifts":"0",</v>
      </c>
      <c r="BH71" t="str">
        <f t="shared" si="71"/>
        <v>"division":"--",</v>
      </c>
      <c r="BI71" t="str">
        <f t="shared" si="72"/>
        <v>"wc":"0",</v>
      </c>
      <c r="BJ71" t="str">
        <f t="shared" si="73"/>
        <v>"bw":"",</v>
      </c>
      <c r="BK71" t="str">
        <f t="shared" si="74"/>
        <v>"pb":[0,0,0,0],</v>
      </c>
      <c r="BL71" t="str">
        <f t="shared" si="46"/>
        <v>"idx":"0",</v>
      </c>
      <c r="BM71" t="str">
        <f t="shared" si="47"/>
        <v>"sr":"0",</v>
      </c>
      <c r="BN71" t="str">
        <f t="shared" si="48"/>
        <v>"br":"0",</v>
      </c>
      <c r="BO71" t="str">
        <f t="shared" si="49"/>
        <v>"row":0,</v>
      </c>
      <c r="BP71" t="s">
        <v>55</v>
      </c>
      <c r="BQ71" t="str">
        <f t="shared" si="50"/>
        <v>"sq":{"a1":0,"a2":"","a3":"","s1":0,"s2":0,"s3":0},"bp":{"a1":0,"a2":"","a3":"","s1":0,"s2":0,"s3":0},"dl":{"a1":0,"a2":"","a3":"","s1":0,"s2":0,"s3":0},"sortOrder":0,"act":{}}</v>
      </c>
      <c r="BR71" t="str">
        <f t="shared" si="75"/>
        <v>{"group":"A","lot":0,"name":"0","team":"","year":"0","gender":"0","gear":"0","lifts":"0","division":"--","wc":"0","bw":"","pb":[0,0,0,0],"idx":"0","sr":"0","br":"0","row":0,"sq":{"a1":0,"a2":"","a3":"","s1":0,"s2":0,"s3":0},"bp":{"a1":0,"a2":"","a3":"","s1":0,"s2":0,"s3":0},"dl":{"a1":0,"a2":"","a3":"","s1":0,"s2":0,"s3":0},"sortOrder":0,"act":{}}</v>
      </c>
    </row>
    <row r="72" spans="5:70" x14ac:dyDescent="0.25">
      <c r="E72" s="114"/>
      <c r="F72" s="115"/>
      <c r="G72" s="115"/>
      <c r="H72" s="115"/>
      <c r="I72" s="115"/>
      <c r="J72" s="115"/>
      <c r="K72" s="115"/>
      <c r="L72" s="116"/>
      <c r="M72" s="117"/>
      <c r="N72" s="116"/>
      <c r="O72" s="148">
        <f t="shared" ca="1" si="76"/>
        <v>2023</v>
      </c>
      <c r="P72" s="115"/>
      <c r="Q72" s="115"/>
      <c r="R72" s="115"/>
      <c r="S72" s="115"/>
      <c r="T72" s="115"/>
      <c r="U72" s="115"/>
      <c r="V72" s="115"/>
      <c r="W72" s="115"/>
      <c r="X72" s="115"/>
      <c r="Y72" s="118"/>
      <c r="Z72" s="119"/>
      <c r="AA72" s="119"/>
      <c r="AB72" s="120"/>
      <c r="AE72" s="15" t="str">
        <f t="shared" si="42"/>
        <v>A</v>
      </c>
      <c r="AF72" s="8">
        <f t="shared" si="43"/>
        <v>0</v>
      </c>
      <c r="AG72" s="9">
        <f t="shared" si="51"/>
        <v>0</v>
      </c>
      <c r="AH72" s="9" t="str">
        <f t="shared" si="52"/>
        <v/>
      </c>
      <c r="AI72" s="8">
        <f t="shared" si="44"/>
        <v>0</v>
      </c>
      <c r="AJ72" s="45">
        <f t="shared" si="53"/>
        <v>0</v>
      </c>
      <c r="AK72" s="45">
        <f t="shared" si="54"/>
        <v>0</v>
      </c>
      <c r="AL72" s="45">
        <f t="shared" si="55"/>
        <v>0</v>
      </c>
      <c r="AM72" s="8" t="str">
        <f t="shared" si="56"/>
        <v>--</v>
      </c>
      <c r="AN72" s="10">
        <f t="shared" si="57"/>
        <v>0</v>
      </c>
      <c r="AO72" s="10">
        <f t="shared" si="58"/>
        <v>0</v>
      </c>
      <c r="AP72" s="10">
        <f t="shared" si="59"/>
        <v>0</v>
      </c>
      <c r="AQ72" s="10">
        <f t="shared" si="60"/>
        <v>0</v>
      </c>
      <c r="AR72" s="10">
        <f t="shared" si="61"/>
        <v>0</v>
      </c>
      <c r="AS72" s="8">
        <v>1</v>
      </c>
      <c r="AT72" s="9">
        <f t="shared" si="62"/>
        <v>0</v>
      </c>
      <c r="AU72" s="11">
        <f t="shared" si="63"/>
        <v>0</v>
      </c>
      <c r="AV72" s="6"/>
      <c r="AW72" s="6"/>
      <c r="AX72" s="6"/>
      <c r="AZ72" t="str">
        <f t="shared" si="64"/>
        <v>{"group":"A",</v>
      </c>
      <c r="BA72" t="str">
        <f t="shared" si="45"/>
        <v>"lot":0,</v>
      </c>
      <c r="BB72" t="str">
        <f t="shared" si="65"/>
        <v>"name":"0",</v>
      </c>
      <c r="BC72" t="str">
        <f t="shared" si="66"/>
        <v>"team":"",</v>
      </c>
      <c r="BD72" t="str">
        <f t="shared" si="67"/>
        <v>"year":"0",</v>
      </c>
      <c r="BE72" t="str">
        <f t="shared" si="68"/>
        <v>"gender":"0",</v>
      </c>
      <c r="BF72" t="str">
        <f t="shared" si="69"/>
        <v>"gear":"0",</v>
      </c>
      <c r="BG72" t="str">
        <f t="shared" si="70"/>
        <v>"lifts":"0",</v>
      </c>
      <c r="BH72" t="str">
        <f t="shared" si="71"/>
        <v>"division":"--",</v>
      </c>
      <c r="BI72" t="str">
        <f t="shared" si="72"/>
        <v>"wc":"0",</v>
      </c>
      <c r="BJ72" t="str">
        <f t="shared" si="73"/>
        <v>"bw":"",</v>
      </c>
      <c r="BK72" t="str">
        <f t="shared" si="74"/>
        <v>"pb":[0,0,0,0],</v>
      </c>
      <c r="BL72" t="str">
        <f t="shared" si="46"/>
        <v>"idx":"1",</v>
      </c>
      <c r="BM72" t="str">
        <f t="shared" si="47"/>
        <v>"sr":"0",</v>
      </c>
      <c r="BN72" t="str">
        <f t="shared" si="48"/>
        <v>"br":"0",</v>
      </c>
      <c r="BO72" t="str">
        <f t="shared" si="49"/>
        <v>"row":0,</v>
      </c>
      <c r="BP72" t="s">
        <v>55</v>
      </c>
      <c r="BQ72" t="str">
        <f t="shared" si="50"/>
        <v>"sq":{"a1":0,"a2":"","a3":"","s1":0,"s2":0,"s3":0},"bp":{"a1":0,"a2":"","a3":"","s1":0,"s2":0,"s3":0},"dl":{"a1":0,"a2":"","a3":"","s1":0,"s2":0,"s3":0},"sortOrder":0,"act":{}}</v>
      </c>
      <c r="BR72" t="str">
        <f t="shared" si="75"/>
        <v>{"group":"A","lot":0,"name":"0","team":"","year":"0","gender":"0","gear":"0","lifts":"0","division":"--","wc":"0","bw":"","pb":[0,0,0,0],"idx":"1","sr":"0","br":"0","row":0,"sq":{"a1":0,"a2":"","a3":"","s1":0,"s2":0,"s3":0},"bp":{"a1":0,"a2":"","a3":"","s1":0,"s2":0,"s3":0},"dl":{"a1":0,"a2":"","a3":"","s1":0,"s2":0,"s3":0},"sortOrder":0,"act":{}}</v>
      </c>
    </row>
    <row r="73" spans="5:70" x14ac:dyDescent="0.25">
      <c r="E73" s="114"/>
      <c r="F73" s="115"/>
      <c r="G73" s="115"/>
      <c r="H73" s="115"/>
      <c r="I73" s="115"/>
      <c r="J73" s="115"/>
      <c r="K73" s="115"/>
      <c r="L73" s="116"/>
      <c r="M73" s="117"/>
      <c r="N73" s="116"/>
      <c r="O73" s="148">
        <f t="shared" ca="1" si="76"/>
        <v>2023</v>
      </c>
      <c r="P73" s="115"/>
      <c r="Q73" s="115"/>
      <c r="R73" s="115"/>
      <c r="S73" s="115"/>
      <c r="T73" s="115"/>
      <c r="U73" s="115"/>
      <c r="V73" s="115"/>
      <c r="W73" s="115"/>
      <c r="X73" s="115"/>
      <c r="Y73" s="118"/>
      <c r="Z73" s="119"/>
      <c r="AA73" s="119"/>
      <c r="AB73" s="120"/>
      <c r="AE73" s="15" t="str">
        <f t="shared" si="42"/>
        <v>A</v>
      </c>
      <c r="AF73" s="8">
        <f t="shared" si="43"/>
        <v>0</v>
      </c>
      <c r="AG73" s="9">
        <f t="shared" si="51"/>
        <v>0</v>
      </c>
      <c r="AH73" s="9" t="str">
        <f t="shared" si="52"/>
        <v/>
      </c>
      <c r="AI73" s="8">
        <f t="shared" si="44"/>
        <v>0</v>
      </c>
      <c r="AJ73" s="45">
        <f t="shared" si="53"/>
        <v>0</v>
      </c>
      <c r="AK73" s="45">
        <f t="shared" si="54"/>
        <v>0</v>
      </c>
      <c r="AL73" s="45">
        <f t="shared" si="55"/>
        <v>0</v>
      </c>
      <c r="AM73" s="8" t="str">
        <f t="shared" si="56"/>
        <v>--</v>
      </c>
      <c r="AN73" s="10">
        <f t="shared" si="57"/>
        <v>0</v>
      </c>
      <c r="AO73" s="10">
        <f t="shared" si="58"/>
        <v>0</v>
      </c>
      <c r="AP73" s="10">
        <f t="shared" si="59"/>
        <v>0</v>
      </c>
      <c r="AQ73" s="10">
        <f t="shared" si="60"/>
        <v>0</v>
      </c>
      <c r="AR73" s="10">
        <f t="shared" si="61"/>
        <v>0</v>
      </c>
      <c r="AS73" s="8">
        <v>2</v>
      </c>
      <c r="AT73" s="9">
        <f t="shared" si="62"/>
        <v>0</v>
      </c>
      <c r="AU73" s="11">
        <f t="shared" si="63"/>
        <v>0</v>
      </c>
      <c r="AV73" s="6"/>
      <c r="AW73" s="6"/>
      <c r="AX73" s="6"/>
      <c r="AZ73" t="str">
        <f t="shared" si="64"/>
        <v>{"group":"A",</v>
      </c>
      <c r="BA73" t="str">
        <f t="shared" si="45"/>
        <v>"lot":0,</v>
      </c>
      <c r="BB73" t="str">
        <f t="shared" si="65"/>
        <v>"name":"0",</v>
      </c>
      <c r="BC73" t="str">
        <f t="shared" si="66"/>
        <v>"team":"",</v>
      </c>
      <c r="BD73" t="str">
        <f t="shared" si="67"/>
        <v>"year":"0",</v>
      </c>
      <c r="BE73" t="str">
        <f t="shared" si="68"/>
        <v>"gender":"0",</v>
      </c>
      <c r="BF73" t="str">
        <f t="shared" si="69"/>
        <v>"gear":"0",</v>
      </c>
      <c r="BG73" t="str">
        <f t="shared" si="70"/>
        <v>"lifts":"0",</v>
      </c>
      <c r="BH73" t="str">
        <f t="shared" si="71"/>
        <v>"division":"--",</v>
      </c>
      <c r="BI73" t="str">
        <f t="shared" si="72"/>
        <v>"wc":"0",</v>
      </c>
      <c r="BJ73" t="str">
        <f t="shared" si="73"/>
        <v>"bw":"",</v>
      </c>
      <c r="BK73" t="str">
        <f t="shared" si="74"/>
        <v>"pb":[0,0,0,0],</v>
      </c>
      <c r="BL73" t="str">
        <f t="shared" si="46"/>
        <v>"idx":"2",</v>
      </c>
      <c r="BM73" t="str">
        <f t="shared" si="47"/>
        <v>"sr":"0",</v>
      </c>
      <c r="BN73" t="str">
        <f t="shared" si="48"/>
        <v>"br":"0",</v>
      </c>
      <c r="BO73" t="str">
        <f t="shared" si="49"/>
        <v>"row":0,</v>
      </c>
      <c r="BP73" t="s">
        <v>55</v>
      </c>
      <c r="BQ73" t="str">
        <f t="shared" si="50"/>
        <v>"sq":{"a1":0,"a2":"","a3":"","s1":0,"s2":0,"s3":0},"bp":{"a1":0,"a2":"","a3":"","s1":0,"s2":0,"s3":0},"dl":{"a1":0,"a2":"","a3":"","s1":0,"s2":0,"s3":0},"sortOrder":0,"act":{}}</v>
      </c>
      <c r="BR73" t="str">
        <f t="shared" si="75"/>
        <v>{"group":"A","lot":0,"name":"0","team":"","year":"0","gender":"0","gear":"0","lifts":"0","division":"--","wc":"0","bw":"","pb":[0,0,0,0],"idx":"2","sr":"0","br":"0","row":0,"sq":{"a1":0,"a2":"","a3":"","s1":0,"s2":0,"s3":0},"bp":{"a1":0,"a2":"","a3":"","s1":0,"s2":0,"s3":0},"dl":{"a1":0,"a2":"","a3":"","s1":0,"s2":0,"s3":0},"sortOrder":0,"act":{}}</v>
      </c>
    </row>
    <row r="74" spans="5:70" x14ac:dyDescent="0.25">
      <c r="E74" s="114"/>
      <c r="F74" s="115"/>
      <c r="G74" s="115"/>
      <c r="H74" s="115"/>
      <c r="I74" s="115"/>
      <c r="J74" s="115"/>
      <c r="K74" s="115"/>
      <c r="L74" s="116"/>
      <c r="M74" s="117"/>
      <c r="N74" s="116"/>
      <c r="O74" s="148">
        <f t="shared" ca="1" si="76"/>
        <v>2023</v>
      </c>
      <c r="P74" s="115"/>
      <c r="Q74" s="115"/>
      <c r="R74" s="115"/>
      <c r="S74" s="115"/>
      <c r="T74" s="115"/>
      <c r="U74" s="115"/>
      <c r="V74" s="115"/>
      <c r="W74" s="115"/>
      <c r="X74" s="115"/>
      <c r="Y74" s="118"/>
      <c r="Z74" s="119"/>
      <c r="AA74" s="119"/>
      <c r="AB74" s="120"/>
      <c r="AE74" s="15" t="str">
        <f t="shared" si="42"/>
        <v>A</v>
      </c>
      <c r="AF74" s="8">
        <f t="shared" si="43"/>
        <v>0</v>
      </c>
      <c r="AG74" s="9">
        <f t="shared" si="51"/>
        <v>0</v>
      </c>
      <c r="AH74" s="9" t="str">
        <f t="shared" si="52"/>
        <v/>
      </c>
      <c r="AI74" s="8">
        <f t="shared" si="44"/>
        <v>0</v>
      </c>
      <c r="AJ74" s="45">
        <f t="shared" si="53"/>
        <v>0</v>
      </c>
      <c r="AK74" s="45">
        <f t="shared" si="54"/>
        <v>0</v>
      </c>
      <c r="AL74" s="45">
        <f t="shared" si="55"/>
        <v>0</v>
      </c>
      <c r="AM74" s="8" t="str">
        <f t="shared" si="56"/>
        <v>--</v>
      </c>
      <c r="AN74" s="10">
        <f t="shared" si="57"/>
        <v>0</v>
      </c>
      <c r="AO74" s="10">
        <f t="shared" si="58"/>
        <v>0</v>
      </c>
      <c r="AP74" s="10">
        <f t="shared" si="59"/>
        <v>0</v>
      </c>
      <c r="AQ74" s="10">
        <f t="shared" si="60"/>
        <v>0</v>
      </c>
      <c r="AR74" s="10">
        <f t="shared" si="61"/>
        <v>0</v>
      </c>
      <c r="AS74" s="8">
        <v>3</v>
      </c>
      <c r="AT74" s="9">
        <f t="shared" si="62"/>
        <v>0</v>
      </c>
      <c r="AU74" s="11">
        <f t="shared" si="63"/>
        <v>0</v>
      </c>
      <c r="AV74" s="6"/>
      <c r="AW74" s="6"/>
      <c r="AX74" s="6"/>
      <c r="AZ74" t="str">
        <f t="shared" si="64"/>
        <v>{"group":"A",</v>
      </c>
      <c r="BA74" t="str">
        <f t="shared" si="45"/>
        <v>"lot":0,</v>
      </c>
      <c r="BB74" t="str">
        <f t="shared" si="65"/>
        <v>"name":"0",</v>
      </c>
      <c r="BC74" t="str">
        <f t="shared" si="66"/>
        <v>"team":"",</v>
      </c>
      <c r="BD74" t="str">
        <f t="shared" si="67"/>
        <v>"year":"0",</v>
      </c>
      <c r="BE74" t="str">
        <f t="shared" si="68"/>
        <v>"gender":"0",</v>
      </c>
      <c r="BF74" t="str">
        <f t="shared" si="69"/>
        <v>"gear":"0",</v>
      </c>
      <c r="BG74" t="str">
        <f t="shared" si="70"/>
        <v>"lifts":"0",</v>
      </c>
      <c r="BH74" t="str">
        <f t="shared" si="71"/>
        <v>"division":"--",</v>
      </c>
      <c r="BI74" t="str">
        <f t="shared" si="72"/>
        <v>"wc":"0",</v>
      </c>
      <c r="BJ74" t="str">
        <f t="shared" si="73"/>
        <v>"bw":"",</v>
      </c>
      <c r="BK74" t="str">
        <f t="shared" si="74"/>
        <v>"pb":[0,0,0,0],</v>
      </c>
      <c r="BL74" t="str">
        <f t="shared" si="46"/>
        <v>"idx":"3",</v>
      </c>
      <c r="BM74" t="str">
        <f t="shared" si="47"/>
        <v>"sr":"0",</v>
      </c>
      <c r="BN74" t="str">
        <f t="shared" si="48"/>
        <v>"br":"0",</v>
      </c>
      <c r="BO74" t="str">
        <f t="shared" si="49"/>
        <v>"row":0,</v>
      </c>
      <c r="BP74" t="s">
        <v>55</v>
      </c>
      <c r="BQ74" t="str">
        <f t="shared" si="50"/>
        <v>"sq":{"a1":0,"a2":"","a3":"","s1":0,"s2":0,"s3":0},"bp":{"a1":0,"a2":"","a3":"","s1":0,"s2":0,"s3":0},"dl":{"a1":0,"a2":"","a3":"","s1":0,"s2":0,"s3":0},"sortOrder":0,"act":{}}</v>
      </c>
      <c r="BR74" t="str">
        <f t="shared" si="75"/>
        <v>{"group":"A","lot":0,"name":"0","team":"","year":"0","gender":"0","gear":"0","lifts":"0","division":"--","wc":"0","bw":"","pb":[0,0,0,0],"idx":"3","sr":"0","br":"0","row":0,"sq":{"a1":0,"a2":"","a3":"","s1":0,"s2":0,"s3":0},"bp":{"a1":0,"a2":"","a3":"","s1":0,"s2":0,"s3":0},"dl":{"a1":0,"a2":"","a3":"","s1":0,"s2":0,"s3":0},"sortOrder":0,"act":{}}</v>
      </c>
    </row>
    <row r="75" spans="5:70" x14ac:dyDescent="0.25">
      <c r="E75" s="114"/>
      <c r="F75" s="115"/>
      <c r="G75" s="115"/>
      <c r="H75" s="115"/>
      <c r="I75" s="115"/>
      <c r="J75" s="115"/>
      <c r="K75" s="115"/>
      <c r="L75" s="116"/>
      <c r="M75" s="117"/>
      <c r="N75" s="116"/>
      <c r="O75" s="148">
        <f t="shared" ca="1" si="76"/>
        <v>2023</v>
      </c>
      <c r="P75" s="115"/>
      <c r="Q75" s="115"/>
      <c r="R75" s="115"/>
      <c r="S75" s="115"/>
      <c r="T75" s="115"/>
      <c r="U75" s="115"/>
      <c r="V75" s="115"/>
      <c r="W75" s="115"/>
      <c r="X75" s="115"/>
      <c r="Y75" s="118"/>
      <c r="Z75" s="119"/>
      <c r="AA75" s="119"/>
      <c r="AB75" s="120"/>
      <c r="AE75" s="15" t="str">
        <f t="shared" si="42"/>
        <v>A</v>
      </c>
      <c r="AF75" s="8">
        <f t="shared" si="43"/>
        <v>0</v>
      </c>
      <c r="AG75" s="9">
        <f t="shared" si="51"/>
        <v>0</v>
      </c>
      <c r="AH75" s="9" t="str">
        <f t="shared" si="52"/>
        <v/>
      </c>
      <c r="AI75" s="8">
        <f t="shared" si="44"/>
        <v>0</v>
      </c>
      <c r="AJ75" s="45">
        <f t="shared" si="53"/>
        <v>0</v>
      </c>
      <c r="AK75" s="45">
        <f t="shared" si="54"/>
        <v>0</v>
      </c>
      <c r="AL75" s="45">
        <f t="shared" si="55"/>
        <v>0</v>
      </c>
      <c r="AM75" s="8" t="str">
        <f t="shared" si="56"/>
        <v>--</v>
      </c>
      <c r="AN75" s="10">
        <f t="shared" si="57"/>
        <v>0</v>
      </c>
      <c r="AO75" s="10">
        <f t="shared" si="58"/>
        <v>0</v>
      </c>
      <c r="AP75" s="10">
        <f t="shared" si="59"/>
        <v>0</v>
      </c>
      <c r="AQ75" s="10">
        <f t="shared" si="60"/>
        <v>0</v>
      </c>
      <c r="AR75" s="10">
        <f t="shared" si="61"/>
        <v>0</v>
      </c>
      <c r="AS75" s="8">
        <v>4</v>
      </c>
      <c r="AT75" s="9">
        <f t="shared" si="62"/>
        <v>0</v>
      </c>
      <c r="AU75" s="11">
        <f t="shared" si="63"/>
        <v>0</v>
      </c>
      <c r="AV75" s="6"/>
      <c r="AW75" s="6"/>
      <c r="AX75" s="6"/>
      <c r="AZ75" t="str">
        <f t="shared" si="64"/>
        <v>{"group":"A",</v>
      </c>
      <c r="BA75" t="str">
        <f t="shared" si="45"/>
        <v>"lot":0,</v>
      </c>
      <c r="BB75" t="str">
        <f t="shared" si="65"/>
        <v>"name":"0",</v>
      </c>
      <c r="BC75" t="str">
        <f t="shared" si="66"/>
        <v>"team":"",</v>
      </c>
      <c r="BD75" t="str">
        <f t="shared" si="67"/>
        <v>"year":"0",</v>
      </c>
      <c r="BE75" t="str">
        <f t="shared" si="68"/>
        <v>"gender":"0",</v>
      </c>
      <c r="BF75" t="str">
        <f t="shared" si="69"/>
        <v>"gear":"0",</v>
      </c>
      <c r="BG75" t="str">
        <f t="shared" si="70"/>
        <v>"lifts":"0",</v>
      </c>
      <c r="BH75" t="str">
        <f t="shared" si="71"/>
        <v>"division":"--",</v>
      </c>
      <c r="BI75" t="str">
        <f t="shared" si="72"/>
        <v>"wc":"0",</v>
      </c>
      <c r="BJ75" t="str">
        <f t="shared" si="73"/>
        <v>"bw":"",</v>
      </c>
      <c r="BK75" t="str">
        <f t="shared" si="74"/>
        <v>"pb":[0,0,0,0],</v>
      </c>
      <c r="BL75" t="str">
        <f t="shared" si="46"/>
        <v>"idx":"4",</v>
      </c>
      <c r="BM75" t="str">
        <f t="shared" si="47"/>
        <v>"sr":"0",</v>
      </c>
      <c r="BN75" t="str">
        <f t="shared" si="48"/>
        <v>"br":"0",</v>
      </c>
      <c r="BO75" t="str">
        <f t="shared" si="49"/>
        <v>"row":0,</v>
      </c>
      <c r="BP75" t="s">
        <v>55</v>
      </c>
      <c r="BQ75" t="str">
        <f t="shared" si="50"/>
        <v>"sq":{"a1":0,"a2":"","a3":"","s1":0,"s2":0,"s3":0},"bp":{"a1":0,"a2":"","a3":"","s1":0,"s2":0,"s3":0},"dl":{"a1":0,"a2":"","a3":"","s1":0,"s2":0,"s3":0},"sortOrder":0,"act":{}}</v>
      </c>
      <c r="BR75" t="str">
        <f t="shared" si="75"/>
        <v>{"group":"A","lot":0,"name":"0","team":"","year":"0","gender":"0","gear":"0","lifts":"0","division":"--","wc":"0","bw":"","pb":[0,0,0,0],"idx":"4","sr":"0","br":"0","row":0,"sq":{"a1":0,"a2":"","a3":"","s1":0,"s2":0,"s3":0},"bp":{"a1":0,"a2":"","a3":"","s1":0,"s2":0,"s3":0},"dl":{"a1":0,"a2":"","a3":"","s1":0,"s2":0,"s3":0},"sortOrder":0,"act":{}}</v>
      </c>
    </row>
    <row r="76" spans="5:70" x14ac:dyDescent="0.25">
      <c r="E76" s="114"/>
      <c r="F76" s="115"/>
      <c r="G76" s="115"/>
      <c r="H76" s="115"/>
      <c r="I76" s="115"/>
      <c r="J76" s="115"/>
      <c r="K76" s="115"/>
      <c r="L76" s="116"/>
      <c r="M76" s="117"/>
      <c r="N76" s="116"/>
      <c r="O76" s="148">
        <f t="shared" ca="1" si="76"/>
        <v>2023</v>
      </c>
      <c r="P76" s="115"/>
      <c r="Q76" s="115"/>
      <c r="R76" s="115"/>
      <c r="S76" s="115"/>
      <c r="T76" s="115"/>
      <c r="U76" s="115"/>
      <c r="V76" s="115"/>
      <c r="W76" s="115"/>
      <c r="X76" s="115"/>
      <c r="Y76" s="118"/>
      <c r="Z76" s="119"/>
      <c r="AA76" s="119"/>
      <c r="AB76" s="120"/>
      <c r="AE76" s="15" t="str">
        <f t="shared" si="42"/>
        <v>A</v>
      </c>
      <c r="AF76" s="8">
        <f t="shared" si="43"/>
        <v>0</v>
      </c>
      <c r="AG76" s="9">
        <f t="shared" si="51"/>
        <v>0</v>
      </c>
      <c r="AH76" s="9" t="str">
        <f t="shared" si="52"/>
        <v/>
      </c>
      <c r="AI76" s="8">
        <f t="shared" si="44"/>
        <v>0</v>
      </c>
      <c r="AJ76" s="45">
        <f t="shared" si="53"/>
        <v>0</v>
      </c>
      <c r="AK76" s="45">
        <f t="shared" si="54"/>
        <v>0</v>
      </c>
      <c r="AL76" s="45">
        <f t="shared" si="55"/>
        <v>0</v>
      </c>
      <c r="AM76" s="8" t="str">
        <f t="shared" si="56"/>
        <v>--</v>
      </c>
      <c r="AN76" s="10">
        <f t="shared" si="57"/>
        <v>0</v>
      </c>
      <c r="AO76" s="10">
        <f t="shared" si="58"/>
        <v>0</v>
      </c>
      <c r="AP76" s="10">
        <f t="shared" si="59"/>
        <v>0</v>
      </c>
      <c r="AQ76" s="10">
        <f t="shared" si="60"/>
        <v>0</v>
      </c>
      <c r="AR76" s="10">
        <f t="shared" si="61"/>
        <v>0</v>
      </c>
      <c r="AS76" s="8">
        <v>5</v>
      </c>
      <c r="AT76" s="9">
        <f t="shared" si="62"/>
        <v>0</v>
      </c>
      <c r="AU76" s="11">
        <f t="shared" si="63"/>
        <v>0</v>
      </c>
      <c r="AV76" s="6"/>
      <c r="AW76" s="6"/>
      <c r="AX76" s="6"/>
      <c r="AZ76" t="str">
        <f t="shared" si="64"/>
        <v>{"group":"A",</v>
      </c>
      <c r="BA76" t="str">
        <f t="shared" si="45"/>
        <v>"lot":0,</v>
      </c>
      <c r="BB76" t="str">
        <f t="shared" si="65"/>
        <v>"name":"0",</v>
      </c>
      <c r="BC76" t="str">
        <f t="shared" si="66"/>
        <v>"team":"",</v>
      </c>
      <c r="BD76" t="str">
        <f t="shared" si="67"/>
        <v>"year":"0",</v>
      </c>
      <c r="BE76" t="str">
        <f t="shared" si="68"/>
        <v>"gender":"0",</v>
      </c>
      <c r="BF76" t="str">
        <f t="shared" si="69"/>
        <v>"gear":"0",</v>
      </c>
      <c r="BG76" t="str">
        <f t="shared" si="70"/>
        <v>"lifts":"0",</v>
      </c>
      <c r="BH76" t="str">
        <f t="shared" si="71"/>
        <v>"division":"--",</v>
      </c>
      <c r="BI76" t="str">
        <f t="shared" si="72"/>
        <v>"wc":"0",</v>
      </c>
      <c r="BJ76" t="str">
        <f t="shared" si="73"/>
        <v>"bw":"",</v>
      </c>
      <c r="BK76" t="str">
        <f t="shared" si="74"/>
        <v>"pb":[0,0,0,0],</v>
      </c>
      <c r="BL76" t="str">
        <f t="shared" si="46"/>
        <v>"idx":"5",</v>
      </c>
      <c r="BM76" t="str">
        <f t="shared" si="47"/>
        <v>"sr":"0",</v>
      </c>
      <c r="BN76" t="str">
        <f t="shared" si="48"/>
        <v>"br":"0",</v>
      </c>
      <c r="BO76" t="str">
        <f t="shared" si="49"/>
        <v>"row":0,</v>
      </c>
      <c r="BP76" t="s">
        <v>55</v>
      </c>
      <c r="BQ76" t="str">
        <f t="shared" si="50"/>
        <v>"sq":{"a1":0,"a2":"","a3":"","s1":0,"s2":0,"s3":0},"bp":{"a1":0,"a2":"","a3":"","s1":0,"s2":0,"s3":0},"dl":{"a1":0,"a2":"","a3":"","s1":0,"s2":0,"s3":0},"sortOrder":0,"act":{}}</v>
      </c>
      <c r="BR76" t="str">
        <f t="shared" si="75"/>
        <v>{"group":"A","lot":0,"name":"0","team":"","year":"0","gender":"0","gear":"0","lifts":"0","division":"--","wc":"0","bw":"","pb":[0,0,0,0],"idx":"5","sr":"0","br":"0","row":0,"sq":{"a1":0,"a2":"","a3":"","s1":0,"s2":0,"s3":0},"bp":{"a1":0,"a2":"","a3":"","s1":0,"s2":0,"s3":0},"dl":{"a1":0,"a2":"","a3":"","s1":0,"s2":0,"s3":0},"sortOrder":0,"act":{}}</v>
      </c>
    </row>
    <row r="77" spans="5:70" x14ac:dyDescent="0.25">
      <c r="E77" s="114"/>
      <c r="F77" s="115"/>
      <c r="G77" s="115"/>
      <c r="H77" s="115"/>
      <c r="I77" s="115"/>
      <c r="J77" s="115"/>
      <c r="K77" s="115"/>
      <c r="L77" s="116"/>
      <c r="M77" s="117"/>
      <c r="N77" s="116"/>
      <c r="O77" s="148">
        <f t="shared" ca="1" si="76"/>
        <v>2023</v>
      </c>
      <c r="P77" s="115"/>
      <c r="Q77" s="115"/>
      <c r="R77" s="115"/>
      <c r="S77" s="115"/>
      <c r="T77" s="115"/>
      <c r="U77" s="115"/>
      <c r="V77" s="115"/>
      <c r="W77" s="115"/>
      <c r="X77" s="115"/>
      <c r="Y77" s="118"/>
      <c r="Z77" s="119"/>
      <c r="AA77" s="119"/>
      <c r="AB77" s="120"/>
      <c r="AE77" s="15" t="str">
        <f t="shared" si="42"/>
        <v>A</v>
      </c>
      <c r="AF77" s="8">
        <f t="shared" si="43"/>
        <v>0</v>
      </c>
      <c r="AG77" s="9">
        <f t="shared" si="51"/>
        <v>0</v>
      </c>
      <c r="AH77" s="9" t="str">
        <f t="shared" si="52"/>
        <v/>
      </c>
      <c r="AI77" s="8">
        <f t="shared" si="44"/>
        <v>0</v>
      </c>
      <c r="AJ77" s="45">
        <f t="shared" si="53"/>
        <v>0</v>
      </c>
      <c r="AK77" s="45">
        <f t="shared" si="54"/>
        <v>0</v>
      </c>
      <c r="AL77" s="45">
        <f t="shared" si="55"/>
        <v>0</v>
      </c>
      <c r="AM77" s="8" t="str">
        <f t="shared" si="56"/>
        <v>--</v>
      </c>
      <c r="AN77" s="10">
        <f t="shared" si="57"/>
        <v>0</v>
      </c>
      <c r="AO77" s="10">
        <f t="shared" si="58"/>
        <v>0</v>
      </c>
      <c r="AP77" s="10">
        <f t="shared" si="59"/>
        <v>0</v>
      </c>
      <c r="AQ77" s="10">
        <f t="shared" si="60"/>
        <v>0</v>
      </c>
      <c r="AR77" s="10">
        <f t="shared" si="61"/>
        <v>0</v>
      </c>
      <c r="AS77" s="8">
        <v>6</v>
      </c>
      <c r="AT77" s="9">
        <f t="shared" si="62"/>
        <v>0</v>
      </c>
      <c r="AU77" s="11">
        <f t="shared" si="63"/>
        <v>0</v>
      </c>
      <c r="AV77" s="6"/>
      <c r="AW77" s="6"/>
      <c r="AX77" s="6"/>
      <c r="AZ77" t="str">
        <f t="shared" si="64"/>
        <v>{"group":"A",</v>
      </c>
      <c r="BA77" t="str">
        <f t="shared" si="45"/>
        <v>"lot":0,</v>
      </c>
      <c r="BB77" t="str">
        <f t="shared" si="65"/>
        <v>"name":"0",</v>
      </c>
      <c r="BC77" t="str">
        <f t="shared" si="66"/>
        <v>"team":"",</v>
      </c>
      <c r="BD77" t="str">
        <f t="shared" si="67"/>
        <v>"year":"0",</v>
      </c>
      <c r="BE77" t="str">
        <f t="shared" si="68"/>
        <v>"gender":"0",</v>
      </c>
      <c r="BF77" t="str">
        <f t="shared" si="69"/>
        <v>"gear":"0",</v>
      </c>
      <c r="BG77" t="str">
        <f t="shared" si="70"/>
        <v>"lifts":"0",</v>
      </c>
      <c r="BH77" t="str">
        <f t="shared" si="71"/>
        <v>"division":"--",</v>
      </c>
      <c r="BI77" t="str">
        <f t="shared" si="72"/>
        <v>"wc":"0",</v>
      </c>
      <c r="BJ77" t="str">
        <f t="shared" si="73"/>
        <v>"bw":"",</v>
      </c>
      <c r="BK77" t="str">
        <f t="shared" si="74"/>
        <v>"pb":[0,0,0,0],</v>
      </c>
      <c r="BL77" t="str">
        <f t="shared" si="46"/>
        <v>"idx":"6",</v>
      </c>
      <c r="BM77" t="str">
        <f t="shared" si="47"/>
        <v>"sr":"0",</v>
      </c>
      <c r="BN77" t="str">
        <f t="shared" si="48"/>
        <v>"br":"0",</v>
      </c>
      <c r="BO77" t="str">
        <f t="shared" si="49"/>
        <v>"row":0,</v>
      </c>
      <c r="BP77" t="s">
        <v>55</v>
      </c>
      <c r="BQ77" t="str">
        <f t="shared" si="50"/>
        <v>"sq":{"a1":0,"a2":"","a3":"","s1":0,"s2":0,"s3":0},"bp":{"a1":0,"a2":"","a3":"","s1":0,"s2":0,"s3":0},"dl":{"a1":0,"a2":"","a3":"","s1":0,"s2":0,"s3":0},"sortOrder":0,"act":{}}</v>
      </c>
      <c r="BR77" t="str">
        <f t="shared" si="75"/>
        <v>{"group":"A","lot":0,"name":"0","team":"","year":"0","gender":"0","gear":"0","lifts":"0","division":"--","wc":"0","bw":"","pb":[0,0,0,0],"idx":"6","sr":"0","br":"0","row":0,"sq":{"a1":0,"a2":"","a3":"","s1":0,"s2":0,"s3":0},"bp":{"a1":0,"a2":"","a3":"","s1":0,"s2":0,"s3":0},"dl":{"a1":0,"a2":"","a3":"","s1":0,"s2":0,"s3":0},"sortOrder":0,"act":{}}</v>
      </c>
    </row>
    <row r="78" spans="5:70" x14ac:dyDescent="0.25">
      <c r="E78" s="114"/>
      <c r="F78" s="115"/>
      <c r="G78" s="115"/>
      <c r="H78" s="115"/>
      <c r="I78" s="115"/>
      <c r="J78" s="115"/>
      <c r="K78" s="115"/>
      <c r="L78" s="116"/>
      <c r="M78" s="117"/>
      <c r="N78" s="116"/>
      <c r="O78" s="148">
        <f t="shared" ca="1" si="76"/>
        <v>2023</v>
      </c>
      <c r="P78" s="115"/>
      <c r="Q78" s="115"/>
      <c r="R78" s="115"/>
      <c r="S78" s="115"/>
      <c r="T78" s="115"/>
      <c r="U78" s="115"/>
      <c r="V78" s="115"/>
      <c r="W78" s="115"/>
      <c r="X78" s="115"/>
      <c r="Y78" s="118"/>
      <c r="Z78" s="119"/>
      <c r="AA78" s="119"/>
      <c r="AB78" s="120"/>
      <c r="AE78" s="15" t="str">
        <f t="shared" si="42"/>
        <v>A</v>
      </c>
      <c r="AF78" s="8">
        <f t="shared" si="43"/>
        <v>0</v>
      </c>
      <c r="AG78" s="9">
        <f t="shared" si="51"/>
        <v>0</v>
      </c>
      <c r="AH78" s="9" t="str">
        <f t="shared" si="52"/>
        <v/>
      </c>
      <c r="AI78" s="8">
        <f t="shared" si="44"/>
        <v>0</v>
      </c>
      <c r="AJ78" s="45">
        <f t="shared" si="53"/>
        <v>0</v>
      </c>
      <c r="AK78" s="45">
        <f t="shared" si="54"/>
        <v>0</v>
      </c>
      <c r="AL78" s="45">
        <f t="shared" si="55"/>
        <v>0</v>
      </c>
      <c r="AM78" s="8" t="str">
        <f t="shared" si="56"/>
        <v>--</v>
      </c>
      <c r="AN78" s="10">
        <f t="shared" si="57"/>
        <v>0</v>
      </c>
      <c r="AO78" s="10">
        <f t="shared" si="58"/>
        <v>0</v>
      </c>
      <c r="AP78" s="10">
        <f t="shared" si="59"/>
        <v>0</v>
      </c>
      <c r="AQ78" s="10">
        <f t="shared" si="60"/>
        <v>0</v>
      </c>
      <c r="AR78" s="10">
        <f t="shared" si="61"/>
        <v>0</v>
      </c>
      <c r="AS78" s="8">
        <v>7</v>
      </c>
      <c r="AT78" s="9">
        <f t="shared" si="62"/>
        <v>0</v>
      </c>
      <c r="AU78" s="11">
        <f t="shared" si="63"/>
        <v>0</v>
      </c>
      <c r="AV78" s="6"/>
      <c r="AW78" s="6"/>
      <c r="AX78" s="6"/>
      <c r="AZ78" t="str">
        <f t="shared" si="64"/>
        <v>{"group":"A",</v>
      </c>
      <c r="BA78" t="str">
        <f t="shared" si="45"/>
        <v>"lot":0,</v>
      </c>
      <c r="BB78" t="str">
        <f t="shared" si="65"/>
        <v>"name":"0",</v>
      </c>
      <c r="BC78" t="str">
        <f t="shared" si="66"/>
        <v>"team":"",</v>
      </c>
      <c r="BD78" t="str">
        <f t="shared" si="67"/>
        <v>"year":"0",</v>
      </c>
      <c r="BE78" t="str">
        <f t="shared" si="68"/>
        <v>"gender":"0",</v>
      </c>
      <c r="BF78" t="str">
        <f t="shared" si="69"/>
        <v>"gear":"0",</v>
      </c>
      <c r="BG78" t="str">
        <f t="shared" si="70"/>
        <v>"lifts":"0",</v>
      </c>
      <c r="BH78" t="str">
        <f t="shared" si="71"/>
        <v>"division":"--",</v>
      </c>
      <c r="BI78" t="str">
        <f t="shared" si="72"/>
        <v>"wc":"0",</v>
      </c>
      <c r="BJ78" t="str">
        <f t="shared" si="73"/>
        <v>"bw":"",</v>
      </c>
      <c r="BK78" t="str">
        <f t="shared" si="74"/>
        <v>"pb":[0,0,0,0],</v>
      </c>
      <c r="BL78" t="str">
        <f t="shared" si="46"/>
        <v>"idx":"7",</v>
      </c>
      <c r="BM78" t="str">
        <f t="shared" si="47"/>
        <v>"sr":"0",</v>
      </c>
      <c r="BN78" t="str">
        <f t="shared" si="48"/>
        <v>"br":"0",</v>
      </c>
      <c r="BO78" t="str">
        <f t="shared" si="49"/>
        <v>"row":0,</v>
      </c>
      <c r="BP78" t="s">
        <v>55</v>
      </c>
      <c r="BQ78" t="str">
        <f t="shared" si="50"/>
        <v>"sq":{"a1":0,"a2":"","a3":"","s1":0,"s2":0,"s3":0},"bp":{"a1":0,"a2":"","a3":"","s1":0,"s2":0,"s3":0},"dl":{"a1":0,"a2":"","a3":"","s1":0,"s2":0,"s3":0},"sortOrder":0,"act":{}}</v>
      </c>
      <c r="BR78" t="str">
        <f t="shared" si="75"/>
        <v>{"group":"A","lot":0,"name":"0","team":"","year":"0","gender":"0","gear":"0","lifts":"0","division":"--","wc":"0","bw":"","pb":[0,0,0,0],"idx":"7","sr":"0","br":"0","row":0,"sq":{"a1":0,"a2":"","a3":"","s1":0,"s2":0,"s3":0},"bp":{"a1":0,"a2":"","a3":"","s1":0,"s2":0,"s3":0},"dl":{"a1":0,"a2":"","a3":"","s1":0,"s2":0,"s3":0},"sortOrder":0,"act":{}}</v>
      </c>
    </row>
    <row r="79" spans="5:70" x14ac:dyDescent="0.25">
      <c r="E79" s="114"/>
      <c r="F79" s="115"/>
      <c r="G79" s="115"/>
      <c r="H79" s="115"/>
      <c r="I79" s="115"/>
      <c r="J79" s="115"/>
      <c r="K79" s="115"/>
      <c r="L79" s="116"/>
      <c r="M79" s="117"/>
      <c r="N79" s="116"/>
      <c r="O79" s="148">
        <f t="shared" ca="1" si="76"/>
        <v>2023</v>
      </c>
      <c r="P79" s="115"/>
      <c r="Q79" s="115"/>
      <c r="R79" s="115"/>
      <c r="S79" s="115"/>
      <c r="T79" s="115"/>
      <c r="U79" s="115"/>
      <c r="V79" s="115"/>
      <c r="W79" s="115"/>
      <c r="X79" s="115"/>
      <c r="Y79" s="118"/>
      <c r="Z79" s="119"/>
      <c r="AA79" s="119"/>
      <c r="AB79" s="120"/>
      <c r="AE79" s="15" t="str">
        <f t="shared" si="42"/>
        <v>A</v>
      </c>
      <c r="AF79" s="8">
        <f t="shared" si="43"/>
        <v>0</v>
      </c>
      <c r="AG79" s="9">
        <f t="shared" si="51"/>
        <v>0</v>
      </c>
      <c r="AH79" s="9" t="str">
        <f t="shared" si="52"/>
        <v/>
      </c>
      <c r="AI79" s="8">
        <f t="shared" si="44"/>
        <v>0</v>
      </c>
      <c r="AJ79" s="45">
        <f t="shared" si="53"/>
        <v>0</v>
      </c>
      <c r="AK79" s="45">
        <f t="shared" si="54"/>
        <v>0</v>
      </c>
      <c r="AL79" s="45">
        <f t="shared" si="55"/>
        <v>0</v>
      </c>
      <c r="AM79" s="8" t="str">
        <f t="shared" si="56"/>
        <v>--</v>
      </c>
      <c r="AN79" s="10">
        <f t="shared" si="57"/>
        <v>0</v>
      </c>
      <c r="AO79" s="10">
        <f t="shared" si="58"/>
        <v>0</v>
      </c>
      <c r="AP79" s="10">
        <f t="shared" si="59"/>
        <v>0</v>
      </c>
      <c r="AQ79" s="10">
        <f t="shared" si="60"/>
        <v>0</v>
      </c>
      <c r="AR79" s="10">
        <f t="shared" si="61"/>
        <v>0</v>
      </c>
      <c r="AS79" s="8">
        <v>8</v>
      </c>
      <c r="AT79" s="9">
        <f t="shared" si="62"/>
        <v>0</v>
      </c>
      <c r="AU79" s="11">
        <f t="shared" si="63"/>
        <v>0</v>
      </c>
      <c r="AV79" s="6"/>
      <c r="AW79" s="6"/>
      <c r="AX79" s="6"/>
      <c r="AZ79" t="str">
        <f t="shared" si="64"/>
        <v>{"group":"A",</v>
      </c>
      <c r="BA79" t="str">
        <f t="shared" si="45"/>
        <v>"lot":0,</v>
      </c>
      <c r="BB79" t="str">
        <f t="shared" si="65"/>
        <v>"name":"0",</v>
      </c>
      <c r="BC79" t="str">
        <f t="shared" si="66"/>
        <v>"team":"",</v>
      </c>
      <c r="BD79" t="str">
        <f t="shared" si="67"/>
        <v>"year":"0",</v>
      </c>
      <c r="BE79" t="str">
        <f t="shared" si="68"/>
        <v>"gender":"0",</v>
      </c>
      <c r="BF79" t="str">
        <f t="shared" si="69"/>
        <v>"gear":"0",</v>
      </c>
      <c r="BG79" t="str">
        <f t="shared" si="70"/>
        <v>"lifts":"0",</v>
      </c>
      <c r="BH79" t="str">
        <f t="shared" si="71"/>
        <v>"division":"--",</v>
      </c>
      <c r="BI79" t="str">
        <f t="shared" si="72"/>
        <v>"wc":"0",</v>
      </c>
      <c r="BJ79" t="str">
        <f t="shared" si="73"/>
        <v>"bw":"",</v>
      </c>
      <c r="BK79" t="str">
        <f t="shared" si="74"/>
        <v>"pb":[0,0,0,0],</v>
      </c>
      <c r="BL79" t="str">
        <f t="shared" si="46"/>
        <v>"idx":"8",</v>
      </c>
      <c r="BM79" t="str">
        <f t="shared" si="47"/>
        <v>"sr":"0",</v>
      </c>
      <c r="BN79" t="str">
        <f t="shared" si="48"/>
        <v>"br":"0",</v>
      </c>
      <c r="BO79" t="str">
        <f t="shared" si="49"/>
        <v>"row":0,</v>
      </c>
      <c r="BP79" t="s">
        <v>55</v>
      </c>
      <c r="BQ79" t="str">
        <f t="shared" si="50"/>
        <v>"sq":{"a1":0,"a2":"","a3":"","s1":0,"s2":0,"s3":0},"bp":{"a1":0,"a2":"","a3":"","s1":0,"s2":0,"s3":0},"dl":{"a1":0,"a2":"","a3":"","s1":0,"s2":0,"s3":0},"sortOrder":0,"act":{}}</v>
      </c>
      <c r="BR79" t="str">
        <f t="shared" si="75"/>
        <v>{"group":"A","lot":0,"name":"0","team":"","year":"0","gender":"0","gear":"0","lifts":"0","division":"--","wc":"0","bw":"","pb":[0,0,0,0],"idx":"8","sr":"0","br":"0","row":0,"sq":{"a1":0,"a2":"","a3":"","s1":0,"s2":0,"s3":0},"bp":{"a1":0,"a2":"","a3":"","s1":0,"s2":0,"s3":0},"dl":{"a1":0,"a2":"","a3":"","s1":0,"s2":0,"s3":0},"sortOrder":0,"act":{}}</v>
      </c>
    </row>
    <row r="80" spans="5:70" x14ac:dyDescent="0.25">
      <c r="E80" s="121"/>
      <c r="F80" s="122"/>
      <c r="G80" s="122"/>
      <c r="H80" s="122"/>
      <c r="I80" s="122"/>
      <c r="J80" s="122"/>
      <c r="K80" s="122"/>
      <c r="L80" s="123"/>
      <c r="M80" s="124"/>
      <c r="N80" s="123"/>
      <c r="O80" s="148">
        <f t="shared" ca="1" si="76"/>
        <v>2023</v>
      </c>
      <c r="P80" s="122"/>
      <c r="Q80" s="122"/>
      <c r="R80" s="122"/>
      <c r="S80" s="122"/>
      <c r="T80" s="122"/>
      <c r="U80" s="122"/>
      <c r="V80" s="122"/>
      <c r="W80" s="122"/>
      <c r="X80" s="122"/>
      <c r="Y80" s="125"/>
      <c r="Z80" s="126"/>
      <c r="AA80" s="126"/>
      <c r="AB80" s="127"/>
      <c r="AE80" s="15" t="str">
        <f t="shared" si="42"/>
        <v>A</v>
      </c>
      <c r="AF80" s="8">
        <f t="shared" si="43"/>
        <v>0</v>
      </c>
      <c r="AG80" s="9">
        <f t="shared" si="51"/>
        <v>0</v>
      </c>
      <c r="AH80" s="9" t="str">
        <f t="shared" si="52"/>
        <v/>
      </c>
      <c r="AI80" s="8">
        <f t="shared" si="44"/>
        <v>0</v>
      </c>
      <c r="AJ80" s="45">
        <f t="shared" si="53"/>
        <v>0</v>
      </c>
      <c r="AK80" s="45">
        <f t="shared" si="54"/>
        <v>0</v>
      </c>
      <c r="AL80" s="45">
        <f t="shared" si="55"/>
        <v>0</v>
      </c>
      <c r="AM80" s="8" t="str">
        <f t="shared" si="56"/>
        <v>--</v>
      </c>
      <c r="AN80" s="10">
        <f t="shared" si="57"/>
        <v>0</v>
      </c>
      <c r="AO80" s="10">
        <f t="shared" si="58"/>
        <v>0</v>
      </c>
      <c r="AP80" s="10">
        <f t="shared" si="59"/>
        <v>0</v>
      </c>
      <c r="AQ80" s="10">
        <f t="shared" si="60"/>
        <v>0</v>
      </c>
      <c r="AR80" s="10">
        <f t="shared" si="61"/>
        <v>0</v>
      </c>
      <c r="AS80" s="8">
        <v>9</v>
      </c>
      <c r="AT80" s="9">
        <f t="shared" si="62"/>
        <v>0</v>
      </c>
      <c r="AU80" s="11">
        <f t="shared" si="63"/>
        <v>0</v>
      </c>
      <c r="AV80" s="6"/>
      <c r="AW80" s="6"/>
      <c r="AX80" s="6"/>
      <c r="AZ80" t="str">
        <f t="shared" si="64"/>
        <v>{"group":"A",</v>
      </c>
      <c r="BA80" t="str">
        <f t="shared" si="45"/>
        <v>"lot":0,</v>
      </c>
      <c r="BB80" t="str">
        <f t="shared" si="65"/>
        <v>"name":"0",</v>
      </c>
      <c r="BC80" t="str">
        <f t="shared" si="66"/>
        <v>"team":"",</v>
      </c>
      <c r="BD80" t="str">
        <f t="shared" si="67"/>
        <v>"year":"0",</v>
      </c>
      <c r="BE80" t="str">
        <f t="shared" si="68"/>
        <v>"gender":"0",</v>
      </c>
      <c r="BF80" t="str">
        <f t="shared" si="69"/>
        <v>"gear":"0",</v>
      </c>
      <c r="BG80" t="str">
        <f t="shared" si="70"/>
        <v>"lifts":"0",</v>
      </c>
      <c r="BH80" t="str">
        <f t="shared" si="71"/>
        <v>"division":"--",</v>
      </c>
      <c r="BI80" t="str">
        <f t="shared" si="72"/>
        <v>"wc":"0",</v>
      </c>
      <c r="BJ80" t="str">
        <f t="shared" si="73"/>
        <v>"bw":"",</v>
      </c>
      <c r="BK80" t="str">
        <f t="shared" si="74"/>
        <v>"pb":[0,0,0,0],</v>
      </c>
      <c r="BL80" t="str">
        <f t="shared" si="46"/>
        <v>"idx":"9",</v>
      </c>
      <c r="BM80" t="str">
        <f t="shared" si="47"/>
        <v>"sr":"0",</v>
      </c>
      <c r="BN80" t="str">
        <f t="shared" si="48"/>
        <v>"br":"0",</v>
      </c>
      <c r="BO80" t="str">
        <f t="shared" si="49"/>
        <v>"row":0,</v>
      </c>
      <c r="BP80" t="s">
        <v>55</v>
      </c>
      <c r="BQ80" t="str">
        <f t="shared" si="50"/>
        <v>"sq":{"a1":0,"a2":"","a3":"","s1":0,"s2":0,"s3":0},"bp":{"a1":0,"a2":"","a3":"","s1":0,"s2":0,"s3":0},"dl":{"a1":0,"a2":"","a3":"","s1":0,"s2":0,"s3":0},"sortOrder":0,"act":{}}</v>
      </c>
      <c r="BR80" t="str">
        <f t="shared" si="75"/>
        <v>{"group":"A","lot":0,"name":"0","team":"","year":"0","gender":"0","gear":"0","lifts":"0","division":"--","wc":"0","bw":"","pb":[0,0,0,0],"idx":"9","sr":"0","br":"0","row":0,"sq":{"a1":0,"a2":"","a3":"","s1":0,"s2":0,"s3":0},"bp":{"a1":0,"a2":"","a3":"","s1":0,"s2":0,"s3":0},"dl":{"a1":0,"a2":"","a3":"","s1":0,"s2":0,"s3":0},"sortOrder":0,"act":{}}</v>
      </c>
    </row>
    <row r="81" spans="5:70" x14ac:dyDescent="0.25">
      <c r="E81" s="121"/>
      <c r="F81" s="122"/>
      <c r="G81" s="122"/>
      <c r="H81" s="122"/>
      <c r="I81" s="122"/>
      <c r="J81" s="122"/>
      <c r="K81" s="122"/>
      <c r="L81" s="123"/>
      <c r="M81" s="124"/>
      <c r="N81" s="123"/>
      <c r="O81" s="148">
        <f t="shared" ca="1" si="76"/>
        <v>2023</v>
      </c>
      <c r="P81" s="122"/>
      <c r="Q81" s="122"/>
      <c r="R81" s="122"/>
      <c r="S81" s="122"/>
      <c r="T81" s="122"/>
      <c r="U81" s="122"/>
      <c r="V81" s="122"/>
      <c r="W81" s="122"/>
      <c r="X81" s="122"/>
      <c r="Y81" s="125"/>
      <c r="Z81" s="126"/>
      <c r="AA81" s="126"/>
      <c r="AB81" s="127"/>
      <c r="AE81" s="15" t="str">
        <f t="shared" si="42"/>
        <v>A</v>
      </c>
      <c r="AF81" s="8">
        <f t="shared" si="43"/>
        <v>0</v>
      </c>
      <c r="AG81" s="9">
        <f t="shared" si="51"/>
        <v>0</v>
      </c>
      <c r="AH81" s="9" t="str">
        <f t="shared" si="52"/>
        <v/>
      </c>
      <c r="AI81" s="8">
        <f t="shared" si="44"/>
        <v>0</v>
      </c>
      <c r="AJ81" s="45">
        <f t="shared" si="53"/>
        <v>0</v>
      </c>
      <c r="AK81" s="45">
        <f t="shared" si="54"/>
        <v>0</v>
      </c>
      <c r="AL81" s="45">
        <f t="shared" si="55"/>
        <v>0</v>
      </c>
      <c r="AM81" s="8" t="str">
        <f t="shared" si="56"/>
        <v>--</v>
      </c>
      <c r="AN81" s="10">
        <f t="shared" si="57"/>
        <v>0</v>
      </c>
      <c r="AO81" s="10">
        <f t="shared" si="58"/>
        <v>0</v>
      </c>
      <c r="AP81" s="10">
        <f t="shared" si="59"/>
        <v>0</v>
      </c>
      <c r="AQ81" s="10">
        <f t="shared" si="60"/>
        <v>0</v>
      </c>
      <c r="AR81" s="10">
        <f t="shared" si="61"/>
        <v>0</v>
      </c>
      <c r="AS81" s="8">
        <v>10</v>
      </c>
      <c r="AT81" s="9">
        <f t="shared" si="62"/>
        <v>0</v>
      </c>
      <c r="AU81" s="11">
        <f t="shared" si="63"/>
        <v>0</v>
      </c>
      <c r="AV81" s="6"/>
      <c r="AW81" s="6"/>
      <c r="AX81" s="6"/>
      <c r="AZ81" t="str">
        <f t="shared" si="64"/>
        <v>{"group":"A",</v>
      </c>
      <c r="BA81" t="str">
        <f t="shared" si="45"/>
        <v>"lot":0,</v>
      </c>
      <c r="BB81" t="str">
        <f t="shared" si="65"/>
        <v>"name":"0",</v>
      </c>
      <c r="BC81" t="str">
        <f t="shared" si="66"/>
        <v>"team":"",</v>
      </c>
      <c r="BD81" t="str">
        <f t="shared" si="67"/>
        <v>"year":"0",</v>
      </c>
      <c r="BE81" t="str">
        <f t="shared" si="68"/>
        <v>"gender":"0",</v>
      </c>
      <c r="BF81" t="str">
        <f t="shared" si="69"/>
        <v>"gear":"0",</v>
      </c>
      <c r="BG81" t="str">
        <f t="shared" si="70"/>
        <v>"lifts":"0",</v>
      </c>
      <c r="BH81" t="str">
        <f t="shared" si="71"/>
        <v>"division":"--",</v>
      </c>
      <c r="BI81" t="str">
        <f t="shared" si="72"/>
        <v>"wc":"0",</v>
      </c>
      <c r="BJ81" t="str">
        <f t="shared" si="73"/>
        <v>"bw":"",</v>
      </c>
      <c r="BK81" t="str">
        <f t="shared" si="74"/>
        <v>"pb":[0,0,0,0],</v>
      </c>
      <c r="BL81" t="str">
        <f t="shared" si="46"/>
        <v>"idx":"10",</v>
      </c>
      <c r="BM81" t="str">
        <f t="shared" si="47"/>
        <v>"sr":"0",</v>
      </c>
      <c r="BN81" t="str">
        <f t="shared" si="48"/>
        <v>"br":"0",</v>
      </c>
      <c r="BO81" t="str">
        <f t="shared" si="49"/>
        <v>"row":0,</v>
      </c>
      <c r="BP81" t="s">
        <v>55</v>
      </c>
      <c r="BQ81" t="str">
        <f t="shared" si="50"/>
        <v>"sq":{"a1":0,"a2":"","a3":"","s1":0,"s2":0,"s3":0},"bp":{"a1":0,"a2":"","a3":"","s1":0,"s2":0,"s3":0},"dl":{"a1":0,"a2":"","a3":"","s1":0,"s2":0,"s3":0},"sortOrder":0,"act":{}}</v>
      </c>
      <c r="BR81" t="str">
        <f t="shared" si="75"/>
        <v>{"group":"A","lot":0,"name":"0","team":"","year":"0","gender":"0","gear":"0","lifts":"0","division":"--","wc":"0","bw":"","pb":[0,0,0,0],"idx":"10","sr":"0","br":"0","row":0,"sq":{"a1":0,"a2":"","a3":"","s1":0,"s2":0,"s3":0},"bp":{"a1":0,"a2":"","a3":"","s1":0,"s2":0,"s3":0},"dl":{"a1":0,"a2":"","a3":"","s1":0,"s2":0,"s3":0},"sortOrder":0,"act":{}}</v>
      </c>
    </row>
    <row r="82" spans="5:70" x14ac:dyDescent="0.25">
      <c r="E82" s="121"/>
      <c r="F82" s="122"/>
      <c r="G82" s="122"/>
      <c r="H82" s="122"/>
      <c r="I82" s="122"/>
      <c r="J82" s="122"/>
      <c r="K82" s="122"/>
      <c r="L82" s="123"/>
      <c r="M82" s="124"/>
      <c r="N82" s="123"/>
      <c r="O82" s="148">
        <f t="shared" ca="1" si="76"/>
        <v>2023</v>
      </c>
      <c r="P82" s="122"/>
      <c r="Q82" s="122"/>
      <c r="R82" s="122"/>
      <c r="S82" s="122"/>
      <c r="T82" s="122"/>
      <c r="U82" s="122"/>
      <c r="V82" s="122"/>
      <c r="W82" s="122"/>
      <c r="X82" s="122"/>
      <c r="Y82" s="125"/>
      <c r="Z82" s="126"/>
      <c r="AA82" s="126"/>
      <c r="AB82" s="127"/>
      <c r="AE82" s="15" t="str">
        <f t="shared" si="42"/>
        <v>A</v>
      </c>
      <c r="AF82" s="8">
        <f t="shared" si="43"/>
        <v>0</v>
      </c>
      <c r="AG82" s="9">
        <f t="shared" si="51"/>
        <v>0</v>
      </c>
      <c r="AH82" s="9" t="str">
        <f t="shared" si="52"/>
        <v/>
      </c>
      <c r="AI82" s="8">
        <f t="shared" si="44"/>
        <v>0</v>
      </c>
      <c r="AJ82" s="45">
        <f t="shared" si="53"/>
        <v>0</v>
      </c>
      <c r="AK82" s="45">
        <f t="shared" si="54"/>
        <v>0</v>
      </c>
      <c r="AL82" s="45">
        <f t="shared" si="55"/>
        <v>0</v>
      </c>
      <c r="AM82" s="8" t="str">
        <f t="shared" si="56"/>
        <v>--</v>
      </c>
      <c r="AN82" s="10">
        <f t="shared" si="57"/>
        <v>0</v>
      </c>
      <c r="AO82" s="10">
        <f t="shared" si="58"/>
        <v>0</v>
      </c>
      <c r="AP82" s="10">
        <f t="shared" si="59"/>
        <v>0</v>
      </c>
      <c r="AQ82" s="10">
        <f t="shared" si="60"/>
        <v>0</v>
      </c>
      <c r="AR82" s="10">
        <f t="shared" si="61"/>
        <v>0</v>
      </c>
      <c r="AS82" s="8">
        <v>11</v>
      </c>
      <c r="AT82" s="9">
        <f t="shared" si="62"/>
        <v>0</v>
      </c>
      <c r="AU82" s="11">
        <f t="shared" si="63"/>
        <v>0</v>
      </c>
      <c r="AV82" s="6"/>
      <c r="AW82" s="6"/>
      <c r="AX82" s="6"/>
      <c r="AZ82" t="str">
        <f t="shared" si="64"/>
        <v>{"group":"A",</v>
      </c>
      <c r="BA82" t="str">
        <f t="shared" si="45"/>
        <v>"lot":0,</v>
      </c>
      <c r="BB82" t="str">
        <f t="shared" si="65"/>
        <v>"name":"0",</v>
      </c>
      <c r="BC82" t="str">
        <f t="shared" si="66"/>
        <v>"team":"",</v>
      </c>
      <c r="BD82" t="str">
        <f t="shared" si="67"/>
        <v>"year":"0",</v>
      </c>
      <c r="BE82" t="str">
        <f t="shared" si="68"/>
        <v>"gender":"0",</v>
      </c>
      <c r="BF82" t="str">
        <f t="shared" si="69"/>
        <v>"gear":"0",</v>
      </c>
      <c r="BG82" t="str">
        <f t="shared" si="70"/>
        <v>"lifts":"0",</v>
      </c>
      <c r="BH82" t="str">
        <f t="shared" si="71"/>
        <v>"division":"--",</v>
      </c>
      <c r="BI82" t="str">
        <f t="shared" si="72"/>
        <v>"wc":"0",</v>
      </c>
      <c r="BJ82" t="str">
        <f t="shared" si="73"/>
        <v>"bw":"",</v>
      </c>
      <c r="BK82" t="str">
        <f t="shared" si="74"/>
        <v>"pb":[0,0,0,0],</v>
      </c>
      <c r="BL82" t="str">
        <f t="shared" si="46"/>
        <v>"idx":"11",</v>
      </c>
      <c r="BM82" t="str">
        <f t="shared" si="47"/>
        <v>"sr":"0",</v>
      </c>
      <c r="BN82" t="str">
        <f t="shared" si="48"/>
        <v>"br":"0",</v>
      </c>
      <c r="BO82" t="str">
        <f t="shared" si="49"/>
        <v>"row":0,</v>
      </c>
      <c r="BP82" t="s">
        <v>55</v>
      </c>
      <c r="BQ82" t="str">
        <f t="shared" si="50"/>
        <v>"sq":{"a1":0,"a2":"","a3":"","s1":0,"s2":0,"s3":0},"bp":{"a1":0,"a2":"","a3":"","s1":0,"s2":0,"s3":0},"dl":{"a1":0,"a2":"","a3":"","s1":0,"s2":0,"s3":0},"sortOrder":0,"act":{}}</v>
      </c>
      <c r="BR82" t="str">
        <f t="shared" si="75"/>
        <v>{"group":"A","lot":0,"name":"0","team":"","year":"0","gender":"0","gear":"0","lifts":"0","division":"--","wc":"0","bw":"","pb":[0,0,0,0],"idx":"11","sr":"0","br":"0","row":0,"sq":{"a1":0,"a2":"","a3":"","s1":0,"s2":0,"s3":0},"bp":{"a1":0,"a2":"","a3":"","s1":0,"s2":0,"s3":0},"dl":{"a1":0,"a2":"","a3":"","s1":0,"s2":0,"s3":0},"sortOrder":0,"act":{}}</v>
      </c>
    </row>
    <row r="83" spans="5:70" x14ac:dyDescent="0.25">
      <c r="E83" s="121"/>
      <c r="F83" s="122"/>
      <c r="G83" s="122"/>
      <c r="H83" s="122"/>
      <c r="I83" s="122"/>
      <c r="J83" s="122"/>
      <c r="K83" s="122"/>
      <c r="L83" s="123"/>
      <c r="M83" s="124"/>
      <c r="N83" s="123"/>
      <c r="O83" s="148">
        <f t="shared" ca="1" si="76"/>
        <v>2023</v>
      </c>
      <c r="P83" s="122"/>
      <c r="Q83" s="122"/>
      <c r="R83" s="122"/>
      <c r="S83" s="122"/>
      <c r="T83" s="122"/>
      <c r="U83" s="122"/>
      <c r="V83" s="122"/>
      <c r="W83" s="122"/>
      <c r="X83" s="122"/>
      <c r="Y83" s="125"/>
      <c r="Z83" s="126"/>
      <c r="AA83" s="126"/>
      <c r="AB83" s="127"/>
      <c r="AE83" s="15" t="str">
        <f t="shared" si="42"/>
        <v>A</v>
      </c>
      <c r="AF83" s="8">
        <f t="shared" si="43"/>
        <v>0</v>
      </c>
      <c r="AG83" s="9">
        <f t="shared" si="51"/>
        <v>0</v>
      </c>
      <c r="AH83" s="9" t="str">
        <f t="shared" si="52"/>
        <v/>
      </c>
      <c r="AI83" s="8">
        <f t="shared" si="44"/>
        <v>0</v>
      </c>
      <c r="AJ83" s="45">
        <f t="shared" si="53"/>
        <v>0</v>
      </c>
      <c r="AK83" s="45">
        <f t="shared" si="54"/>
        <v>0</v>
      </c>
      <c r="AL83" s="45">
        <f t="shared" si="55"/>
        <v>0</v>
      </c>
      <c r="AM83" s="8" t="str">
        <f t="shared" si="56"/>
        <v>--</v>
      </c>
      <c r="AN83" s="10">
        <f t="shared" si="57"/>
        <v>0</v>
      </c>
      <c r="AO83" s="10">
        <f t="shared" si="58"/>
        <v>0</v>
      </c>
      <c r="AP83" s="10">
        <f t="shared" si="59"/>
        <v>0</v>
      </c>
      <c r="AQ83" s="10">
        <f t="shared" si="60"/>
        <v>0</v>
      </c>
      <c r="AR83" s="10">
        <f t="shared" si="61"/>
        <v>0</v>
      </c>
      <c r="AS83" s="8">
        <v>12</v>
      </c>
      <c r="AT83" s="9">
        <f t="shared" si="62"/>
        <v>0</v>
      </c>
      <c r="AU83" s="11">
        <f t="shared" si="63"/>
        <v>0</v>
      </c>
      <c r="AV83" s="6"/>
      <c r="AW83" s="6"/>
      <c r="AX83" s="6"/>
      <c r="AZ83" t="str">
        <f t="shared" si="64"/>
        <v>{"group":"A",</v>
      </c>
      <c r="BA83" t="str">
        <f t="shared" si="45"/>
        <v>"lot":0,</v>
      </c>
      <c r="BB83" t="str">
        <f t="shared" si="65"/>
        <v>"name":"0",</v>
      </c>
      <c r="BC83" t="str">
        <f t="shared" si="66"/>
        <v>"team":"",</v>
      </c>
      <c r="BD83" t="str">
        <f t="shared" si="67"/>
        <v>"year":"0",</v>
      </c>
      <c r="BE83" t="str">
        <f t="shared" si="68"/>
        <v>"gender":"0",</v>
      </c>
      <c r="BF83" t="str">
        <f t="shared" si="69"/>
        <v>"gear":"0",</v>
      </c>
      <c r="BG83" t="str">
        <f t="shared" si="70"/>
        <v>"lifts":"0",</v>
      </c>
      <c r="BH83" t="str">
        <f t="shared" si="71"/>
        <v>"division":"--",</v>
      </c>
      <c r="BI83" t="str">
        <f t="shared" si="72"/>
        <v>"wc":"0",</v>
      </c>
      <c r="BJ83" t="str">
        <f t="shared" si="73"/>
        <v>"bw":"",</v>
      </c>
      <c r="BK83" t="str">
        <f t="shared" si="74"/>
        <v>"pb":[0,0,0,0],</v>
      </c>
      <c r="BL83" t="str">
        <f t="shared" si="46"/>
        <v>"idx":"12",</v>
      </c>
      <c r="BM83" t="str">
        <f t="shared" si="47"/>
        <v>"sr":"0",</v>
      </c>
      <c r="BN83" t="str">
        <f t="shared" si="48"/>
        <v>"br":"0",</v>
      </c>
      <c r="BO83" t="str">
        <f t="shared" si="49"/>
        <v>"row":0,</v>
      </c>
      <c r="BP83" t="s">
        <v>55</v>
      </c>
      <c r="BQ83" t="str">
        <f t="shared" si="50"/>
        <v>"sq":{"a1":0,"a2":"","a3":"","s1":0,"s2":0,"s3":0},"bp":{"a1":0,"a2":"","a3":"","s1":0,"s2":0,"s3":0},"dl":{"a1":0,"a2":"","a3":"","s1":0,"s2":0,"s3":0},"sortOrder":0,"act":{}}</v>
      </c>
      <c r="BR83" t="str">
        <f t="shared" si="75"/>
        <v>{"group":"A","lot":0,"name":"0","team":"","year":"0","gender":"0","gear":"0","lifts":"0","division":"--","wc":"0","bw":"","pb":[0,0,0,0],"idx":"12","sr":"0","br":"0","row":0,"sq":{"a1":0,"a2":"","a3":"","s1":0,"s2":0,"s3":0},"bp":{"a1":0,"a2":"","a3":"","s1":0,"s2":0,"s3":0},"dl":{"a1":0,"a2":"","a3":"","s1":0,"s2":0,"s3":0},"sortOrder":0,"act":{}}</v>
      </c>
    </row>
    <row r="84" spans="5:70" x14ac:dyDescent="0.25">
      <c r="E84" s="121"/>
      <c r="F84" s="122"/>
      <c r="G84" s="122"/>
      <c r="H84" s="122"/>
      <c r="I84" s="122"/>
      <c r="J84" s="122"/>
      <c r="K84" s="122"/>
      <c r="L84" s="123"/>
      <c r="M84" s="124"/>
      <c r="N84" s="123"/>
      <c r="O84" s="148">
        <f t="shared" ca="1" si="76"/>
        <v>2023</v>
      </c>
      <c r="P84" s="122"/>
      <c r="Q84" s="122"/>
      <c r="R84" s="122"/>
      <c r="S84" s="122"/>
      <c r="T84" s="122"/>
      <c r="U84" s="122"/>
      <c r="V84" s="122"/>
      <c r="W84" s="122"/>
      <c r="X84" s="122"/>
      <c r="Y84" s="125"/>
      <c r="Z84" s="126"/>
      <c r="AA84" s="126"/>
      <c r="AB84" s="127"/>
      <c r="AE84" s="15" t="str">
        <f t="shared" si="42"/>
        <v>A</v>
      </c>
      <c r="AF84" s="8">
        <f t="shared" si="43"/>
        <v>0</v>
      </c>
      <c r="AG84" s="9">
        <f t="shared" si="51"/>
        <v>0</v>
      </c>
      <c r="AH84" s="9" t="str">
        <f t="shared" si="52"/>
        <v/>
      </c>
      <c r="AI84" s="8">
        <f t="shared" si="44"/>
        <v>0</v>
      </c>
      <c r="AJ84" s="45">
        <f t="shared" si="53"/>
        <v>0</v>
      </c>
      <c r="AK84" s="45">
        <f t="shared" si="54"/>
        <v>0</v>
      </c>
      <c r="AL84" s="45">
        <f t="shared" si="55"/>
        <v>0</v>
      </c>
      <c r="AM84" s="8" t="str">
        <f t="shared" si="56"/>
        <v>--</v>
      </c>
      <c r="AN84" s="10">
        <f t="shared" si="57"/>
        <v>0</v>
      </c>
      <c r="AO84" s="10">
        <f t="shared" si="58"/>
        <v>0</v>
      </c>
      <c r="AP84" s="10">
        <f t="shared" si="59"/>
        <v>0</v>
      </c>
      <c r="AQ84" s="10">
        <f t="shared" si="60"/>
        <v>0</v>
      </c>
      <c r="AR84" s="10">
        <f t="shared" si="61"/>
        <v>0</v>
      </c>
      <c r="AS84" s="8">
        <v>13</v>
      </c>
      <c r="AT84" s="9">
        <f t="shared" si="62"/>
        <v>0</v>
      </c>
      <c r="AU84" s="11">
        <f t="shared" si="63"/>
        <v>0</v>
      </c>
      <c r="AV84" s="6"/>
      <c r="AW84" s="6"/>
      <c r="AX84" s="6"/>
      <c r="AZ84" t="str">
        <f t="shared" si="64"/>
        <v>{"group":"A",</v>
      </c>
      <c r="BA84" t="str">
        <f t="shared" si="45"/>
        <v>"lot":0,</v>
      </c>
      <c r="BB84" t="str">
        <f t="shared" si="65"/>
        <v>"name":"0",</v>
      </c>
      <c r="BC84" t="str">
        <f t="shared" si="66"/>
        <v>"team":"",</v>
      </c>
      <c r="BD84" t="str">
        <f t="shared" si="67"/>
        <v>"year":"0",</v>
      </c>
      <c r="BE84" t="str">
        <f t="shared" si="68"/>
        <v>"gender":"0",</v>
      </c>
      <c r="BF84" t="str">
        <f t="shared" si="69"/>
        <v>"gear":"0",</v>
      </c>
      <c r="BG84" t="str">
        <f t="shared" si="70"/>
        <v>"lifts":"0",</v>
      </c>
      <c r="BH84" t="str">
        <f t="shared" si="71"/>
        <v>"division":"--",</v>
      </c>
      <c r="BI84" t="str">
        <f t="shared" si="72"/>
        <v>"wc":"0",</v>
      </c>
      <c r="BJ84" t="str">
        <f t="shared" si="73"/>
        <v>"bw":"",</v>
      </c>
      <c r="BK84" t="str">
        <f t="shared" si="74"/>
        <v>"pb":[0,0,0,0],</v>
      </c>
      <c r="BL84" t="str">
        <f t="shared" si="46"/>
        <v>"idx":"13",</v>
      </c>
      <c r="BM84" t="str">
        <f t="shared" si="47"/>
        <v>"sr":"0",</v>
      </c>
      <c r="BN84" t="str">
        <f t="shared" si="48"/>
        <v>"br":"0",</v>
      </c>
      <c r="BO84" t="str">
        <f t="shared" si="49"/>
        <v>"row":0,</v>
      </c>
      <c r="BP84" t="s">
        <v>55</v>
      </c>
      <c r="BQ84" t="str">
        <f t="shared" si="50"/>
        <v>"sq":{"a1":0,"a2":"","a3":"","s1":0,"s2":0,"s3":0},"bp":{"a1":0,"a2":"","a3":"","s1":0,"s2":0,"s3":0},"dl":{"a1":0,"a2":"","a3":"","s1":0,"s2":0,"s3":0},"sortOrder":0,"act":{}}</v>
      </c>
      <c r="BR84" t="str">
        <f t="shared" si="75"/>
        <v>{"group":"A","lot":0,"name":"0","team":"","year":"0","gender":"0","gear":"0","lifts":"0","division":"--","wc":"0","bw":"","pb":[0,0,0,0],"idx":"13","sr":"0","br":"0","row":0,"sq":{"a1":0,"a2":"","a3":"","s1":0,"s2":0,"s3":0},"bp":{"a1":0,"a2":"","a3":"","s1":0,"s2":0,"s3":0},"dl":{"a1":0,"a2":"","a3":"","s1":0,"s2":0,"s3":0},"sortOrder":0,"act":{}}</v>
      </c>
    </row>
    <row r="85" spans="5:70" x14ac:dyDescent="0.25">
      <c r="E85" s="121"/>
      <c r="F85" s="122"/>
      <c r="G85" s="122"/>
      <c r="H85" s="122"/>
      <c r="I85" s="122"/>
      <c r="J85" s="122"/>
      <c r="K85" s="122"/>
      <c r="L85" s="123"/>
      <c r="M85" s="124"/>
      <c r="N85" s="123"/>
      <c r="O85" s="148">
        <f t="shared" ca="1" si="76"/>
        <v>2023</v>
      </c>
      <c r="P85" s="122"/>
      <c r="Q85" s="122"/>
      <c r="R85" s="122"/>
      <c r="S85" s="122"/>
      <c r="T85" s="122"/>
      <c r="U85" s="122"/>
      <c r="V85" s="122"/>
      <c r="W85" s="122"/>
      <c r="X85" s="122"/>
      <c r="Y85" s="125"/>
      <c r="Z85" s="126"/>
      <c r="AA85" s="126"/>
      <c r="AB85" s="127"/>
      <c r="AE85" s="15" t="str">
        <f t="shared" si="42"/>
        <v>A</v>
      </c>
      <c r="AF85" s="8">
        <f t="shared" si="43"/>
        <v>0</v>
      </c>
      <c r="AG85" s="9">
        <f t="shared" si="51"/>
        <v>0</v>
      </c>
      <c r="AH85" s="9" t="str">
        <f t="shared" si="52"/>
        <v/>
      </c>
      <c r="AI85" s="8">
        <f t="shared" si="44"/>
        <v>0</v>
      </c>
      <c r="AJ85" s="45">
        <f t="shared" si="53"/>
        <v>0</v>
      </c>
      <c r="AK85" s="45">
        <f t="shared" si="54"/>
        <v>0</v>
      </c>
      <c r="AL85" s="45">
        <f t="shared" si="55"/>
        <v>0</v>
      </c>
      <c r="AM85" s="8" t="str">
        <f t="shared" si="56"/>
        <v>--</v>
      </c>
      <c r="AN85" s="10">
        <f t="shared" si="57"/>
        <v>0</v>
      </c>
      <c r="AO85" s="10">
        <f t="shared" si="58"/>
        <v>0</v>
      </c>
      <c r="AP85" s="10">
        <f t="shared" si="59"/>
        <v>0</v>
      </c>
      <c r="AQ85" s="10">
        <f t="shared" si="60"/>
        <v>0</v>
      </c>
      <c r="AR85" s="10">
        <f t="shared" si="61"/>
        <v>0</v>
      </c>
      <c r="AS85" s="8">
        <v>14</v>
      </c>
      <c r="AT85" s="9">
        <f t="shared" si="62"/>
        <v>0</v>
      </c>
      <c r="AU85" s="11">
        <f t="shared" si="63"/>
        <v>0</v>
      </c>
      <c r="AV85" s="6"/>
      <c r="AW85" s="6"/>
      <c r="AX85" s="6"/>
      <c r="AZ85" t="str">
        <f t="shared" si="64"/>
        <v>{"group":"A",</v>
      </c>
      <c r="BA85" t="str">
        <f t="shared" si="45"/>
        <v>"lot":0,</v>
      </c>
      <c r="BB85" t="str">
        <f t="shared" si="65"/>
        <v>"name":"0",</v>
      </c>
      <c r="BC85" t="str">
        <f t="shared" si="66"/>
        <v>"team":"",</v>
      </c>
      <c r="BD85" t="str">
        <f t="shared" si="67"/>
        <v>"year":"0",</v>
      </c>
      <c r="BE85" t="str">
        <f t="shared" si="68"/>
        <v>"gender":"0",</v>
      </c>
      <c r="BF85" t="str">
        <f t="shared" si="69"/>
        <v>"gear":"0",</v>
      </c>
      <c r="BG85" t="str">
        <f t="shared" si="70"/>
        <v>"lifts":"0",</v>
      </c>
      <c r="BH85" t="str">
        <f t="shared" si="71"/>
        <v>"division":"--",</v>
      </c>
      <c r="BI85" t="str">
        <f t="shared" si="72"/>
        <v>"wc":"0",</v>
      </c>
      <c r="BJ85" t="str">
        <f t="shared" si="73"/>
        <v>"bw":"",</v>
      </c>
      <c r="BK85" t="str">
        <f t="shared" si="74"/>
        <v>"pb":[0,0,0,0],</v>
      </c>
      <c r="BL85" t="str">
        <f t="shared" si="46"/>
        <v>"idx":"14",</v>
      </c>
      <c r="BM85" t="str">
        <f t="shared" si="47"/>
        <v>"sr":"0",</v>
      </c>
      <c r="BN85" t="str">
        <f t="shared" si="48"/>
        <v>"br":"0",</v>
      </c>
      <c r="BO85" t="str">
        <f t="shared" si="49"/>
        <v>"row":0,</v>
      </c>
      <c r="BP85" t="s">
        <v>55</v>
      </c>
      <c r="BQ85" t="str">
        <f t="shared" si="50"/>
        <v>"sq":{"a1":0,"a2":"","a3":"","s1":0,"s2":0,"s3":0},"bp":{"a1":0,"a2":"","a3":"","s1":0,"s2":0,"s3":0},"dl":{"a1":0,"a2":"","a3":"","s1":0,"s2":0,"s3":0},"sortOrder":0,"act":{}}</v>
      </c>
      <c r="BR85" t="str">
        <f t="shared" si="75"/>
        <v>{"group":"A","lot":0,"name":"0","team":"","year":"0","gender":"0","gear":"0","lifts":"0","division":"--","wc":"0","bw":"","pb":[0,0,0,0],"idx":"14","sr":"0","br":"0","row":0,"sq":{"a1":0,"a2":"","a3":"","s1":0,"s2":0,"s3":0},"bp":{"a1":0,"a2":"","a3":"","s1":0,"s2":0,"s3":0},"dl":{"a1":0,"a2":"","a3":"","s1":0,"s2":0,"s3":0},"sortOrder":0,"act":{}}</v>
      </c>
    </row>
    <row r="86" spans="5:70" x14ac:dyDescent="0.25">
      <c r="E86" s="121"/>
      <c r="F86" s="122"/>
      <c r="G86" s="122"/>
      <c r="H86" s="122"/>
      <c r="I86" s="122"/>
      <c r="J86" s="122"/>
      <c r="K86" s="122"/>
      <c r="L86" s="123"/>
      <c r="M86" s="124"/>
      <c r="N86" s="123"/>
      <c r="O86" s="148">
        <f t="shared" ca="1" si="76"/>
        <v>2023</v>
      </c>
      <c r="P86" s="122"/>
      <c r="Q86" s="122"/>
      <c r="R86" s="122"/>
      <c r="S86" s="122"/>
      <c r="T86" s="122"/>
      <c r="U86" s="122"/>
      <c r="V86" s="122"/>
      <c r="W86" s="122"/>
      <c r="X86" s="122"/>
      <c r="Y86" s="125"/>
      <c r="Z86" s="126"/>
      <c r="AA86" s="126"/>
      <c r="AB86" s="127"/>
      <c r="AE86" s="15" t="str">
        <f t="shared" si="42"/>
        <v>A</v>
      </c>
      <c r="AF86" s="8">
        <f t="shared" si="43"/>
        <v>0</v>
      </c>
      <c r="AG86" s="9">
        <f t="shared" si="51"/>
        <v>0</v>
      </c>
      <c r="AH86" s="9" t="str">
        <f t="shared" si="52"/>
        <v/>
      </c>
      <c r="AI86" s="8">
        <f t="shared" si="44"/>
        <v>0</v>
      </c>
      <c r="AJ86" s="45">
        <f t="shared" si="53"/>
        <v>0</v>
      </c>
      <c r="AK86" s="45">
        <f t="shared" si="54"/>
        <v>0</v>
      </c>
      <c r="AL86" s="45">
        <f t="shared" si="55"/>
        <v>0</v>
      </c>
      <c r="AM86" s="8" t="str">
        <f t="shared" si="56"/>
        <v>--</v>
      </c>
      <c r="AN86" s="10">
        <f t="shared" si="57"/>
        <v>0</v>
      </c>
      <c r="AO86" s="10">
        <f t="shared" si="58"/>
        <v>0</v>
      </c>
      <c r="AP86" s="10">
        <f t="shared" si="59"/>
        <v>0</v>
      </c>
      <c r="AQ86" s="10">
        <f t="shared" si="60"/>
        <v>0</v>
      </c>
      <c r="AR86" s="10">
        <f t="shared" si="61"/>
        <v>0</v>
      </c>
      <c r="AS86" s="8">
        <v>15</v>
      </c>
      <c r="AT86" s="9">
        <f t="shared" si="62"/>
        <v>0</v>
      </c>
      <c r="AU86" s="11">
        <f t="shared" si="63"/>
        <v>0</v>
      </c>
      <c r="AV86" s="6"/>
      <c r="AW86" s="6"/>
      <c r="AX86" s="6"/>
      <c r="AZ86" t="str">
        <f t="shared" si="64"/>
        <v>{"group":"A",</v>
      </c>
      <c r="BA86" t="str">
        <f t="shared" si="45"/>
        <v>"lot":0,</v>
      </c>
      <c r="BB86" t="str">
        <f t="shared" si="65"/>
        <v>"name":"0",</v>
      </c>
      <c r="BC86" t="str">
        <f t="shared" si="66"/>
        <v>"team":"",</v>
      </c>
      <c r="BD86" t="str">
        <f t="shared" si="67"/>
        <v>"year":"0",</v>
      </c>
      <c r="BE86" t="str">
        <f t="shared" si="68"/>
        <v>"gender":"0",</v>
      </c>
      <c r="BF86" t="str">
        <f t="shared" si="69"/>
        <v>"gear":"0",</v>
      </c>
      <c r="BG86" t="str">
        <f t="shared" si="70"/>
        <v>"lifts":"0",</v>
      </c>
      <c r="BH86" t="str">
        <f t="shared" si="71"/>
        <v>"division":"--",</v>
      </c>
      <c r="BI86" t="str">
        <f t="shared" si="72"/>
        <v>"wc":"0",</v>
      </c>
      <c r="BJ86" t="str">
        <f t="shared" si="73"/>
        <v>"bw":"",</v>
      </c>
      <c r="BK86" t="str">
        <f t="shared" si="74"/>
        <v>"pb":[0,0,0,0],</v>
      </c>
      <c r="BL86" t="str">
        <f t="shared" si="46"/>
        <v>"idx":"15",</v>
      </c>
      <c r="BM86" t="str">
        <f t="shared" si="47"/>
        <v>"sr":"0",</v>
      </c>
      <c r="BN86" t="str">
        <f t="shared" si="48"/>
        <v>"br":"0",</v>
      </c>
      <c r="BO86" t="str">
        <f t="shared" si="49"/>
        <v>"row":0,</v>
      </c>
      <c r="BP86" t="s">
        <v>55</v>
      </c>
      <c r="BQ86" t="str">
        <f t="shared" si="50"/>
        <v>"sq":{"a1":0,"a2":"","a3":"","s1":0,"s2":0,"s3":0},"bp":{"a1":0,"a2":"","a3":"","s1":0,"s2":0,"s3":0},"dl":{"a1":0,"a2":"","a3":"","s1":0,"s2":0,"s3":0},"sortOrder":0,"act":{}}</v>
      </c>
      <c r="BR86" t="str">
        <f t="shared" si="75"/>
        <v>{"group":"A","lot":0,"name":"0","team":"","year":"0","gender":"0","gear":"0","lifts":"0","division":"--","wc":"0","bw":"","pb":[0,0,0,0],"idx":"15","sr":"0","br":"0","row":0,"sq":{"a1":0,"a2":"","a3":"","s1":0,"s2":0,"s3":0},"bp":{"a1":0,"a2":"","a3":"","s1":0,"s2":0,"s3":0},"dl":{"a1":0,"a2":"","a3":"","s1":0,"s2":0,"s3":0},"sortOrder":0,"act":{}}</v>
      </c>
    </row>
    <row r="87" spans="5:70" x14ac:dyDescent="0.25">
      <c r="E87" s="121"/>
      <c r="F87" s="122"/>
      <c r="G87" s="122"/>
      <c r="H87" s="122"/>
      <c r="I87" s="122"/>
      <c r="J87" s="122"/>
      <c r="K87" s="122"/>
      <c r="L87" s="123"/>
      <c r="M87" s="124"/>
      <c r="N87" s="123"/>
      <c r="O87" s="148">
        <f t="shared" ca="1" si="76"/>
        <v>2023</v>
      </c>
      <c r="P87" s="122"/>
      <c r="Q87" s="122"/>
      <c r="R87" s="122"/>
      <c r="S87" s="122"/>
      <c r="T87" s="122"/>
      <c r="U87" s="122"/>
      <c r="V87" s="122"/>
      <c r="W87" s="122"/>
      <c r="X87" s="122"/>
      <c r="Y87" s="125"/>
      <c r="Z87" s="126"/>
      <c r="AA87" s="126"/>
      <c r="AB87" s="127"/>
      <c r="AE87" s="15" t="str">
        <f t="shared" si="42"/>
        <v>A</v>
      </c>
      <c r="AF87" s="8">
        <f t="shared" si="43"/>
        <v>0</v>
      </c>
      <c r="AG87" s="9">
        <f t="shared" si="51"/>
        <v>0</v>
      </c>
      <c r="AH87" s="9" t="str">
        <f t="shared" si="52"/>
        <v/>
      </c>
      <c r="AI87" s="8">
        <f t="shared" si="44"/>
        <v>0</v>
      </c>
      <c r="AJ87" s="45">
        <f t="shared" si="53"/>
        <v>0</v>
      </c>
      <c r="AK87" s="45">
        <f t="shared" si="54"/>
        <v>0</v>
      </c>
      <c r="AL87" s="45">
        <f t="shared" si="55"/>
        <v>0</v>
      </c>
      <c r="AM87" s="8" t="str">
        <f t="shared" si="56"/>
        <v>--</v>
      </c>
      <c r="AN87" s="10">
        <f t="shared" si="57"/>
        <v>0</v>
      </c>
      <c r="AO87" s="10">
        <f t="shared" si="58"/>
        <v>0</v>
      </c>
      <c r="AP87" s="10">
        <f t="shared" si="59"/>
        <v>0</v>
      </c>
      <c r="AQ87" s="10">
        <f t="shared" si="60"/>
        <v>0</v>
      </c>
      <c r="AR87" s="10">
        <f t="shared" si="61"/>
        <v>0</v>
      </c>
      <c r="AS87" s="8">
        <v>16</v>
      </c>
      <c r="AT87" s="9">
        <f t="shared" si="62"/>
        <v>0</v>
      </c>
      <c r="AU87" s="11">
        <f t="shared" si="63"/>
        <v>0</v>
      </c>
      <c r="AV87" s="6"/>
      <c r="AW87" s="6"/>
      <c r="AX87" s="6"/>
      <c r="AZ87" t="str">
        <f t="shared" si="64"/>
        <v>{"group":"A",</v>
      </c>
      <c r="BA87" t="str">
        <f t="shared" si="45"/>
        <v>"lot":0,</v>
      </c>
      <c r="BB87" t="str">
        <f t="shared" si="65"/>
        <v>"name":"0",</v>
      </c>
      <c r="BC87" t="str">
        <f t="shared" si="66"/>
        <v>"team":"",</v>
      </c>
      <c r="BD87" t="str">
        <f t="shared" si="67"/>
        <v>"year":"0",</v>
      </c>
      <c r="BE87" t="str">
        <f t="shared" si="68"/>
        <v>"gender":"0",</v>
      </c>
      <c r="BF87" t="str">
        <f t="shared" si="69"/>
        <v>"gear":"0",</v>
      </c>
      <c r="BG87" t="str">
        <f t="shared" si="70"/>
        <v>"lifts":"0",</v>
      </c>
      <c r="BH87" t="str">
        <f t="shared" si="71"/>
        <v>"division":"--",</v>
      </c>
      <c r="BI87" t="str">
        <f t="shared" si="72"/>
        <v>"wc":"0",</v>
      </c>
      <c r="BJ87" t="str">
        <f t="shared" si="73"/>
        <v>"bw":"",</v>
      </c>
      <c r="BK87" t="str">
        <f t="shared" si="74"/>
        <v>"pb":[0,0,0,0],</v>
      </c>
      <c r="BL87" t="str">
        <f t="shared" si="46"/>
        <v>"idx":"16",</v>
      </c>
      <c r="BM87" t="str">
        <f t="shared" si="47"/>
        <v>"sr":"0",</v>
      </c>
      <c r="BN87" t="str">
        <f t="shared" si="48"/>
        <v>"br":"0",</v>
      </c>
      <c r="BO87" t="str">
        <f t="shared" si="49"/>
        <v>"row":0,</v>
      </c>
      <c r="BP87" t="s">
        <v>55</v>
      </c>
      <c r="BQ87" t="str">
        <f t="shared" si="50"/>
        <v>"sq":{"a1":0,"a2":"","a3":"","s1":0,"s2":0,"s3":0},"bp":{"a1":0,"a2":"","a3":"","s1":0,"s2":0,"s3":0},"dl":{"a1":0,"a2":"","a3":"","s1":0,"s2":0,"s3":0},"sortOrder":0,"act":{}}</v>
      </c>
      <c r="BR87" t="str">
        <f t="shared" si="75"/>
        <v>{"group":"A","lot":0,"name":"0","team":"","year":"0","gender":"0","gear":"0","lifts":"0","division":"--","wc":"0","bw":"","pb":[0,0,0,0],"idx":"16","sr":"0","br":"0","row":0,"sq":{"a1":0,"a2":"","a3":"","s1":0,"s2":0,"s3":0},"bp":{"a1":0,"a2":"","a3":"","s1":0,"s2":0,"s3":0},"dl":{"a1":0,"a2":"","a3":"","s1":0,"s2":0,"s3":0},"sortOrder":0,"act":{}}</v>
      </c>
    </row>
    <row r="88" spans="5:70" x14ac:dyDescent="0.25">
      <c r="E88" s="128"/>
      <c r="F88" s="129"/>
      <c r="G88" s="129"/>
      <c r="H88" s="129"/>
      <c r="I88" s="129"/>
      <c r="J88" s="129"/>
      <c r="K88" s="129"/>
      <c r="L88" s="130"/>
      <c r="M88" s="131"/>
      <c r="N88" s="130"/>
      <c r="O88" s="148">
        <f t="shared" ca="1" si="76"/>
        <v>2023</v>
      </c>
      <c r="P88" s="129"/>
      <c r="Q88" s="129"/>
      <c r="R88" s="129"/>
      <c r="S88" s="129"/>
      <c r="T88" s="129"/>
      <c r="U88" s="129"/>
      <c r="V88" s="129"/>
      <c r="W88" s="129"/>
      <c r="X88" s="129"/>
      <c r="Y88" s="132"/>
      <c r="Z88" s="133"/>
      <c r="AA88" s="133"/>
      <c r="AB88" s="134"/>
      <c r="AE88" s="15" t="str">
        <f t="shared" si="42"/>
        <v>A</v>
      </c>
      <c r="AF88" s="8">
        <f t="shared" si="43"/>
        <v>0</v>
      </c>
      <c r="AG88" s="9">
        <f t="shared" si="51"/>
        <v>0</v>
      </c>
      <c r="AH88" s="9" t="str">
        <f t="shared" si="52"/>
        <v/>
      </c>
      <c r="AI88" s="8">
        <f t="shared" si="44"/>
        <v>0</v>
      </c>
      <c r="AJ88" s="45">
        <f t="shared" si="53"/>
        <v>0</v>
      </c>
      <c r="AK88" s="45">
        <f t="shared" si="54"/>
        <v>0</v>
      </c>
      <c r="AL88" s="45">
        <f t="shared" si="55"/>
        <v>0</v>
      </c>
      <c r="AM88" s="8" t="str">
        <f t="shared" si="56"/>
        <v>--</v>
      </c>
      <c r="AN88" s="10">
        <f t="shared" si="57"/>
        <v>0</v>
      </c>
      <c r="AO88" s="10">
        <f t="shared" si="58"/>
        <v>0</v>
      </c>
      <c r="AP88" s="10">
        <f t="shared" si="59"/>
        <v>0</v>
      </c>
      <c r="AQ88" s="10">
        <f t="shared" si="60"/>
        <v>0</v>
      </c>
      <c r="AR88" s="10">
        <f t="shared" si="61"/>
        <v>0</v>
      </c>
      <c r="AS88" s="8">
        <v>23</v>
      </c>
      <c r="AT88" s="9">
        <f t="shared" si="62"/>
        <v>0</v>
      </c>
      <c r="AU88" s="11">
        <f t="shared" si="63"/>
        <v>0</v>
      </c>
      <c r="AV88" s="6"/>
      <c r="AW88" s="6"/>
      <c r="AX88" s="6"/>
      <c r="AZ88" t="str">
        <f t="shared" si="64"/>
        <v>{"group":"A",</v>
      </c>
      <c r="BA88" t="str">
        <f t="shared" si="45"/>
        <v>"lot":0,</v>
      </c>
      <c r="BB88" t="str">
        <f t="shared" si="65"/>
        <v>"name":"0",</v>
      </c>
      <c r="BC88" t="str">
        <f t="shared" si="66"/>
        <v>"team":"",</v>
      </c>
      <c r="BD88" t="str">
        <f t="shared" si="67"/>
        <v>"year":"0",</v>
      </c>
      <c r="BE88" t="str">
        <f t="shared" si="68"/>
        <v>"gender":"0",</v>
      </c>
      <c r="BF88" t="str">
        <f t="shared" si="69"/>
        <v>"gear":"0",</v>
      </c>
      <c r="BG88" t="str">
        <f t="shared" si="70"/>
        <v>"lifts":"0",</v>
      </c>
      <c r="BH88" t="str">
        <f t="shared" si="71"/>
        <v>"division":"--",</v>
      </c>
      <c r="BI88" t="str">
        <f t="shared" si="72"/>
        <v>"wc":"0",</v>
      </c>
      <c r="BJ88" t="str">
        <f t="shared" si="73"/>
        <v>"bw":"",</v>
      </c>
      <c r="BK88" t="str">
        <f t="shared" si="74"/>
        <v>"pb":[0,0,0,0],</v>
      </c>
      <c r="BL88" t="str">
        <f t="shared" si="46"/>
        <v>"idx":"23",</v>
      </c>
      <c r="BM88" t="str">
        <f t="shared" si="47"/>
        <v>"sr":"0",</v>
      </c>
      <c r="BN88" t="str">
        <f t="shared" si="48"/>
        <v>"br":"0",</v>
      </c>
      <c r="BO88" t="str">
        <f t="shared" si="49"/>
        <v>"row":0,</v>
      </c>
      <c r="BP88" t="s">
        <v>55</v>
      </c>
      <c r="BQ88" t="str">
        <f t="shared" si="50"/>
        <v>"sq":{"a1":0,"a2":"","a3":"","s1":0,"s2":0,"s3":0},"bp":{"a1":0,"a2":"","a3":"","s1":0,"s2":0,"s3":0},"dl":{"a1":0,"a2":"","a3":"","s1":0,"s2":0,"s3":0},"sortOrder":0,"act":{}}</v>
      </c>
      <c r="BR88" t="str">
        <f t="shared" si="75"/>
        <v>{"group":"A","lot":0,"name":"0","team":"","year":"0","gender":"0","gear":"0","lifts":"0","division":"--","wc":"0","bw":"","pb":[0,0,0,0],"idx":"23","sr":"0","br":"0","row":0,"sq":{"a1":0,"a2":"","a3":"","s1":0,"s2":0,"s3":0},"bp":{"a1":0,"a2":"","a3":"","s1":0,"s2":0,"s3":0},"dl":{"a1":0,"a2":"","a3":"","s1":0,"s2":0,"s3":0},"sortOrder":0,"act":{}}</v>
      </c>
    </row>
    <row r="89" spans="5:70" x14ac:dyDescent="0.25">
      <c r="E89" s="128"/>
      <c r="F89" s="129"/>
      <c r="G89" s="129"/>
      <c r="H89" s="129"/>
      <c r="I89" s="129"/>
      <c r="J89" s="129"/>
      <c r="K89" s="129"/>
      <c r="L89" s="130"/>
      <c r="M89" s="131"/>
      <c r="N89" s="130"/>
      <c r="O89" s="148">
        <f t="shared" ca="1" si="76"/>
        <v>2023</v>
      </c>
      <c r="P89" s="129"/>
      <c r="Q89" s="129"/>
      <c r="R89" s="129"/>
      <c r="S89" s="129"/>
      <c r="T89" s="129"/>
      <c r="U89" s="129"/>
      <c r="V89" s="129"/>
      <c r="W89" s="129"/>
      <c r="X89" s="129"/>
      <c r="Y89" s="132"/>
      <c r="Z89" s="133"/>
      <c r="AA89" s="133"/>
      <c r="AB89" s="134"/>
      <c r="AE89" s="15" t="str">
        <f t="shared" si="42"/>
        <v>A</v>
      </c>
      <c r="AF89" s="8">
        <f t="shared" si="43"/>
        <v>0</v>
      </c>
      <c r="AG89" s="9">
        <f t="shared" si="51"/>
        <v>0</v>
      </c>
      <c r="AH89" s="9" t="str">
        <f t="shared" si="52"/>
        <v/>
      </c>
      <c r="AI89" s="8">
        <f t="shared" si="44"/>
        <v>0</v>
      </c>
      <c r="AJ89" s="45">
        <f t="shared" si="53"/>
        <v>0</v>
      </c>
      <c r="AK89" s="45">
        <f t="shared" si="54"/>
        <v>0</v>
      </c>
      <c r="AL89" s="45">
        <f t="shared" si="55"/>
        <v>0</v>
      </c>
      <c r="AM89" s="8" t="str">
        <f t="shared" si="56"/>
        <v>--</v>
      </c>
      <c r="AN89" s="10">
        <f t="shared" si="57"/>
        <v>0</v>
      </c>
      <c r="AO89" s="10">
        <f t="shared" si="58"/>
        <v>0</v>
      </c>
      <c r="AP89" s="10">
        <f t="shared" si="59"/>
        <v>0</v>
      </c>
      <c r="AQ89" s="10">
        <f t="shared" si="60"/>
        <v>0</v>
      </c>
      <c r="AR89" s="10">
        <f t="shared" si="61"/>
        <v>0</v>
      </c>
      <c r="AS89" s="8">
        <v>23</v>
      </c>
      <c r="AT89" s="9">
        <f t="shared" si="62"/>
        <v>0</v>
      </c>
      <c r="AU89" s="11">
        <f t="shared" si="63"/>
        <v>0</v>
      </c>
      <c r="AV89" s="6"/>
      <c r="AW89" s="6"/>
      <c r="AX89" s="6"/>
      <c r="AZ89" t="str">
        <f t="shared" si="64"/>
        <v>{"group":"A",</v>
      </c>
      <c r="BA89" t="str">
        <f t="shared" si="45"/>
        <v>"lot":0,</v>
      </c>
      <c r="BB89" t="str">
        <f t="shared" si="65"/>
        <v>"name":"0",</v>
      </c>
      <c r="BC89" t="str">
        <f t="shared" si="66"/>
        <v>"team":"",</v>
      </c>
      <c r="BD89" t="str">
        <f t="shared" si="67"/>
        <v>"year":"0",</v>
      </c>
      <c r="BE89" t="str">
        <f t="shared" si="68"/>
        <v>"gender":"0",</v>
      </c>
      <c r="BF89" t="str">
        <f t="shared" si="69"/>
        <v>"gear":"0",</v>
      </c>
      <c r="BG89" t="str">
        <f t="shared" si="70"/>
        <v>"lifts":"0",</v>
      </c>
      <c r="BH89" t="str">
        <f t="shared" si="71"/>
        <v>"division":"--",</v>
      </c>
      <c r="BI89" t="str">
        <f t="shared" si="72"/>
        <v>"wc":"0",</v>
      </c>
      <c r="BJ89" t="str">
        <f t="shared" si="73"/>
        <v>"bw":"",</v>
      </c>
      <c r="BK89" t="str">
        <f t="shared" si="74"/>
        <v>"pb":[0,0,0,0],</v>
      </c>
      <c r="BL89" t="str">
        <f t="shared" si="46"/>
        <v>"idx":"23",</v>
      </c>
      <c r="BM89" t="str">
        <f t="shared" si="47"/>
        <v>"sr":"0",</v>
      </c>
      <c r="BN89" t="str">
        <f t="shared" si="48"/>
        <v>"br":"0",</v>
      </c>
      <c r="BO89" t="str">
        <f t="shared" si="49"/>
        <v>"row":0,</v>
      </c>
      <c r="BP89" t="s">
        <v>55</v>
      </c>
      <c r="BQ89" t="str">
        <f t="shared" si="50"/>
        <v>"sq":{"a1":0,"a2":"","a3":"","s1":0,"s2":0,"s3":0},"bp":{"a1":0,"a2":"","a3":"","s1":0,"s2":0,"s3":0},"dl":{"a1":0,"a2":"","a3":"","s1":0,"s2":0,"s3":0},"sortOrder":0,"act":{}}</v>
      </c>
      <c r="BR89" t="str">
        <f t="shared" si="75"/>
        <v>{"group":"A","lot":0,"name":"0","team":"","year":"0","gender":"0","gear":"0","lifts":"0","division":"--","wc":"0","bw":"","pb":[0,0,0,0],"idx":"23","sr":"0","br":"0","row":0,"sq":{"a1":0,"a2":"","a3":"","s1":0,"s2":0,"s3":0},"bp":{"a1":0,"a2":"","a3":"","s1":0,"s2":0,"s3":0},"dl":{"a1":0,"a2":"","a3":"","s1":0,"s2":0,"s3":0},"sortOrder":0,"act":{}}</v>
      </c>
    </row>
    <row r="90" spans="5:70" x14ac:dyDescent="0.25">
      <c r="E90" s="128"/>
      <c r="F90" s="129"/>
      <c r="G90" s="129"/>
      <c r="H90" s="129"/>
      <c r="I90" s="129"/>
      <c r="J90" s="129"/>
      <c r="K90" s="129"/>
      <c r="L90" s="130"/>
      <c r="M90" s="131"/>
      <c r="N90" s="130"/>
      <c r="O90" s="148">
        <f t="shared" ca="1" si="76"/>
        <v>2023</v>
      </c>
      <c r="P90" s="129"/>
      <c r="Q90" s="129"/>
      <c r="R90" s="129"/>
      <c r="S90" s="129"/>
      <c r="T90" s="129"/>
      <c r="U90" s="129"/>
      <c r="V90" s="129"/>
      <c r="W90" s="129"/>
      <c r="X90" s="129"/>
      <c r="Y90" s="132"/>
      <c r="Z90" s="133"/>
      <c r="AA90" s="133"/>
      <c r="AB90" s="134"/>
      <c r="AE90" s="15" t="str">
        <f t="shared" si="42"/>
        <v>A</v>
      </c>
      <c r="AF90" s="8">
        <f t="shared" si="43"/>
        <v>0</v>
      </c>
      <c r="AG90" s="9">
        <f t="shared" si="51"/>
        <v>0</v>
      </c>
      <c r="AH90" s="9" t="str">
        <f t="shared" si="52"/>
        <v/>
      </c>
      <c r="AI90" s="8">
        <f t="shared" si="44"/>
        <v>0</v>
      </c>
      <c r="AJ90" s="45">
        <f t="shared" si="53"/>
        <v>0</v>
      </c>
      <c r="AK90" s="45">
        <f t="shared" si="54"/>
        <v>0</v>
      </c>
      <c r="AL90" s="45">
        <f t="shared" si="55"/>
        <v>0</v>
      </c>
      <c r="AM90" s="8" t="str">
        <f t="shared" si="56"/>
        <v>--</v>
      </c>
      <c r="AN90" s="10">
        <f t="shared" si="57"/>
        <v>0</v>
      </c>
      <c r="AO90" s="10">
        <f t="shared" si="58"/>
        <v>0</v>
      </c>
      <c r="AP90" s="10">
        <f t="shared" si="59"/>
        <v>0</v>
      </c>
      <c r="AQ90" s="10">
        <f t="shared" si="60"/>
        <v>0</v>
      </c>
      <c r="AR90" s="10">
        <f t="shared" si="61"/>
        <v>0</v>
      </c>
      <c r="AS90" s="8">
        <v>23</v>
      </c>
      <c r="AT90" s="9">
        <f t="shared" si="62"/>
        <v>0</v>
      </c>
      <c r="AU90" s="11">
        <f t="shared" si="63"/>
        <v>0</v>
      </c>
      <c r="AV90" s="6"/>
      <c r="AW90" s="6"/>
      <c r="AX90" s="6"/>
      <c r="AZ90" t="str">
        <f t="shared" si="64"/>
        <v>{"group":"A",</v>
      </c>
      <c r="BA90" t="str">
        <f t="shared" si="45"/>
        <v>"lot":0,</v>
      </c>
      <c r="BB90" t="str">
        <f t="shared" si="65"/>
        <v>"name":"0",</v>
      </c>
      <c r="BC90" t="str">
        <f t="shared" si="66"/>
        <v>"team":"",</v>
      </c>
      <c r="BD90" t="str">
        <f t="shared" si="67"/>
        <v>"year":"0",</v>
      </c>
      <c r="BE90" t="str">
        <f t="shared" si="68"/>
        <v>"gender":"0",</v>
      </c>
      <c r="BF90" t="str">
        <f t="shared" si="69"/>
        <v>"gear":"0",</v>
      </c>
      <c r="BG90" t="str">
        <f t="shared" si="70"/>
        <v>"lifts":"0",</v>
      </c>
      <c r="BH90" t="str">
        <f t="shared" si="71"/>
        <v>"division":"--",</v>
      </c>
      <c r="BI90" t="str">
        <f t="shared" si="72"/>
        <v>"wc":"0",</v>
      </c>
      <c r="BJ90" t="str">
        <f t="shared" si="73"/>
        <v>"bw":"",</v>
      </c>
      <c r="BK90" t="str">
        <f t="shared" si="74"/>
        <v>"pb":[0,0,0,0],</v>
      </c>
      <c r="BL90" t="str">
        <f t="shared" si="46"/>
        <v>"idx":"23",</v>
      </c>
      <c r="BM90" t="str">
        <f t="shared" si="47"/>
        <v>"sr":"0",</v>
      </c>
      <c r="BN90" t="str">
        <f t="shared" si="48"/>
        <v>"br":"0",</v>
      </c>
      <c r="BO90" t="str">
        <f t="shared" si="49"/>
        <v>"row":0,</v>
      </c>
      <c r="BP90" t="s">
        <v>55</v>
      </c>
      <c r="BQ90" t="str">
        <f t="shared" si="50"/>
        <v>"sq":{"a1":0,"a2":"","a3":"","s1":0,"s2":0,"s3":0},"bp":{"a1":0,"a2":"","a3":"","s1":0,"s2":0,"s3":0},"dl":{"a1":0,"a2":"","a3":"","s1":0,"s2":0,"s3":0},"sortOrder":0,"act":{}}</v>
      </c>
      <c r="BR90" t="str">
        <f t="shared" si="75"/>
        <v>{"group":"A","lot":0,"name":"0","team":"","year":"0","gender":"0","gear":"0","lifts":"0","division":"--","wc":"0","bw":"","pb":[0,0,0,0],"idx":"23","sr":"0","br":"0","row":0,"sq":{"a1":0,"a2":"","a3":"","s1":0,"s2":0,"s3":0},"bp":{"a1":0,"a2":"","a3":"","s1":0,"s2":0,"s3":0},"dl":{"a1":0,"a2":"","a3":"","s1":0,"s2":0,"s3":0},"sortOrder":0,"act":{}}</v>
      </c>
    </row>
    <row r="91" spans="5:70" x14ac:dyDescent="0.25">
      <c r="E91" s="128"/>
      <c r="F91" s="129"/>
      <c r="G91" s="129"/>
      <c r="H91" s="129"/>
      <c r="I91" s="129"/>
      <c r="J91" s="129"/>
      <c r="K91" s="129"/>
      <c r="L91" s="130"/>
      <c r="M91" s="131"/>
      <c r="N91" s="130"/>
      <c r="O91" s="148">
        <f t="shared" ca="1" si="76"/>
        <v>2023</v>
      </c>
      <c r="P91" s="129"/>
      <c r="Q91" s="129"/>
      <c r="R91" s="129"/>
      <c r="S91" s="129"/>
      <c r="T91" s="129"/>
      <c r="U91" s="129"/>
      <c r="V91" s="129"/>
      <c r="W91" s="129"/>
      <c r="X91" s="129"/>
      <c r="Y91" s="132"/>
      <c r="Z91" s="133"/>
      <c r="AA91" s="133"/>
      <c r="AB91" s="134"/>
      <c r="AE91" s="15" t="str">
        <f t="shared" si="42"/>
        <v>A</v>
      </c>
      <c r="AF91" s="8">
        <f t="shared" si="43"/>
        <v>0</v>
      </c>
      <c r="AG91" s="9">
        <f t="shared" si="51"/>
        <v>0</v>
      </c>
      <c r="AH91" s="9" t="str">
        <f t="shared" si="52"/>
        <v/>
      </c>
      <c r="AI91" s="8">
        <f t="shared" si="44"/>
        <v>0</v>
      </c>
      <c r="AJ91" s="45">
        <f t="shared" si="53"/>
        <v>0</v>
      </c>
      <c r="AK91" s="45">
        <f t="shared" si="54"/>
        <v>0</v>
      </c>
      <c r="AL91" s="45">
        <f t="shared" si="55"/>
        <v>0</v>
      </c>
      <c r="AM91" s="8" t="str">
        <f t="shared" si="56"/>
        <v>--</v>
      </c>
      <c r="AN91" s="10">
        <f t="shared" si="57"/>
        <v>0</v>
      </c>
      <c r="AO91" s="10">
        <f t="shared" si="58"/>
        <v>0</v>
      </c>
      <c r="AP91" s="10">
        <f t="shared" si="59"/>
        <v>0</v>
      </c>
      <c r="AQ91" s="10">
        <f t="shared" si="60"/>
        <v>0</v>
      </c>
      <c r="AR91" s="10">
        <f t="shared" si="61"/>
        <v>0</v>
      </c>
      <c r="AS91" s="8">
        <v>23</v>
      </c>
      <c r="AT91" s="9">
        <f t="shared" si="62"/>
        <v>0</v>
      </c>
      <c r="AU91" s="11">
        <f t="shared" si="63"/>
        <v>0</v>
      </c>
      <c r="AV91" s="6"/>
      <c r="AW91" s="6"/>
      <c r="AX91" s="6"/>
      <c r="AZ91" t="str">
        <f t="shared" si="64"/>
        <v>{"group":"A",</v>
      </c>
      <c r="BA91" t="str">
        <f t="shared" si="45"/>
        <v>"lot":0,</v>
      </c>
      <c r="BB91" t="str">
        <f t="shared" si="65"/>
        <v>"name":"0",</v>
      </c>
      <c r="BC91" t="str">
        <f t="shared" si="66"/>
        <v>"team":"",</v>
      </c>
      <c r="BD91" t="str">
        <f t="shared" si="67"/>
        <v>"year":"0",</v>
      </c>
      <c r="BE91" t="str">
        <f t="shared" si="68"/>
        <v>"gender":"0",</v>
      </c>
      <c r="BF91" t="str">
        <f t="shared" si="69"/>
        <v>"gear":"0",</v>
      </c>
      <c r="BG91" t="str">
        <f t="shared" si="70"/>
        <v>"lifts":"0",</v>
      </c>
      <c r="BH91" t="str">
        <f t="shared" si="71"/>
        <v>"division":"--",</v>
      </c>
      <c r="BI91" t="str">
        <f t="shared" si="72"/>
        <v>"wc":"0",</v>
      </c>
      <c r="BJ91" t="str">
        <f t="shared" si="73"/>
        <v>"bw":"",</v>
      </c>
      <c r="BK91" t="str">
        <f t="shared" si="74"/>
        <v>"pb":[0,0,0,0],</v>
      </c>
      <c r="BL91" t="str">
        <f t="shared" si="46"/>
        <v>"idx":"23",</v>
      </c>
      <c r="BM91" t="str">
        <f t="shared" si="47"/>
        <v>"sr":"0",</v>
      </c>
      <c r="BN91" t="str">
        <f t="shared" si="48"/>
        <v>"br":"0",</v>
      </c>
      <c r="BO91" t="str">
        <f t="shared" si="49"/>
        <v>"row":0,</v>
      </c>
      <c r="BP91" t="s">
        <v>55</v>
      </c>
      <c r="BQ91" t="str">
        <f t="shared" si="50"/>
        <v>"sq":{"a1":0,"a2":"","a3":"","s1":0,"s2":0,"s3":0},"bp":{"a1":0,"a2":"","a3":"","s1":0,"s2":0,"s3":0},"dl":{"a1":0,"a2":"","a3":"","s1":0,"s2":0,"s3":0},"sortOrder":0,"act":{}}</v>
      </c>
      <c r="BR91" t="str">
        <f t="shared" si="75"/>
        <v>{"group":"A","lot":0,"name":"0","team":"","year":"0","gender":"0","gear":"0","lifts":"0","division":"--","wc":"0","bw":"","pb":[0,0,0,0],"idx":"23","sr":"0","br":"0","row":0,"sq":{"a1":0,"a2":"","a3":"","s1":0,"s2":0,"s3":0},"bp":{"a1":0,"a2":"","a3":"","s1":0,"s2":0,"s3":0},"dl":{"a1":0,"a2":"","a3":"","s1":0,"s2":0,"s3":0},"sortOrder":0,"act":{}}</v>
      </c>
    </row>
    <row r="92" spans="5:70" x14ac:dyDescent="0.25">
      <c r="E92" s="128"/>
      <c r="F92" s="129"/>
      <c r="G92" s="129"/>
      <c r="H92" s="129"/>
      <c r="I92" s="129"/>
      <c r="J92" s="129"/>
      <c r="K92" s="129"/>
      <c r="L92" s="130"/>
      <c r="M92" s="131"/>
      <c r="N92" s="130"/>
      <c r="O92" s="148">
        <f t="shared" ca="1" si="76"/>
        <v>2023</v>
      </c>
      <c r="P92" s="129"/>
      <c r="Q92" s="129"/>
      <c r="R92" s="129"/>
      <c r="S92" s="129"/>
      <c r="T92" s="129"/>
      <c r="U92" s="129"/>
      <c r="V92" s="129"/>
      <c r="W92" s="129"/>
      <c r="X92" s="129"/>
      <c r="Y92" s="132"/>
      <c r="Z92" s="133"/>
      <c r="AA92" s="133"/>
      <c r="AB92" s="134"/>
      <c r="AE92" s="15" t="str">
        <f t="shared" si="42"/>
        <v>A</v>
      </c>
      <c r="AF92" s="8">
        <f t="shared" si="43"/>
        <v>0</v>
      </c>
      <c r="AG92" s="9">
        <f t="shared" si="51"/>
        <v>0</v>
      </c>
      <c r="AH92" s="9" t="str">
        <f t="shared" si="52"/>
        <v/>
      </c>
      <c r="AI92" s="8">
        <f t="shared" si="44"/>
        <v>0</v>
      </c>
      <c r="AJ92" s="45">
        <f t="shared" si="53"/>
        <v>0</v>
      </c>
      <c r="AK92" s="45">
        <f t="shared" si="54"/>
        <v>0</v>
      </c>
      <c r="AL92" s="45">
        <f t="shared" si="55"/>
        <v>0</v>
      </c>
      <c r="AM92" s="8" t="str">
        <f t="shared" si="56"/>
        <v>--</v>
      </c>
      <c r="AN92" s="10">
        <f t="shared" si="57"/>
        <v>0</v>
      </c>
      <c r="AO92" s="10">
        <f t="shared" si="58"/>
        <v>0</v>
      </c>
      <c r="AP92" s="10">
        <f t="shared" si="59"/>
        <v>0</v>
      </c>
      <c r="AQ92" s="10">
        <f t="shared" si="60"/>
        <v>0</v>
      </c>
      <c r="AR92" s="10">
        <f t="shared" si="61"/>
        <v>0</v>
      </c>
      <c r="AS92" s="8">
        <v>23</v>
      </c>
      <c r="AT92" s="9">
        <f t="shared" si="62"/>
        <v>0</v>
      </c>
      <c r="AU92" s="11">
        <f t="shared" si="63"/>
        <v>0</v>
      </c>
      <c r="AV92" s="6"/>
      <c r="AW92" s="6"/>
      <c r="AX92" s="6"/>
      <c r="AZ92" t="str">
        <f t="shared" si="64"/>
        <v>{"group":"A",</v>
      </c>
      <c r="BA92" t="str">
        <f t="shared" si="45"/>
        <v>"lot":0,</v>
      </c>
      <c r="BB92" t="str">
        <f t="shared" si="65"/>
        <v>"name":"0",</v>
      </c>
      <c r="BC92" t="str">
        <f t="shared" si="66"/>
        <v>"team":"",</v>
      </c>
      <c r="BD92" t="str">
        <f t="shared" si="67"/>
        <v>"year":"0",</v>
      </c>
      <c r="BE92" t="str">
        <f t="shared" si="68"/>
        <v>"gender":"0",</v>
      </c>
      <c r="BF92" t="str">
        <f t="shared" si="69"/>
        <v>"gear":"0",</v>
      </c>
      <c r="BG92" t="str">
        <f t="shared" si="70"/>
        <v>"lifts":"0",</v>
      </c>
      <c r="BH92" t="str">
        <f t="shared" si="71"/>
        <v>"division":"--",</v>
      </c>
      <c r="BI92" t="str">
        <f t="shared" si="72"/>
        <v>"wc":"0",</v>
      </c>
      <c r="BJ92" t="str">
        <f t="shared" si="73"/>
        <v>"bw":"",</v>
      </c>
      <c r="BK92" t="str">
        <f t="shared" si="74"/>
        <v>"pb":[0,0,0,0],</v>
      </c>
      <c r="BL92" t="str">
        <f t="shared" si="46"/>
        <v>"idx":"23",</v>
      </c>
      <c r="BM92" t="str">
        <f t="shared" si="47"/>
        <v>"sr":"0",</v>
      </c>
      <c r="BN92" t="str">
        <f t="shared" si="48"/>
        <v>"br":"0",</v>
      </c>
      <c r="BO92" t="str">
        <f t="shared" si="49"/>
        <v>"row":0,</v>
      </c>
      <c r="BP92" t="s">
        <v>55</v>
      </c>
      <c r="BQ92" t="str">
        <f t="shared" si="50"/>
        <v>"sq":{"a1":0,"a2":"","a3":"","s1":0,"s2":0,"s3":0},"bp":{"a1":0,"a2":"","a3":"","s1":0,"s2":0,"s3":0},"dl":{"a1":0,"a2":"","a3":"","s1":0,"s2":0,"s3":0},"sortOrder":0,"act":{}}</v>
      </c>
      <c r="BR92" t="str">
        <f t="shared" si="75"/>
        <v>{"group":"A","lot":0,"name":"0","team":"","year":"0","gender":"0","gear":"0","lifts":"0","division":"--","wc":"0","bw":"","pb":[0,0,0,0],"idx":"23","sr":"0","br":"0","row":0,"sq":{"a1":0,"a2":"","a3":"","s1":0,"s2":0,"s3":0},"bp":{"a1":0,"a2":"","a3":"","s1":0,"s2":0,"s3":0},"dl":{"a1":0,"a2":"","a3":"","s1":0,"s2":0,"s3":0},"sortOrder":0,"act":{}}</v>
      </c>
    </row>
    <row r="93" spans="5:70" x14ac:dyDescent="0.25">
      <c r="E93" s="128"/>
      <c r="F93" s="129"/>
      <c r="G93" s="129"/>
      <c r="H93" s="129"/>
      <c r="I93" s="129"/>
      <c r="J93" s="129"/>
      <c r="K93" s="129"/>
      <c r="L93" s="130"/>
      <c r="M93" s="131"/>
      <c r="N93" s="130"/>
      <c r="O93" s="148">
        <f t="shared" ca="1" si="76"/>
        <v>2023</v>
      </c>
      <c r="P93" s="129"/>
      <c r="Q93" s="129"/>
      <c r="R93" s="129"/>
      <c r="S93" s="129"/>
      <c r="T93" s="129"/>
      <c r="U93" s="129"/>
      <c r="V93" s="129"/>
      <c r="W93" s="129"/>
      <c r="X93" s="129"/>
      <c r="Y93" s="132"/>
      <c r="Z93" s="133"/>
      <c r="AA93" s="133"/>
      <c r="AB93" s="134"/>
      <c r="AE93" s="15" t="str">
        <f t="shared" si="42"/>
        <v>A</v>
      </c>
      <c r="AF93" s="8">
        <f t="shared" si="43"/>
        <v>0</v>
      </c>
      <c r="AG93" s="9">
        <f t="shared" si="51"/>
        <v>0</v>
      </c>
      <c r="AH93" s="9" t="str">
        <f t="shared" si="52"/>
        <v/>
      </c>
      <c r="AI93" s="8">
        <f t="shared" si="44"/>
        <v>0</v>
      </c>
      <c r="AJ93" s="45">
        <f t="shared" si="53"/>
        <v>0</v>
      </c>
      <c r="AK93" s="45">
        <f t="shared" si="54"/>
        <v>0</v>
      </c>
      <c r="AL93" s="45">
        <f t="shared" si="55"/>
        <v>0</v>
      </c>
      <c r="AM93" s="8" t="str">
        <f t="shared" si="56"/>
        <v>--</v>
      </c>
      <c r="AN93" s="10">
        <f t="shared" si="57"/>
        <v>0</v>
      </c>
      <c r="AO93" s="10">
        <f t="shared" si="58"/>
        <v>0</v>
      </c>
      <c r="AP93" s="10">
        <f t="shared" si="59"/>
        <v>0</v>
      </c>
      <c r="AQ93" s="10">
        <f t="shared" si="60"/>
        <v>0</v>
      </c>
      <c r="AR93" s="10">
        <f t="shared" si="61"/>
        <v>0</v>
      </c>
      <c r="AS93" s="8">
        <v>23</v>
      </c>
      <c r="AT93" s="9">
        <f t="shared" si="62"/>
        <v>0</v>
      </c>
      <c r="AU93" s="11">
        <f t="shared" si="63"/>
        <v>0</v>
      </c>
      <c r="AV93" s="6"/>
      <c r="AW93" s="6"/>
      <c r="AX93" s="6"/>
      <c r="AZ93" t="str">
        <f t="shared" si="64"/>
        <v>{"group":"A",</v>
      </c>
      <c r="BA93" t="str">
        <f t="shared" si="45"/>
        <v>"lot":0,</v>
      </c>
      <c r="BB93" t="str">
        <f t="shared" si="65"/>
        <v>"name":"0",</v>
      </c>
      <c r="BC93" t="str">
        <f t="shared" si="66"/>
        <v>"team":"",</v>
      </c>
      <c r="BD93" t="str">
        <f t="shared" si="67"/>
        <v>"year":"0",</v>
      </c>
      <c r="BE93" t="str">
        <f t="shared" si="68"/>
        <v>"gender":"0",</v>
      </c>
      <c r="BF93" t="str">
        <f t="shared" si="69"/>
        <v>"gear":"0",</v>
      </c>
      <c r="BG93" t="str">
        <f t="shared" si="70"/>
        <v>"lifts":"0",</v>
      </c>
      <c r="BH93" t="str">
        <f t="shared" si="71"/>
        <v>"division":"--",</v>
      </c>
      <c r="BI93" t="str">
        <f t="shared" si="72"/>
        <v>"wc":"0",</v>
      </c>
      <c r="BJ93" t="str">
        <f t="shared" si="73"/>
        <v>"bw":"",</v>
      </c>
      <c r="BK93" t="str">
        <f t="shared" si="74"/>
        <v>"pb":[0,0,0,0],</v>
      </c>
      <c r="BL93" t="str">
        <f t="shared" si="46"/>
        <v>"idx":"23",</v>
      </c>
      <c r="BM93" t="str">
        <f t="shared" si="47"/>
        <v>"sr":"0",</v>
      </c>
      <c r="BN93" t="str">
        <f t="shared" si="48"/>
        <v>"br":"0",</v>
      </c>
      <c r="BO93" t="str">
        <f t="shared" si="49"/>
        <v>"row":0,</v>
      </c>
      <c r="BP93" t="s">
        <v>55</v>
      </c>
      <c r="BQ93" t="str">
        <f t="shared" si="50"/>
        <v>"sq":{"a1":0,"a2":"","a3":"","s1":0,"s2":0,"s3":0},"bp":{"a1":0,"a2":"","a3":"","s1":0,"s2":0,"s3":0},"dl":{"a1":0,"a2":"","a3":"","s1":0,"s2":0,"s3":0},"sortOrder":0,"act":{}}</v>
      </c>
      <c r="BR93" t="str">
        <f t="shared" si="75"/>
        <v>{"group":"A","lot":0,"name":"0","team":"","year":"0","gender":"0","gear":"0","lifts":"0","division":"--","wc":"0","bw":"","pb":[0,0,0,0],"idx":"23","sr":"0","br":"0","row":0,"sq":{"a1":0,"a2":"","a3":"","s1":0,"s2":0,"s3":0},"bp":{"a1":0,"a2":"","a3":"","s1":0,"s2":0,"s3":0},"dl":{"a1":0,"a2":"","a3":"","s1":0,"s2":0,"s3":0},"sortOrder":0,"act":{}}</v>
      </c>
    </row>
    <row r="94" spans="5:70" x14ac:dyDescent="0.25">
      <c r="E94" s="128"/>
      <c r="F94" s="129"/>
      <c r="G94" s="129"/>
      <c r="H94" s="129"/>
      <c r="I94" s="129"/>
      <c r="J94" s="129"/>
      <c r="K94" s="129"/>
      <c r="L94" s="130"/>
      <c r="M94" s="131"/>
      <c r="N94" s="130"/>
      <c r="O94" s="148">
        <f t="shared" ca="1" si="76"/>
        <v>2023</v>
      </c>
      <c r="P94" s="129"/>
      <c r="Q94" s="129"/>
      <c r="R94" s="129"/>
      <c r="S94" s="129"/>
      <c r="T94" s="129"/>
      <c r="U94" s="129"/>
      <c r="V94" s="129"/>
      <c r="W94" s="129"/>
      <c r="X94" s="129"/>
      <c r="Y94" s="132"/>
      <c r="Z94" s="133"/>
      <c r="AA94" s="133"/>
      <c r="AB94" s="134"/>
      <c r="AE94" s="15" t="str">
        <f t="shared" si="42"/>
        <v>A</v>
      </c>
      <c r="AF94" s="8">
        <f t="shared" si="43"/>
        <v>0</v>
      </c>
      <c r="AG94" s="9">
        <f t="shared" si="51"/>
        <v>0</v>
      </c>
      <c r="AH94" s="9" t="str">
        <f t="shared" si="52"/>
        <v/>
      </c>
      <c r="AI94" s="8">
        <f t="shared" si="44"/>
        <v>0</v>
      </c>
      <c r="AJ94" s="45">
        <f t="shared" si="53"/>
        <v>0</v>
      </c>
      <c r="AK94" s="45">
        <f t="shared" si="54"/>
        <v>0</v>
      </c>
      <c r="AL94" s="45">
        <f t="shared" si="55"/>
        <v>0</v>
      </c>
      <c r="AM94" s="8" t="str">
        <f t="shared" si="56"/>
        <v>--</v>
      </c>
      <c r="AN94" s="10">
        <f t="shared" si="57"/>
        <v>0</v>
      </c>
      <c r="AO94" s="10">
        <f t="shared" si="58"/>
        <v>0</v>
      </c>
      <c r="AP94" s="10">
        <f t="shared" si="59"/>
        <v>0</v>
      </c>
      <c r="AQ94" s="10">
        <f t="shared" si="60"/>
        <v>0</v>
      </c>
      <c r="AR94" s="10">
        <f t="shared" si="61"/>
        <v>0</v>
      </c>
      <c r="AS94" s="8">
        <v>23</v>
      </c>
      <c r="AT94" s="9">
        <f t="shared" si="62"/>
        <v>0</v>
      </c>
      <c r="AU94" s="11">
        <f t="shared" si="63"/>
        <v>0</v>
      </c>
      <c r="AV94" s="6"/>
      <c r="AW94" s="6"/>
      <c r="AX94" s="6"/>
      <c r="AZ94" t="str">
        <f t="shared" si="64"/>
        <v>{"group":"A",</v>
      </c>
      <c r="BA94" t="str">
        <f t="shared" si="45"/>
        <v>"lot":0,</v>
      </c>
      <c r="BB94" t="str">
        <f t="shared" si="65"/>
        <v>"name":"0",</v>
      </c>
      <c r="BC94" t="str">
        <f t="shared" si="66"/>
        <v>"team":"",</v>
      </c>
      <c r="BD94" t="str">
        <f t="shared" si="67"/>
        <v>"year":"0",</v>
      </c>
      <c r="BE94" t="str">
        <f t="shared" si="68"/>
        <v>"gender":"0",</v>
      </c>
      <c r="BF94" t="str">
        <f t="shared" si="69"/>
        <v>"gear":"0",</v>
      </c>
      <c r="BG94" t="str">
        <f t="shared" si="70"/>
        <v>"lifts":"0",</v>
      </c>
      <c r="BH94" t="str">
        <f t="shared" si="71"/>
        <v>"division":"--",</v>
      </c>
      <c r="BI94" t="str">
        <f t="shared" si="72"/>
        <v>"wc":"0",</v>
      </c>
      <c r="BJ94" t="str">
        <f t="shared" si="73"/>
        <v>"bw":"",</v>
      </c>
      <c r="BK94" t="str">
        <f t="shared" si="74"/>
        <v>"pb":[0,0,0,0],</v>
      </c>
      <c r="BL94" t="str">
        <f t="shared" si="46"/>
        <v>"idx":"23",</v>
      </c>
      <c r="BM94" t="str">
        <f t="shared" si="47"/>
        <v>"sr":"0",</v>
      </c>
      <c r="BN94" t="str">
        <f t="shared" si="48"/>
        <v>"br":"0",</v>
      </c>
      <c r="BO94" t="str">
        <f t="shared" si="49"/>
        <v>"row":0,</v>
      </c>
      <c r="BP94" t="s">
        <v>55</v>
      </c>
      <c r="BQ94" t="str">
        <f t="shared" si="50"/>
        <v>"sq":{"a1":0,"a2":"","a3":"","s1":0,"s2":0,"s3":0},"bp":{"a1":0,"a2":"","a3":"","s1":0,"s2":0,"s3":0},"dl":{"a1":0,"a2":"","a3":"","s1":0,"s2":0,"s3":0},"sortOrder":0,"act":{}}</v>
      </c>
      <c r="BR94" t="str">
        <f t="shared" si="75"/>
        <v>{"group":"A","lot":0,"name":"0","team":"","year":"0","gender":"0","gear":"0","lifts":"0","division":"--","wc":"0","bw":"","pb":[0,0,0,0],"idx":"23","sr":"0","br":"0","row":0,"sq":{"a1":0,"a2":"","a3":"","s1":0,"s2":0,"s3":0},"bp":{"a1":0,"a2":"","a3":"","s1":0,"s2":0,"s3":0},"dl":{"a1":0,"a2":"","a3":"","s1":0,"s2":0,"s3":0},"sortOrder":0,"act":{}}</v>
      </c>
    </row>
    <row r="95" spans="5:70" x14ac:dyDescent="0.25">
      <c r="E95" s="128"/>
      <c r="F95" s="129"/>
      <c r="G95" s="129"/>
      <c r="H95" s="129"/>
      <c r="I95" s="129"/>
      <c r="J95" s="129"/>
      <c r="K95" s="129"/>
      <c r="L95" s="130"/>
      <c r="M95" s="131"/>
      <c r="N95" s="130"/>
      <c r="O95" s="148">
        <f t="shared" ca="1" si="76"/>
        <v>2023</v>
      </c>
      <c r="P95" s="129"/>
      <c r="Q95" s="129"/>
      <c r="R95" s="129"/>
      <c r="S95" s="129"/>
      <c r="T95" s="129"/>
      <c r="U95" s="129"/>
      <c r="V95" s="129"/>
      <c r="W95" s="129"/>
      <c r="X95" s="129"/>
      <c r="Y95" s="132"/>
      <c r="Z95" s="133"/>
      <c r="AA95" s="133"/>
      <c r="AB95" s="134"/>
      <c r="AE95" s="15" t="str">
        <f t="shared" si="42"/>
        <v>A</v>
      </c>
      <c r="AF95" s="8">
        <f t="shared" si="43"/>
        <v>0</v>
      </c>
      <c r="AG95" s="9">
        <f t="shared" si="51"/>
        <v>0</v>
      </c>
      <c r="AH95" s="9" t="str">
        <f t="shared" si="52"/>
        <v/>
      </c>
      <c r="AI95" s="8">
        <f t="shared" si="44"/>
        <v>0</v>
      </c>
      <c r="AJ95" s="45">
        <f t="shared" si="53"/>
        <v>0</v>
      </c>
      <c r="AK95" s="45">
        <f t="shared" si="54"/>
        <v>0</v>
      </c>
      <c r="AL95" s="45">
        <f t="shared" si="55"/>
        <v>0</v>
      </c>
      <c r="AM95" s="8" t="str">
        <f t="shared" si="56"/>
        <v>--</v>
      </c>
      <c r="AN95" s="10">
        <f t="shared" si="57"/>
        <v>0</v>
      </c>
      <c r="AO95" s="10">
        <f t="shared" si="58"/>
        <v>0</v>
      </c>
      <c r="AP95" s="10">
        <f t="shared" si="59"/>
        <v>0</v>
      </c>
      <c r="AQ95" s="10">
        <f t="shared" si="60"/>
        <v>0</v>
      </c>
      <c r="AR95" s="10">
        <f t="shared" si="61"/>
        <v>0</v>
      </c>
      <c r="AS95" s="8">
        <v>23</v>
      </c>
      <c r="AT95" s="9">
        <f t="shared" si="62"/>
        <v>0</v>
      </c>
      <c r="AU95" s="11">
        <f t="shared" si="63"/>
        <v>0</v>
      </c>
      <c r="AV95" s="6"/>
      <c r="AW95" s="6"/>
      <c r="AX95" s="6"/>
      <c r="AZ95" t="str">
        <f t="shared" si="64"/>
        <v>{"group":"A",</v>
      </c>
      <c r="BA95" t="str">
        <f t="shared" si="45"/>
        <v>"lot":0,</v>
      </c>
      <c r="BB95" t="str">
        <f t="shared" si="65"/>
        <v>"name":"0",</v>
      </c>
      <c r="BC95" t="str">
        <f t="shared" si="66"/>
        <v>"team":"",</v>
      </c>
      <c r="BD95" t="str">
        <f t="shared" si="67"/>
        <v>"year":"0",</v>
      </c>
      <c r="BE95" t="str">
        <f t="shared" si="68"/>
        <v>"gender":"0",</v>
      </c>
      <c r="BF95" t="str">
        <f t="shared" si="69"/>
        <v>"gear":"0",</v>
      </c>
      <c r="BG95" t="str">
        <f t="shared" si="70"/>
        <v>"lifts":"0",</v>
      </c>
      <c r="BH95" t="str">
        <f t="shared" si="71"/>
        <v>"division":"--",</v>
      </c>
      <c r="BI95" t="str">
        <f t="shared" si="72"/>
        <v>"wc":"0",</v>
      </c>
      <c r="BJ95" t="str">
        <f t="shared" si="73"/>
        <v>"bw":"",</v>
      </c>
      <c r="BK95" t="str">
        <f t="shared" si="74"/>
        <v>"pb":[0,0,0,0],</v>
      </c>
      <c r="BL95" t="str">
        <f t="shared" si="46"/>
        <v>"idx":"23",</v>
      </c>
      <c r="BM95" t="str">
        <f t="shared" si="47"/>
        <v>"sr":"0",</v>
      </c>
      <c r="BN95" t="str">
        <f t="shared" si="48"/>
        <v>"br":"0",</v>
      </c>
      <c r="BO95" t="str">
        <f t="shared" si="49"/>
        <v>"row":0,</v>
      </c>
      <c r="BP95" t="s">
        <v>55</v>
      </c>
      <c r="BQ95" t="str">
        <f t="shared" si="50"/>
        <v>"sq":{"a1":0,"a2":"","a3":"","s1":0,"s2":0,"s3":0},"bp":{"a1":0,"a2":"","a3":"","s1":0,"s2":0,"s3":0},"dl":{"a1":0,"a2":"","a3":"","s1":0,"s2":0,"s3":0},"sortOrder":0,"act":{}}</v>
      </c>
      <c r="BR95" t="str">
        <f t="shared" si="75"/>
        <v>{"group":"A","lot":0,"name":"0","team":"","year":"0","gender":"0","gear":"0","lifts":"0","division":"--","wc":"0","bw":"","pb":[0,0,0,0],"idx":"23","sr":"0","br":"0","row":0,"sq":{"a1":0,"a2":"","a3":"","s1":0,"s2":0,"s3":0},"bp":{"a1":0,"a2":"","a3":"","s1":0,"s2":0,"s3":0},"dl":{"a1":0,"a2":"","a3":"","s1":0,"s2":0,"s3":0},"sortOrder":0,"act":{}}</v>
      </c>
    </row>
    <row r="96" spans="5:70" x14ac:dyDescent="0.25">
      <c r="E96" s="128"/>
      <c r="F96" s="129"/>
      <c r="G96" s="129"/>
      <c r="H96" s="129"/>
      <c r="I96" s="129"/>
      <c r="J96" s="129"/>
      <c r="K96" s="129"/>
      <c r="L96" s="130"/>
      <c r="M96" s="131"/>
      <c r="N96" s="130"/>
      <c r="O96" s="148">
        <f t="shared" ca="1" si="76"/>
        <v>2023</v>
      </c>
      <c r="P96" s="129"/>
      <c r="Q96" s="129"/>
      <c r="R96" s="129"/>
      <c r="S96" s="129"/>
      <c r="T96" s="129"/>
      <c r="U96" s="129"/>
      <c r="V96" s="129"/>
      <c r="W96" s="129"/>
      <c r="X96" s="129"/>
      <c r="Y96" s="132"/>
      <c r="Z96" s="133"/>
      <c r="AA96" s="133"/>
      <c r="AB96" s="134"/>
      <c r="AE96" s="15" t="str">
        <f t="shared" si="42"/>
        <v>A</v>
      </c>
      <c r="AF96" s="8">
        <f t="shared" si="43"/>
        <v>0</v>
      </c>
      <c r="AG96" s="9">
        <f t="shared" si="51"/>
        <v>0</v>
      </c>
      <c r="AH96" s="9" t="str">
        <f t="shared" si="52"/>
        <v/>
      </c>
      <c r="AI96" s="8">
        <f t="shared" si="44"/>
        <v>0</v>
      </c>
      <c r="AJ96" s="45">
        <f t="shared" si="53"/>
        <v>0</v>
      </c>
      <c r="AK96" s="45">
        <f t="shared" si="54"/>
        <v>0</v>
      </c>
      <c r="AL96" s="45">
        <f t="shared" si="55"/>
        <v>0</v>
      </c>
      <c r="AM96" s="8" t="str">
        <f t="shared" si="56"/>
        <v>--</v>
      </c>
      <c r="AN96" s="10">
        <f t="shared" si="57"/>
        <v>0</v>
      </c>
      <c r="AO96" s="10">
        <f t="shared" si="58"/>
        <v>0</v>
      </c>
      <c r="AP96" s="10">
        <f t="shared" si="59"/>
        <v>0</v>
      </c>
      <c r="AQ96" s="10">
        <f t="shared" si="60"/>
        <v>0</v>
      </c>
      <c r="AR96" s="10">
        <f t="shared" si="61"/>
        <v>0</v>
      </c>
      <c r="AS96" s="8">
        <v>23</v>
      </c>
      <c r="AT96" s="9">
        <f t="shared" si="62"/>
        <v>0</v>
      </c>
      <c r="AU96" s="11">
        <f t="shared" si="63"/>
        <v>0</v>
      </c>
      <c r="AV96" s="6"/>
      <c r="AW96" s="6"/>
      <c r="AX96" s="6"/>
      <c r="AZ96" t="str">
        <f t="shared" si="64"/>
        <v>{"group":"A",</v>
      </c>
      <c r="BA96" t="str">
        <f t="shared" si="45"/>
        <v>"lot":0,</v>
      </c>
      <c r="BB96" t="str">
        <f t="shared" si="65"/>
        <v>"name":"0",</v>
      </c>
      <c r="BC96" t="str">
        <f t="shared" si="66"/>
        <v>"team":"",</v>
      </c>
      <c r="BD96" t="str">
        <f t="shared" si="67"/>
        <v>"year":"0",</v>
      </c>
      <c r="BE96" t="str">
        <f t="shared" si="68"/>
        <v>"gender":"0",</v>
      </c>
      <c r="BF96" t="str">
        <f t="shared" si="69"/>
        <v>"gear":"0",</v>
      </c>
      <c r="BG96" t="str">
        <f t="shared" si="70"/>
        <v>"lifts":"0",</v>
      </c>
      <c r="BH96" t="str">
        <f t="shared" si="71"/>
        <v>"division":"--",</v>
      </c>
      <c r="BI96" t="str">
        <f t="shared" si="72"/>
        <v>"wc":"0",</v>
      </c>
      <c r="BJ96" t="str">
        <f t="shared" si="73"/>
        <v>"bw":"",</v>
      </c>
      <c r="BK96" t="str">
        <f t="shared" si="74"/>
        <v>"pb":[0,0,0,0],</v>
      </c>
      <c r="BL96" t="str">
        <f t="shared" si="46"/>
        <v>"idx":"23",</v>
      </c>
      <c r="BM96" t="str">
        <f t="shared" si="47"/>
        <v>"sr":"0",</v>
      </c>
      <c r="BN96" t="str">
        <f t="shared" si="48"/>
        <v>"br":"0",</v>
      </c>
      <c r="BO96" t="str">
        <f t="shared" si="49"/>
        <v>"row":0,</v>
      </c>
      <c r="BP96" t="s">
        <v>55</v>
      </c>
      <c r="BQ96" t="str">
        <f t="shared" si="50"/>
        <v>"sq":{"a1":0,"a2":"","a3":"","s1":0,"s2":0,"s3":0},"bp":{"a1":0,"a2":"","a3":"","s1":0,"s2":0,"s3":0},"dl":{"a1":0,"a2":"","a3":"","s1":0,"s2":0,"s3":0},"sortOrder":0,"act":{}}</v>
      </c>
      <c r="BR96" t="str">
        <f t="shared" si="75"/>
        <v>{"group":"A","lot":0,"name":"0","team":"","year":"0","gender":"0","gear":"0","lifts":"0","division":"--","wc":"0","bw":"","pb":[0,0,0,0],"idx":"23","sr":"0","br":"0","row":0,"sq":{"a1":0,"a2":"","a3":"","s1":0,"s2":0,"s3":0},"bp":{"a1":0,"a2":"","a3":"","s1":0,"s2":0,"s3":0},"dl":{"a1":0,"a2":"","a3":"","s1":0,"s2":0,"s3":0},"sortOrder":0,"act":{}}</v>
      </c>
    </row>
    <row r="97" spans="5:70" x14ac:dyDescent="0.25">
      <c r="E97" s="128"/>
      <c r="F97" s="129"/>
      <c r="G97" s="129"/>
      <c r="H97" s="129"/>
      <c r="I97" s="129"/>
      <c r="J97" s="129"/>
      <c r="K97" s="129"/>
      <c r="L97" s="130"/>
      <c r="M97" s="131"/>
      <c r="N97" s="130"/>
      <c r="O97" s="148">
        <f t="shared" ca="1" si="76"/>
        <v>2023</v>
      </c>
      <c r="P97" s="129"/>
      <c r="Q97" s="129"/>
      <c r="R97" s="129"/>
      <c r="S97" s="129"/>
      <c r="T97" s="129"/>
      <c r="U97" s="129"/>
      <c r="V97" s="129"/>
      <c r="W97" s="129"/>
      <c r="X97" s="129"/>
      <c r="Y97" s="132"/>
      <c r="Z97" s="133"/>
      <c r="AA97" s="133"/>
      <c r="AB97" s="134"/>
      <c r="AE97" s="15" t="str">
        <f t="shared" si="42"/>
        <v>A</v>
      </c>
      <c r="AF97" s="8">
        <f t="shared" si="43"/>
        <v>0</v>
      </c>
      <c r="AG97" s="9">
        <f t="shared" si="51"/>
        <v>0</v>
      </c>
      <c r="AH97" s="9" t="str">
        <f t="shared" si="52"/>
        <v/>
      </c>
      <c r="AI97" s="8">
        <f t="shared" si="44"/>
        <v>0</v>
      </c>
      <c r="AJ97" s="45">
        <f t="shared" si="53"/>
        <v>0</v>
      </c>
      <c r="AK97" s="45">
        <f t="shared" si="54"/>
        <v>0</v>
      </c>
      <c r="AL97" s="45">
        <f t="shared" si="55"/>
        <v>0</v>
      </c>
      <c r="AM97" s="8" t="str">
        <f t="shared" si="56"/>
        <v>--</v>
      </c>
      <c r="AN97" s="10">
        <f t="shared" si="57"/>
        <v>0</v>
      </c>
      <c r="AO97" s="10">
        <f t="shared" si="58"/>
        <v>0</v>
      </c>
      <c r="AP97" s="10">
        <f t="shared" si="59"/>
        <v>0</v>
      </c>
      <c r="AQ97" s="10">
        <f t="shared" si="60"/>
        <v>0</v>
      </c>
      <c r="AR97" s="10">
        <f t="shared" si="61"/>
        <v>0</v>
      </c>
      <c r="AS97" s="8">
        <v>23</v>
      </c>
      <c r="AT97" s="9">
        <f t="shared" si="62"/>
        <v>0</v>
      </c>
      <c r="AU97" s="11">
        <f t="shared" si="63"/>
        <v>0</v>
      </c>
      <c r="AV97" s="6"/>
      <c r="AW97" s="6"/>
      <c r="AX97" s="6"/>
      <c r="AZ97" t="str">
        <f t="shared" si="64"/>
        <v>{"group":"A",</v>
      </c>
      <c r="BA97" t="str">
        <f t="shared" si="45"/>
        <v>"lot":0,</v>
      </c>
      <c r="BB97" t="str">
        <f t="shared" si="65"/>
        <v>"name":"0",</v>
      </c>
      <c r="BC97" t="str">
        <f t="shared" si="66"/>
        <v>"team":"",</v>
      </c>
      <c r="BD97" t="str">
        <f t="shared" si="67"/>
        <v>"year":"0",</v>
      </c>
      <c r="BE97" t="str">
        <f t="shared" si="68"/>
        <v>"gender":"0",</v>
      </c>
      <c r="BF97" t="str">
        <f t="shared" si="69"/>
        <v>"gear":"0",</v>
      </c>
      <c r="BG97" t="str">
        <f t="shared" si="70"/>
        <v>"lifts":"0",</v>
      </c>
      <c r="BH97" t="str">
        <f t="shared" si="71"/>
        <v>"division":"--",</v>
      </c>
      <c r="BI97" t="str">
        <f t="shared" si="72"/>
        <v>"wc":"0",</v>
      </c>
      <c r="BJ97" t="str">
        <f t="shared" si="73"/>
        <v>"bw":"",</v>
      </c>
      <c r="BK97" t="str">
        <f t="shared" si="74"/>
        <v>"pb":[0,0,0,0],</v>
      </c>
      <c r="BL97" t="str">
        <f t="shared" si="46"/>
        <v>"idx":"23",</v>
      </c>
      <c r="BM97" t="str">
        <f t="shared" si="47"/>
        <v>"sr":"0",</v>
      </c>
      <c r="BN97" t="str">
        <f t="shared" si="48"/>
        <v>"br":"0",</v>
      </c>
      <c r="BO97" t="str">
        <f t="shared" si="49"/>
        <v>"row":0,</v>
      </c>
      <c r="BP97" t="s">
        <v>55</v>
      </c>
      <c r="BQ97" t="str">
        <f t="shared" si="50"/>
        <v>"sq":{"a1":0,"a2":"","a3":"","s1":0,"s2":0,"s3":0},"bp":{"a1":0,"a2":"","a3":"","s1":0,"s2":0,"s3":0},"dl":{"a1":0,"a2":"","a3":"","s1":0,"s2":0,"s3":0},"sortOrder":0,"act":{}}</v>
      </c>
      <c r="BR97" t="str">
        <f t="shared" si="75"/>
        <v>{"group":"A","lot":0,"name":"0","team":"","year":"0","gender":"0","gear":"0","lifts":"0","division":"--","wc":"0","bw":"","pb":[0,0,0,0],"idx":"23","sr":"0","br":"0","row":0,"sq":{"a1":0,"a2":"","a3":"","s1":0,"s2":0,"s3":0},"bp":{"a1":0,"a2":"","a3":"","s1":0,"s2":0,"s3":0},"dl":{"a1":0,"a2":"","a3":"","s1":0,"s2":0,"s3":0},"sortOrder":0,"act":{}}</v>
      </c>
    </row>
    <row r="98" spans="5:70" x14ac:dyDescent="0.25">
      <c r="E98" s="128"/>
      <c r="F98" s="129"/>
      <c r="G98" s="129"/>
      <c r="H98" s="129"/>
      <c r="I98" s="129"/>
      <c r="J98" s="129"/>
      <c r="K98" s="129"/>
      <c r="L98" s="130"/>
      <c r="M98" s="131"/>
      <c r="N98" s="130"/>
      <c r="O98" s="148">
        <f t="shared" ca="1" si="76"/>
        <v>2023</v>
      </c>
      <c r="P98" s="129"/>
      <c r="Q98" s="129"/>
      <c r="R98" s="129"/>
      <c r="S98" s="129"/>
      <c r="T98" s="129"/>
      <c r="U98" s="129"/>
      <c r="V98" s="129"/>
      <c r="W98" s="129"/>
      <c r="X98" s="129"/>
      <c r="Y98" s="132"/>
      <c r="Z98" s="133"/>
      <c r="AA98" s="133"/>
      <c r="AB98" s="134"/>
      <c r="AE98" s="15" t="str">
        <f t="shared" si="42"/>
        <v>A</v>
      </c>
      <c r="AF98" s="8">
        <f t="shared" si="43"/>
        <v>0</v>
      </c>
      <c r="AG98" s="9">
        <f t="shared" si="51"/>
        <v>0</v>
      </c>
      <c r="AH98" s="9" t="str">
        <f t="shared" si="52"/>
        <v/>
      </c>
      <c r="AI98" s="8">
        <f t="shared" si="44"/>
        <v>0</v>
      </c>
      <c r="AJ98" s="45">
        <f t="shared" si="53"/>
        <v>0</v>
      </c>
      <c r="AK98" s="45">
        <f t="shared" si="54"/>
        <v>0</v>
      </c>
      <c r="AL98" s="45">
        <f t="shared" si="55"/>
        <v>0</v>
      </c>
      <c r="AM98" s="8" t="str">
        <f t="shared" si="56"/>
        <v>--</v>
      </c>
      <c r="AN98" s="10">
        <f t="shared" si="57"/>
        <v>0</v>
      </c>
      <c r="AO98" s="10">
        <f t="shared" si="58"/>
        <v>0</v>
      </c>
      <c r="AP98" s="10">
        <f t="shared" si="59"/>
        <v>0</v>
      </c>
      <c r="AQ98" s="10">
        <f t="shared" si="60"/>
        <v>0</v>
      </c>
      <c r="AR98" s="10">
        <f t="shared" si="61"/>
        <v>0</v>
      </c>
      <c r="AS98" s="8">
        <v>23</v>
      </c>
      <c r="AT98" s="9">
        <f t="shared" si="62"/>
        <v>0</v>
      </c>
      <c r="AU98" s="11">
        <f t="shared" si="63"/>
        <v>0</v>
      </c>
      <c r="AV98" s="6"/>
      <c r="AW98" s="6"/>
      <c r="AX98" s="6"/>
      <c r="AZ98" t="str">
        <f t="shared" si="64"/>
        <v>{"group":"A",</v>
      </c>
      <c r="BA98" t="str">
        <f t="shared" si="45"/>
        <v>"lot":0,</v>
      </c>
      <c r="BB98" t="str">
        <f t="shared" si="65"/>
        <v>"name":"0",</v>
      </c>
      <c r="BC98" t="str">
        <f t="shared" si="66"/>
        <v>"team":"",</v>
      </c>
      <c r="BD98" t="str">
        <f t="shared" si="67"/>
        <v>"year":"0",</v>
      </c>
      <c r="BE98" t="str">
        <f t="shared" si="68"/>
        <v>"gender":"0",</v>
      </c>
      <c r="BF98" t="str">
        <f t="shared" si="69"/>
        <v>"gear":"0",</v>
      </c>
      <c r="BG98" t="str">
        <f t="shared" si="70"/>
        <v>"lifts":"0",</v>
      </c>
      <c r="BH98" t="str">
        <f t="shared" si="71"/>
        <v>"division":"--",</v>
      </c>
      <c r="BI98" t="str">
        <f t="shared" si="72"/>
        <v>"wc":"0",</v>
      </c>
      <c r="BJ98" t="str">
        <f t="shared" si="73"/>
        <v>"bw":"",</v>
      </c>
      <c r="BK98" t="str">
        <f t="shared" si="74"/>
        <v>"pb":[0,0,0,0],</v>
      </c>
      <c r="BL98" t="str">
        <f t="shared" si="46"/>
        <v>"idx":"23",</v>
      </c>
      <c r="BM98" t="str">
        <f t="shared" si="47"/>
        <v>"sr":"0",</v>
      </c>
      <c r="BN98" t="str">
        <f t="shared" si="48"/>
        <v>"br":"0",</v>
      </c>
      <c r="BO98" t="str">
        <f t="shared" si="49"/>
        <v>"row":0,</v>
      </c>
      <c r="BP98" t="s">
        <v>55</v>
      </c>
      <c r="BQ98" t="str">
        <f t="shared" si="50"/>
        <v>"sq":{"a1":0,"a2":"","a3":"","s1":0,"s2":0,"s3":0},"bp":{"a1":0,"a2":"","a3":"","s1":0,"s2":0,"s3":0},"dl":{"a1":0,"a2":"","a3":"","s1":0,"s2":0,"s3":0},"sortOrder":0,"act":{}}</v>
      </c>
      <c r="BR98" t="str">
        <f t="shared" si="75"/>
        <v>{"group":"A","lot":0,"name":"0","team":"","year":"0","gender":"0","gear":"0","lifts":"0","division":"--","wc":"0","bw":"","pb":[0,0,0,0],"idx":"23","sr":"0","br":"0","row":0,"sq":{"a1":0,"a2":"","a3":"","s1":0,"s2":0,"s3":0},"bp":{"a1":0,"a2":"","a3":"","s1":0,"s2":0,"s3":0},"dl":{"a1":0,"a2":"","a3":"","s1":0,"s2":0,"s3":0},"sortOrder":0,"act":{}}</v>
      </c>
    </row>
    <row r="99" spans="5:70" x14ac:dyDescent="0.25">
      <c r="E99" s="128"/>
      <c r="F99" s="129"/>
      <c r="G99" s="129"/>
      <c r="H99" s="129"/>
      <c r="I99" s="129"/>
      <c r="J99" s="129"/>
      <c r="K99" s="129"/>
      <c r="L99" s="130"/>
      <c r="M99" s="131"/>
      <c r="N99" s="130"/>
      <c r="O99" s="148">
        <f t="shared" ca="1" si="76"/>
        <v>2023</v>
      </c>
      <c r="P99" s="129"/>
      <c r="Q99" s="129"/>
      <c r="R99" s="129"/>
      <c r="S99" s="129"/>
      <c r="T99" s="129"/>
      <c r="U99" s="129"/>
      <c r="V99" s="129"/>
      <c r="W99" s="129"/>
      <c r="X99" s="129"/>
      <c r="Y99" s="132"/>
      <c r="Z99" s="133"/>
      <c r="AA99" s="133"/>
      <c r="AB99" s="134"/>
      <c r="AE99" s="15" t="str">
        <f t="shared" si="42"/>
        <v>A</v>
      </c>
      <c r="AF99" s="8">
        <f t="shared" si="43"/>
        <v>0</v>
      </c>
      <c r="AG99" s="9">
        <f t="shared" si="51"/>
        <v>0</v>
      </c>
      <c r="AH99" s="9" t="str">
        <f t="shared" si="52"/>
        <v/>
      </c>
      <c r="AI99" s="8">
        <f t="shared" si="44"/>
        <v>0</v>
      </c>
      <c r="AJ99" s="45">
        <f t="shared" si="53"/>
        <v>0</v>
      </c>
      <c r="AK99" s="45">
        <f t="shared" si="54"/>
        <v>0</v>
      </c>
      <c r="AL99" s="45">
        <f t="shared" si="55"/>
        <v>0</v>
      </c>
      <c r="AM99" s="8" t="str">
        <f t="shared" si="56"/>
        <v>--</v>
      </c>
      <c r="AN99" s="10">
        <f t="shared" si="57"/>
        <v>0</v>
      </c>
      <c r="AO99" s="10">
        <f t="shared" si="58"/>
        <v>0</v>
      </c>
      <c r="AP99" s="10">
        <f t="shared" si="59"/>
        <v>0</v>
      </c>
      <c r="AQ99" s="10">
        <f t="shared" si="60"/>
        <v>0</v>
      </c>
      <c r="AR99" s="10">
        <f t="shared" si="61"/>
        <v>0</v>
      </c>
      <c r="AS99" s="8">
        <v>23</v>
      </c>
      <c r="AT99" s="9">
        <f t="shared" si="62"/>
        <v>0</v>
      </c>
      <c r="AU99" s="11">
        <f t="shared" si="63"/>
        <v>0</v>
      </c>
      <c r="AV99" s="6"/>
      <c r="AW99" s="6"/>
      <c r="AX99" s="6"/>
      <c r="AZ99" t="str">
        <f t="shared" si="64"/>
        <v>{"group":"A",</v>
      </c>
      <c r="BA99" t="str">
        <f t="shared" si="45"/>
        <v>"lot":0,</v>
      </c>
      <c r="BB99" t="str">
        <f t="shared" si="65"/>
        <v>"name":"0",</v>
      </c>
      <c r="BC99" t="str">
        <f t="shared" si="66"/>
        <v>"team":"",</v>
      </c>
      <c r="BD99" t="str">
        <f t="shared" si="67"/>
        <v>"year":"0",</v>
      </c>
      <c r="BE99" t="str">
        <f t="shared" si="68"/>
        <v>"gender":"0",</v>
      </c>
      <c r="BF99" t="str">
        <f t="shared" si="69"/>
        <v>"gear":"0",</v>
      </c>
      <c r="BG99" t="str">
        <f t="shared" si="70"/>
        <v>"lifts":"0",</v>
      </c>
      <c r="BH99" t="str">
        <f t="shared" si="71"/>
        <v>"division":"--",</v>
      </c>
      <c r="BI99" t="str">
        <f t="shared" si="72"/>
        <v>"wc":"0",</v>
      </c>
      <c r="BJ99" t="str">
        <f t="shared" si="73"/>
        <v>"bw":"",</v>
      </c>
      <c r="BK99" t="str">
        <f t="shared" si="74"/>
        <v>"pb":[0,0,0,0],</v>
      </c>
      <c r="BL99" t="str">
        <f t="shared" si="46"/>
        <v>"idx":"23",</v>
      </c>
      <c r="BM99" t="str">
        <f t="shared" si="47"/>
        <v>"sr":"0",</v>
      </c>
      <c r="BN99" t="str">
        <f t="shared" si="48"/>
        <v>"br":"0",</v>
      </c>
      <c r="BO99" t="str">
        <f t="shared" si="49"/>
        <v>"row":0,</v>
      </c>
      <c r="BP99" t="s">
        <v>55</v>
      </c>
      <c r="BQ99" t="str">
        <f t="shared" si="50"/>
        <v>"sq":{"a1":0,"a2":"","a3":"","s1":0,"s2":0,"s3":0},"bp":{"a1":0,"a2":"","a3":"","s1":0,"s2":0,"s3":0},"dl":{"a1":0,"a2":"","a3":"","s1":0,"s2":0,"s3":0},"sortOrder":0,"act":{}}</v>
      </c>
      <c r="BR99" t="str">
        <f t="shared" si="75"/>
        <v>{"group":"A","lot":0,"name":"0","team":"","year":"0","gender":"0","gear":"0","lifts":"0","division":"--","wc":"0","bw":"","pb":[0,0,0,0],"idx":"23","sr":"0","br":"0","row":0,"sq":{"a1":0,"a2":"","a3":"","s1":0,"s2":0,"s3":0},"bp":{"a1":0,"a2":"","a3":"","s1":0,"s2":0,"s3":0},"dl":{"a1":0,"a2":"","a3":"","s1":0,"s2":0,"s3":0},"sortOrder":0,"act":{}}</v>
      </c>
    </row>
    <row r="100" spans="5:70" x14ac:dyDescent="0.25">
      <c r="E100" s="128"/>
      <c r="F100" s="129"/>
      <c r="G100" s="129"/>
      <c r="H100" s="129"/>
      <c r="I100" s="129"/>
      <c r="J100" s="129"/>
      <c r="K100" s="129"/>
      <c r="L100" s="130"/>
      <c r="M100" s="131"/>
      <c r="N100" s="130"/>
      <c r="O100" s="148">
        <f t="shared" ca="1" si="76"/>
        <v>2023</v>
      </c>
      <c r="P100" s="129"/>
      <c r="Q100" s="129"/>
      <c r="R100" s="129"/>
      <c r="S100" s="129"/>
      <c r="T100" s="129"/>
      <c r="U100" s="129"/>
      <c r="V100" s="129"/>
      <c r="W100" s="129"/>
      <c r="X100" s="129"/>
      <c r="Y100" s="132"/>
      <c r="Z100" s="133"/>
      <c r="AA100" s="133"/>
      <c r="AB100" s="134"/>
      <c r="AE100" s="15" t="str">
        <f t="shared" si="42"/>
        <v>A</v>
      </c>
      <c r="AF100" s="8">
        <f t="shared" si="43"/>
        <v>0</v>
      </c>
      <c r="AG100" s="9">
        <f t="shared" si="51"/>
        <v>0</v>
      </c>
      <c r="AH100" s="9" t="str">
        <f t="shared" si="52"/>
        <v/>
      </c>
      <c r="AI100" s="8">
        <f t="shared" si="44"/>
        <v>0</v>
      </c>
      <c r="AJ100" s="45">
        <f t="shared" si="53"/>
        <v>0</v>
      </c>
      <c r="AK100" s="45">
        <f t="shared" si="54"/>
        <v>0</v>
      </c>
      <c r="AL100" s="45">
        <f t="shared" si="55"/>
        <v>0</v>
      </c>
      <c r="AM100" s="8" t="str">
        <f t="shared" si="56"/>
        <v>--</v>
      </c>
      <c r="AN100" s="10">
        <f t="shared" si="57"/>
        <v>0</v>
      </c>
      <c r="AO100" s="10">
        <f t="shared" si="58"/>
        <v>0</v>
      </c>
      <c r="AP100" s="10">
        <f t="shared" si="59"/>
        <v>0</v>
      </c>
      <c r="AQ100" s="10">
        <f t="shared" si="60"/>
        <v>0</v>
      </c>
      <c r="AR100" s="10">
        <f t="shared" si="61"/>
        <v>0</v>
      </c>
      <c r="AS100" s="8">
        <v>23</v>
      </c>
      <c r="AT100" s="9">
        <f t="shared" si="62"/>
        <v>0</v>
      </c>
      <c r="AU100" s="11">
        <f t="shared" si="63"/>
        <v>0</v>
      </c>
      <c r="AV100" s="6"/>
      <c r="AW100" s="6"/>
      <c r="AX100" s="6"/>
      <c r="AZ100" t="str">
        <f t="shared" si="64"/>
        <v>{"group":"A",</v>
      </c>
      <c r="BA100" t="str">
        <f t="shared" si="45"/>
        <v>"lot":0,</v>
      </c>
      <c r="BB100" t="str">
        <f t="shared" si="65"/>
        <v>"name":"0",</v>
      </c>
      <c r="BC100" t="str">
        <f t="shared" si="66"/>
        <v>"team":"",</v>
      </c>
      <c r="BD100" t="str">
        <f t="shared" si="67"/>
        <v>"year":"0",</v>
      </c>
      <c r="BE100" t="str">
        <f t="shared" si="68"/>
        <v>"gender":"0",</v>
      </c>
      <c r="BF100" t="str">
        <f t="shared" si="69"/>
        <v>"gear":"0",</v>
      </c>
      <c r="BG100" t="str">
        <f t="shared" si="70"/>
        <v>"lifts":"0",</v>
      </c>
      <c r="BH100" t="str">
        <f t="shared" si="71"/>
        <v>"division":"--",</v>
      </c>
      <c r="BI100" t="str">
        <f t="shared" si="72"/>
        <v>"wc":"0",</v>
      </c>
      <c r="BJ100" t="str">
        <f t="shared" si="73"/>
        <v>"bw":"",</v>
      </c>
      <c r="BK100" t="str">
        <f t="shared" si="74"/>
        <v>"pb":[0,0,0,0],</v>
      </c>
      <c r="BL100" t="str">
        <f t="shared" si="46"/>
        <v>"idx":"23",</v>
      </c>
      <c r="BM100" t="str">
        <f t="shared" si="47"/>
        <v>"sr":"0",</v>
      </c>
      <c r="BN100" t="str">
        <f t="shared" si="48"/>
        <v>"br":"0",</v>
      </c>
      <c r="BO100" t="str">
        <f t="shared" si="49"/>
        <v>"row":0,</v>
      </c>
      <c r="BP100" t="s">
        <v>55</v>
      </c>
      <c r="BQ100" t="str">
        <f t="shared" si="50"/>
        <v>"sq":{"a1":0,"a2":"","a3":"","s1":0,"s2":0,"s3":0},"bp":{"a1":0,"a2":"","a3":"","s1":0,"s2":0,"s3":0},"dl":{"a1":0,"a2":"","a3":"","s1":0,"s2":0,"s3":0},"sortOrder":0,"act":{}}</v>
      </c>
      <c r="BR100" t="str">
        <f t="shared" si="75"/>
        <v>{"group":"A","lot":0,"name":"0","team":"","year":"0","gender":"0","gear":"0","lifts":"0","division":"--","wc":"0","bw":"","pb":[0,0,0,0],"idx":"23","sr":"0","br":"0","row":0,"sq":{"a1":0,"a2":"","a3":"","s1":0,"s2":0,"s3":0},"bp":{"a1":0,"a2":"","a3":"","s1":0,"s2":0,"s3":0},"dl":{"a1":0,"a2":"","a3":"","s1":0,"s2":0,"s3":0},"sortOrder":0,"act":{}}</v>
      </c>
    </row>
    <row r="101" spans="5:70" x14ac:dyDescent="0.25">
      <c r="E101" s="128"/>
      <c r="F101" s="129"/>
      <c r="G101" s="129"/>
      <c r="H101" s="129"/>
      <c r="I101" s="129"/>
      <c r="J101" s="129"/>
      <c r="K101" s="129"/>
      <c r="L101" s="130"/>
      <c r="M101" s="131"/>
      <c r="N101" s="130"/>
      <c r="O101" s="148">
        <f t="shared" ca="1" si="76"/>
        <v>2023</v>
      </c>
      <c r="P101" s="129"/>
      <c r="Q101" s="129"/>
      <c r="R101" s="129"/>
      <c r="S101" s="129"/>
      <c r="T101" s="129"/>
      <c r="U101" s="129"/>
      <c r="V101" s="129"/>
      <c r="W101" s="129"/>
      <c r="X101" s="129"/>
      <c r="Y101" s="132"/>
      <c r="Z101" s="133"/>
      <c r="AA101" s="133"/>
      <c r="AB101" s="134"/>
      <c r="AE101" s="15" t="str">
        <f t="shared" si="42"/>
        <v>A</v>
      </c>
      <c r="AF101" s="8">
        <f t="shared" si="43"/>
        <v>0</v>
      </c>
      <c r="AG101" s="9">
        <f t="shared" si="51"/>
        <v>0</v>
      </c>
      <c r="AH101" s="9" t="str">
        <f t="shared" si="52"/>
        <v/>
      </c>
      <c r="AI101" s="8">
        <f t="shared" si="44"/>
        <v>0</v>
      </c>
      <c r="AJ101" s="45">
        <f t="shared" si="53"/>
        <v>0</v>
      </c>
      <c r="AK101" s="45">
        <f t="shared" si="54"/>
        <v>0</v>
      </c>
      <c r="AL101" s="45">
        <f t="shared" si="55"/>
        <v>0</v>
      </c>
      <c r="AM101" s="8" t="str">
        <f t="shared" si="56"/>
        <v>--</v>
      </c>
      <c r="AN101" s="10">
        <f t="shared" si="57"/>
        <v>0</v>
      </c>
      <c r="AO101" s="10">
        <f t="shared" si="58"/>
        <v>0</v>
      </c>
      <c r="AP101" s="10">
        <f t="shared" si="59"/>
        <v>0</v>
      </c>
      <c r="AQ101" s="10">
        <f t="shared" si="60"/>
        <v>0</v>
      </c>
      <c r="AR101" s="10">
        <f t="shared" si="61"/>
        <v>0</v>
      </c>
      <c r="AS101" s="8">
        <v>23</v>
      </c>
      <c r="AT101" s="9">
        <f t="shared" si="62"/>
        <v>0</v>
      </c>
      <c r="AU101" s="11">
        <f t="shared" si="63"/>
        <v>0</v>
      </c>
      <c r="AV101" s="6"/>
      <c r="AW101" s="6"/>
      <c r="AX101" s="6"/>
      <c r="AZ101" t="str">
        <f t="shared" si="64"/>
        <v>{"group":"A",</v>
      </c>
      <c r="BA101" t="str">
        <f t="shared" si="45"/>
        <v>"lot":0,</v>
      </c>
      <c r="BB101" t="str">
        <f t="shared" si="65"/>
        <v>"name":"0",</v>
      </c>
      <c r="BC101" t="str">
        <f t="shared" si="66"/>
        <v>"team":"",</v>
      </c>
      <c r="BD101" t="str">
        <f t="shared" si="67"/>
        <v>"year":"0",</v>
      </c>
      <c r="BE101" t="str">
        <f t="shared" si="68"/>
        <v>"gender":"0",</v>
      </c>
      <c r="BF101" t="str">
        <f t="shared" si="69"/>
        <v>"gear":"0",</v>
      </c>
      <c r="BG101" t="str">
        <f t="shared" si="70"/>
        <v>"lifts":"0",</v>
      </c>
      <c r="BH101" t="str">
        <f t="shared" si="71"/>
        <v>"division":"--",</v>
      </c>
      <c r="BI101" t="str">
        <f t="shared" si="72"/>
        <v>"wc":"0",</v>
      </c>
      <c r="BJ101" t="str">
        <f t="shared" si="73"/>
        <v>"bw":"",</v>
      </c>
      <c r="BK101" t="str">
        <f t="shared" si="74"/>
        <v>"pb":[0,0,0,0],</v>
      </c>
      <c r="BL101" t="str">
        <f t="shared" si="46"/>
        <v>"idx":"23",</v>
      </c>
      <c r="BM101" t="str">
        <f t="shared" si="47"/>
        <v>"sr":"0",</v>
      </c>
      <c r="BN101" t="str">
        <f t="shared" si="48"/>
        <v>"br":"0",</v>
      </c>
      <c r="BO101" t="str">
        <f t="shared" si="49"/>
        <v>"row":0,</v>
      </c>
      <c r="BP101" t="s">
        <v>55</v>
      </c>
      <c r="BQ101" t="str">
        <f t="shared" si="50"/>
        <v>"sq":{"a1":0,"a2":"","a3":"","s1":0,"s2":0,"s3":0},"bp":{"a1":0,"a2":"","a3":"","s1":0,"s2":0,"s3":0},"dl":{"a1":0,"a2":"","a3":"","s1":0,"s2":0,"s3":0},"sortOrder":0,"act":{}}</v>
      </c>
      <c r="BR101" t="str">
        <f t="shared" si="75"/>
        <v>{"group":"A","lot":0,"name":"0","team":"","year":"0","gender":"0","gear":"0","lifts":"0","division":"--","wc":"0","bw":"","pb":[0,0,0,0],"idx":"23","sr":"0","br":"0","row":0,"sq":{"a1":0,"a2":"","a3":"","s1":0,"s2":0,"s3":0},"bp":{"a1":0,"a2":"","a3":"","s1":0,"s2":0,"s3":0},"dl":{"a1":0,"a2":"","a3":"","s1":0,"s2":0,"s3":0},"sortOrder":0,"act":{}}</v>
      </c>
    </row>
    <row r="102" spans="5:70" x14ac:dyDescent="0.25">
      <c r="E102" s="128"/>
      <c r="F102" s="129"/>
      <c r="G102" s="129"/>
      <c r="H102" s="129"/>
      <c r="I102" s="129"/>
      <c r="J102" s="129"/>
      <c r="K102" s="129"/>
      <c r="L102" s="130"/>
      <c r="M102" s="131"/>
      <c r="N102" s="130"/>
      <c r="O102" s="148">
        <f t="shared" ca="1" si="76"/>
        <v>2023</v>
      </c>
      <c r="P102" s="129"/>
      <c r="Q102" s="129"/>
      <c r="R102" s="129"/>
      <c r="S102" s="129"/>
      <c r="T102" s="129"/>
      <c r="U102" s="129"/>
      <c r="V102" s="129"/>
      <c r="W102" s="129"/>
      <c r="X102" s="129"/>
      <c r="Y102" s="132"/>
      <c r="Z102" s="133"/>
      <c r="AA102" s="133"/>
      <c r="AB102" s="134"/>
      <c r="AE102" s="15" t="str">
        <f t="shared" si="42"/>
        <v>A</v>
      </c>
      <c r="AF102" s="8">
        <f t="shared" si="43"/>
        <v>0</v>
      </c>
      <c r="AG102" s="9">
        <f t="shared" si="51"/>
        <v>0</v>
      </c>
      <c r="AH102" s="9" t="str">
        <f t="shared" si="52"/>
        <v/>
      </c>
      <c r="AI102" s="8">
        <f t="shared" si="44"/>
        <v>0</v>
      </c>
      <c r="AJ102" s="45">
        <f t="shared" si="53"/>
        <v>0</v>
      </c>
      <c r="AK102" s="45">
        <f t="shared" si="54"/>
        <v>0</v>
      </c>
      <c r="AL102" s="45">
        <f t="shared" si="55"/>
        <v>0</v>
      </c>
      <c r="AM102" s="8" t="str">
        <f t="shared" si="56"/>
        <v>--</v>
      </c>
      <c r="AN102" s="10">
        <f t="shared" si="57"/>
        <v>0</v>
      </c>
      <c r="AO102" s="10">
        <f t="shared" si="58"/>
        <v>0</v>
      </c>
      <c r="AP102" s="10">
        <f t="shared" si="59"/>
        <v>0</v>
      </c>
      <c r="AQ102" s="10">
        <f t="shared" si="60"/>
        <v>0</v>
      </c>
      <c r="AR102" s="10">
        <f t="shared" si="61"/>
        <v>0</v>
      </c>
      <c r="AS102" s="8">
        <v>23</v>
      </c>
      <c r="AT102" s="9">
        <f t="shared" si="62"/>
        <v>0</v>
      </c>
      <c r="AU102" s="11">
        <f t="shared" si="63"/>
        <v>0</v>
      </c>
      <c r="AV102" s="6"/>
      <c r="AW102" s="6"/>
      <c r="AX102" s="6"/>
      <c r="AZ102" t="str">
        <f t="shared" si="64"/>
        <v>{"group":"A",</v>
      </c>
      <c r="BA102" t="str">
        <f t="shared" si="45"/>
        <v>"lot":0,</v>
      </c>
      <c r="BB102" t="str">
        <f t="shared" si="65"/>
        <v>"name":"0",</v>
      </c>
      <c r="BC102" t="str">
        <f t="shared" si="66"/>
        <v>"team":"",</v>
      </c>
      <c r="BD102" t="str">
        <f t="shared" si="67"/>
        <v>"year":"0",</v>
      </c>
      <c r="BE102" t="str">
        <f t="shared" si="68"/>
        <v>"gender":"0",</v>
      </c>
      <c r="BF102" t="str">
        <f t="shared" si="69"/>
        <v>"gear":"0",</v>
      </c>
      <c r="BG102" t="str">
        <f t="shared" si="70"/>
        <v>"lifts":"0",</v>
      </c>
      <c r="BH102" t="str">
        <f t="shared" si="71"/>
        <v>"division":"--",</v>
      </c>
      <c r="BI102" t="str">
        <f t="shared" si="72"/>
        <v>"wc":"0",</v>
      </c>
      <c r="BJ102" t="str">
        <f t="shared" si="73"/>
        <v>"bw":"",</v>
      </c>
      <c r="BK102" t="str">
        <f t="shared" si="74"/>
        <v>"pb":[0,0,0,0],</v>
      </c>
      <c r="BL102" t="str">
        <f t="shared" si="46"/>
        <v>"idx":"23",</v>
      </c>
      <c r="BM102" t="str">
        <f t="shared" si="47"/>
        <v>"sr":"0",</v>
      </c>
      <c r="BN102" t="str">
        <f t="shared" si="48"/>
        <v>"br":"0",</v>
      </c>
      <c r="BO102" t="str">
        <f t="shared" si="49"/>
        <v>"row":0,</v>
      </c>
      <c r="BP102" t="s">
        <v>55</v>
      </c>
      <c r="BQ102" t="str">
        <f t="shared" si="50"/>
        <v>"sq":{"a1":0,"a2":"","a3":"","s1":0,"s2":0,"s3":0},"bp":{"a1":0,"a2":"","a3":"","s1":0,"s2":0,"s3":0},"dl":{"a1":0,"a2":"","a3":"","s1":0,"s2":0,"s3":0},"sortOrder":0,"act":{}}</v>
      </c>
      <c r="BR102" t="str">
        <f t="shared" si="75"/>
        <v>{"group":"A","lot":0,"name":"0","team":"","year":"0","gender":"0","gear":"0","lifts":"0","division":"--","wc":"0","bw":"","pb":[0,0,0,0],"idx":"23","sr":"0","br":"0","row":0,"sq":{"a1":0,"a2":"","a3":"","s1":0,"s2":0,"s3":0},"bp":{"a1":0,"a2":"","a3":"","s1":0,"s2":0,"s3":0},"dl":{"a1":0,"a2":"","a3":"","s1":0,"s2":0,"s3":0},"sortOrder":0,"act":{}}</v>
      </c>
    </row>
    <row r="103" spans="5:70" x14ac:dyDescent="0.25">
      <c r="E103" s="128"/>
      <c r="F103" s="129"/>
      <c r="G103" s="129"/>
      <c r="H103" s="129"/>
      <c r="I103" s="129"/>
      <c r="J103" s="129"/>
      <c r="K103" s="129"/>
      <c r="L103" s="130"/>
      <c r="M103" s="131"/>
      <c r="N103" s="130"/>
      <c r="O103" s="148">
        <f t="shared" ca="1" si="76"/>
        <v>2023</v>
      </c>
      <c r="P103" s="129"/>
      <c r="Q103" s="129"/>
      <c r="R103" s="129"/>
      <c r="S103" s="129"/>
      <c r="T103" s="129"/>
      <c r="U103" s="129"/>
      <c r="V103" s="129"/>
      <c r="W103" s="129"/>
      <c r="X103" s="129"/>
      <c r="Y103" s="132"/>
      <c r="Z103" s="133"/>
      <c r="AA103" s="133"/>
      <c r="AB103" s="134"/>
      <c r="AE103" s="15" t="str">
        <f t="shared" si="42"/>
        <v>A</v>
      </c>
      <c r="AF103" s="8">
        <f t="shared" si="43"/>
        <v>0</v>
      </c>
      <c r="AG103" s="9">
        <f t="shared" si="51"/>
        <v>0</v>
      </c>
      <c r="AH103" s="9" t="str">
        <f t="shared" si="52"/>
        <v/>
      </c>
      <c r="AI103" s="8">
        <f t="shared" si="44"/>
        <v>0</v>
      </c>
      <c r="AJ103" s="45">
        <f t="shared" si="53"/>
        <v>0</v>
      </c>
      <c r="AK103" s="45">
        <f t="shared" si="54"/>
        <v>0</v>
      </c>
      <c r="AL103" s="45">
        <f t="shared" si="55"/>
        <v>0</v>
      </c>
      <c r="AM103" s="8" t="str">
        <f t="shared" si="56"/>
        <v>--</v>
      </c>
      <c r="AN103" s="10">
        <f t="shared" si="57"/>
        <v>0</v>
      </c>
      <c r="AO103" s="10">
        <f t="shared" si="58"/>
        <v>0</v>
      </c>
      <c r="AP103" s="10">
        <f t="shared" si="59"/>
        <v>0</v>
      </c>
      <c r="AQ103" s="10">
        <f t="shared" si="60"/>
        <v>0</v>
      </c>
      <c r="AR103" s="10">
        <f t="shared" si="61"/>
        <v>0</v>
      </c>
      <c r="AS103" s="8">
        <v>23</v>
      </c>
      <c r="AT103" s="9">
        <f t="shared" si="62"/>
        <v>0</v>
      </c>
      <c r="AU103" s="11">
        <f t="shared" si="63"/>
        <v>0</v>
      </c>
      <c r="AV103" s="6"/>
      <c r="AW103" s="6"/>
      <c r="AX103" s="6"/>
      <c r="AZ103" t="str">
        <f t="shared" si="64"/>
        <v>{"group":"A",</v>
      </c>
      <c r="BA103" t="str">
        <f t="shared" si="45"/>
        <v>"lot":0,</v>
      </c>
      <c r="BB103" t="str">
        <f t="shared" si="65"/>
        <v>"name":"0",</v>
      </c>
      <c r="BC103" t="str">
        <f t="shared" si="66"/>
        <v>"team":"",</v>
      </c>
      <c r="BD103" t="str">
        <f t="shared" si="67"/>
        <v>"year":"0",</v>
      </c>
      <c r="BE103" t="str">
        <f t="shared" si="68"/>
        <v>"gender":"0",</v>
      </c>
      <c r="BF103" t="str">
        <f t="shared" si="69"/>
        <v>"gear":"0",</v>
      </c>
      <c r="BG103" t="str">
        <f t="shared" si="70"/>
        <v>"lifts":"0",</v>
      </c>
      <c r="BH103" t="str">
        <f t="shared" si="71"/>
        <v>"division":"--",</v>
      </c>
      <c r="BI103" t="str">
        <f t="shared" si="72"/>
        <v>"wc":"0",</v>
      </c>
      <c r="BJ103" t="str">
        <f t="shared" si="73"/>
        <v>"bw":"",</v>
      </c>
      <c r="BK103" t="str">
        <f t="shared" si="74"/>
        <v>"pb":[0,0,0,0],</v>
      </c>
      <c r="BL103" t="str">
        <f t="shared" si="46"/>
        <v>"idx":"23",</v>
      </c>
      <c r="BM103" t="str">
        <f t="shared" si="47"/>
        <v>"sr":"0",</v>
      </c>
      <c r="BN103" t="str">
        <f t="shared" si="48"/>
        <v>"br":"0",</v>
      </c>
      <c r="BO103" t="str">
        <f t="shared" si="49"/>
        <v>"row":0,</v>
      </c>
      <c r="BP103" t="s">
        <v>55</v>
      </c>
      <c r="BQ103" t="str">
        <f t="shared" si="50"/>
        <v>"sq":{"a1":0,"a2":"","a3":"","s1":0,"s2":0,"s3":0},"bp":{"a1":0,"a2":"","a3":"","s1":0,"s2":0,"s3":0},"dl":{"a1":0,"a2":"","a3":"","s1":0,"s2":0,"s3":0},"sortOrder":0,"act":{}}</v>
      </c>
      <c r="BR103" t="str">
        <f t="shared" si="75"/>
        <v>{"group":"A","lot":0,"name":"0","team":"","year":"0","gender":"0","gear":"0","lifts":"0","division":"--","wc":"0","bw":"","pb":[0,0,0,0],"idx":"23","sr":"0","br":"0","row":0,"sq":{"a1":0,"a2":"","a3":"","s1":0,"s2":0,"s3":0},"bp":{"a1":0,"a2":"","a3":"","s1":0,"s2":0,"s3":0},"dl":{"a1":0,"a2":"","a3":"","s1":0,"s2":0,"s3":0},"sortOrder":0,"act":{}}</v>
      </c>
    </row>
    <row r="104" spans="5:70" x14ac:dyDescent="0.25">
      <c r="E104" s="128"/>
      <c r="F104" s="129"/>
      <c r="G104" s="129"/>
      <c r="H104" s="129"/>
      <c r="I104" s="129"/>
      <c r="J104" s="129"/>
      <c r="K104" s="129"/>
      <c r="L104" s="130"/>
      <c r="M104" s="131"/>
      <c r="N104" s="130"/>
      <c r="O104" s="148">
        <f t="shared" ca="1" si="76"/>
        <v>2023</v>
      </c>
      <c r="P104" s="129"/>
      <c r="Q104" s="129"/>
      <c r="R104" s="129"/>
      <c r="S104" s="129"/>
      <c r="T104" s="129"/>
      <c r="U104" s="129"/>
      <c r="V104" s="129"/>
      <c r="W104" s="129"/>
      <c r="X104" s="129"/>
      <c r="Y104" s="132"/>
      <c r="Z104" s="133"/>
      <c r="AA104" s="133"/>
      <c r="AB104" s="134"/>
      <c r="AE104" s="15" t="str">
        <f t="shared" si="42"/>
        <v>A</v>
      </c>
      <c r="AF104" s="8">
        <f t="shared" si="43"/>
        <v>0</v>
      </c>
      <c r="AG104" s="9">
        <f t="shared" si="51"/>
        <v>0</v>
      </c>
      <c r="AH104" s="9" t="str">
        <f t="shared" si="52"/>
        <v/>
      </c>
      <c r="AI104" s="8">
        <f t="shared" si="44"/>
        <v>0</v>
      </c>
      <c r="AJ104" s="45">
        <f t="shared" si="53"/>
        <v>0</v>
      </c>
      <c r="AK104" s="45">
        <f t="shared" si="54"/>
        <v>0</v>
      </c>
      <c r="AL104" s="45">
        <f t="shared" si="55"/>
        <v>0</v>
      </c>
      <c r="AM104" s="8" t="str">
        <f t="shared" si="56"/>
        <v>--</v>
      </c>
      <c r="AN104" s="10">
        <f t="shared" si="57"/>
        <v>0</v>
      </c>
      <c r="AO104" s="10">
        <f t="shared" si="58"/>
        <v>0</v>
      </c>
      <c r="AP104" s="10">
        <f t="shared" si="59"/>
        <v>0</v>
      </c>
      <c r="AQ104" s="10">
        <f t="shared" si="60"/>
        <v>0</v>
      </c>
      <c r="AR104" s="10">
        <f t="shared" si="61"/>
        <v>0</v>
      </c>
      <c r="AS104" s="8">
        <v>23</v>
      </c>
      <c r="AT104" s="9">
        <f t="shared" si="62"/>
        <v>0</v>
      </c>
      <c r="AU104" s="11">
        <f t="shared" si="63"/>
        <v>0</v>
      </c>
      <c r="AV104" s="6"/>
      <c r="AW104" s="6"/>
      <c r="AX104" s="6"/>
      <c r="AZ104" t="str">
        <f t="shared" si="64"/>
        <v>{"group":"A",</v>
      </c>
      <c r="BA104" t="str">
        <f t="shared" si="45"/>
        <v>"lot":0,</v>
      </c>
      <c r="BB104" t="str">
        <f t="shared" si="65"/>
        <v>"name":"0",</v>
      </c>
      <c r="BC104" t="str">
        <f t="shared" si="66"/>
        <v>"team":"",</v>
      </c>
      <c r="BD104" t="str">
        <f t="shared" si="67"/>
        <v>"year":"0",</v>
      </c>
      <c r="BE104" t="str">
        <f t="shared" si="68"/>
        <v>"gender":"0",</v>
      </c>
      <c r="BF104" t="str">
        <f t="shared" si="69"/>
        <v>"gear":"0",</v>
      </c>
      <c r="BG104" t="str">
        <f t="shared" si="70"/>
        <v>"lifts":"0",</v>
      </c>
      <c r="BH104" t="str">
        <f t="shared" si="71"/>
        <v>"division":"--",</v>
      </c>
      <c r="BI104" t="str">
        <f t="shared" si="72"/>
        <v>"wc":"0",</v>
      </c>
      <c r="BJ104" t="str">
        <f t="shared" si="73"/>
        <v>"bw":"",</v>
      </c>
      <c r="BK104" t="str">
        <f t="shared" si="74"/>
        <v>"pb":[0,0,0,0],</v>
      </c>
      <c r="BL104" t="str">
        <f t="shared" si="46"/>
        <v>"idx":"23",</v>
      </c>
      <c r="BM104" t="str">
        <f t="shared" si="47"/>
        <v>"sr":"0",</v>
      </c>
      <c r="BN104" t="str">
        <f t="shared" si="48"/>
        <v>"br":"0",</v>
      </c>
      <c r="BO104" t="str">
        <f t="shared" si="49"/>
        <v>"row":0,</v>
      </c>
      <c r="BP104" t="s">
        <v>55</v>
      </c>
      <c r="BQ104" t="str">
        <f t="shared" si="50"/>
        <v>"sq":{"a1":0,"a2":"","a3":"","s1":0,"s2":0,"s3":0},"bp":{"a1":0,"a2":"","a3":"","s1":0,"s2":0,"s3":0},"dl":{"a1":0,"a2":"","a3":"","s1":0,"s2":0,"s3":0},"sortOrder":0,"act":{}}</v>
      </c>
      <c r="BR104" t="str">
        <f t="shared" si="75"/>
        <v>{"group":"A","lot":0,"name":"0","team":"","year":"0","gender":"0","gear":"0","lifts":"0","division":"--","wc":"0","bw":"","pb":[0,0,0,0],"idx":"23","sr":"0","br":"0","row":0,"sq":{"a1":0,"a2":"","a3":"","s1":0,"s2":0,"s3":0},"bp":{"a1":0,"a2":"","a3":"","s1":0,"s2":0,"s3":0},"dl":{"a1":0,"a2":"","a3":"","s1":0,"s2":0,"s3":0},"sortOrder":0,"act":{}}</v>
      </c>
    </row>
    <row r="105" spans="5:70" x14ac:dyDescent="0.25">
      <c r="E105" s="128"/>
      <c r="F105" s="129"/>
      <c r="G105" s="129"/>
      <c r="H105" s="129"/>
      <c r="I105" s="129"/>
      <c r="J105" s="129"/>
      <c r="K105" s="129"/>
      <c r="L105" s="130"/>
      <c r="M105" s="131"/>
      <c r="N105" s="130"/>
      <c r="O105" s="148">
        <f t="shared" ca="1" si="76"/>
        <v>2023</v>
      </c>
      <c r="P105" s="129"/>
      <c r="Q105" s="129"/>
      <c r="R105" s="129"/>
      <c r="S105" s="129"/>
      <c r="T105" s="129"/>
      <c r="U105" s="129"/>
      <c r="V105" s="129"/>
      <c r="W105" s="129"/>
      <c r="X105" s="129"/>
      <c r="Y105" s="132"/>
      <c r="Z105" s="133"/>
      <c r="AA105" s="133"/>
      <c r="AB105" s="134"/>
      <c r="AE105" s="15" t="str">
        <f t="shared" si="42"/>
        <v>A</v>
      </c>
      <c r="AF105" s="8">
        <f t="shared" si="43"/>
        <v>0</v>
      </c>
      <c r="AG105" s="9">
        <f t="shared" si="51"/>
        <v>0</v>
      </c>
      <c r="AH105" s="9" t="str">
        <f t="shared" si="52"/>
        <v/>
      </c>
      <c r="AI105" s="8">
        <f t="shared" si="44"/>
        <v>0</v>
      </c>
      <c r="AJ105" s="45">
        <f t="shared" si="53"/>
        <v>0</v>
      </c>
      <c r="AK105" s="45">
        <f t="shared" si="54"/>
        <v>0</v>
      </c>
      <c r="AL105" s="45">
        <f t="shared" si="55"/>
        <v>0</v>
      </c>
      <c r="AM105" s="8" t="str">
        <f t="shared" si="56"/>
        <v>--</v>
      </c>
      <c r="AN105" s="10">
        <f t="shared" si="57"/>
        <v>0</v>
      </c>
      <c r="AO105" s="10">
        <f t="shared" si="58"/>
        <v>0</v>
      </c>
      <c r="AP105" s="10">
        <f t="shared" si="59"/>
        <v>0</v>
      </c>
      <c r="AQ105" s="10">
        <f t="shared" si="60"/>
        <v>0</v>
      </c>
      <c r="AR105" s="10">
        <f t="shared" si="61"/>
        <v>0</v>
      </c>
      <c r="AS105" s="8">
        <v>23</v>
      </c>
      <c r="AT105" s="9">
        <f t="shared" si="62"/>
        <v>0</v>
      </c>
      <c r="AU105" s="11">
        <f t="shared" si="63"/>
        <v>0</v>
      </c>
      <c r="AV105" s="6"/>
      <c r="AW105" s="6"/>
      <c r="AX105" s="6"/>
      <c r="AZ105" t="str">
        <f t="shared" si="64"/>
        <v>{"group":"A",</v>
      </c>
      <c r="BA105" t="str">
        <f t="shared" si="45"/>
        <v>"lot":0,</v>
      </c>
      <c r="BB105" t="str">
        <f t="shared" si="65"/>
        <v>"name":"0",</v>
      </c>
      <c r="BC105" t="str">
        <f t="shared" si="66"/>
        <v>"team":"",</v>
      </c>
      <c r="BD105" t="str">
        <f t="shared" si="67"/>
        <v>"year":"0",</v>
      </c>
      <c r="BE105" t="str">
        <f t="shared" si="68"/>
        <v>"gender":"0",</v>
      </c>
      <c r="BF105" t="str">
        <f t="shared" si="69"/>
        <v>"gear":"0",</v>
      </c>
      <c r="BG105" t="str">
        <f t="shared" si="70"/>
        <v>"lifts":"0",</v>
      </c>
      <c r="BH105" t="str">
        <f t="shared" si="71"/>
        <v>"division":"--",</v>
      </c>
      <c r="BI105" t="str">
        <f t="shared" si="72"/>
        <v>"wc":"0",</v>
      </c>
      <c r="BJ105" t="str">
        <f t="shared" si="73"/>
        <v>"bw":"",</v>
      </c>
      <c r="BK105" t="str">
        <f t="shared" si="74"/>
        <v>"pb":[0,0,0,0],</v>
      </c>
      <c r="BL105" t="str">
        <f t="shared" si="46"/>
        <v>"idx":"23",</v>
      </c>
      <c r="BM105" t="str">
        <f t="shared" si="47"/>
        <v>"sr":"0",</v>
      </c>
      <c r="BN105" t="str">
        <f t="shared" si="48"/>
        <v>"br":"0",</v>
      </c>
      <c r="BO105" t="str">
        <f t="shared" si="49"/>
        <v>"row":0,</v>
      </c>
      <c r="BP105" t="s">
        <v>55</v>
      </c>
      <c r="BQ105" t="str">
        <f t="shared" si="50"/>
        <v>"sq":{"a1":0,"a2":"","a3":"","s1":0,"s2":0,"s3":0},"bp":{"a1":0,"a2":"","a3":"","s1":0,"s2":0,"s3":0},"dl":{"a1":0,"a2":"","a3":"","s1":0,"s2":0,"s3":0},"sortOrder":0,"act":{}}</v>
      </c>
      <c r="BR105" t="str">
        <f t="shared" si="75"/>
        <v>{"group":"A","lot":0,"name":"0","team":"","year":"0","gender":"0","gear":"0","lifts":"0","division":"--","wc":"0","bw":"","pb":[0,0,0,0],"idx":"23","sr":"0","br":"0","row":0,"sq":{"a1":0,"a2":"","a3":"","s1":0,"s2":0,"s3":0},"bp":{"a1":0,"a2":"","a3":"","s1":0,"s2":0,"s3":0},"dl":{"a1":0,"a2":"","a3":"","s1":0,"s2":0,"s3":0},"sortOrder":0,"act":{}}</v>
      </c>
    </row>
    <row r="106" spans="5:70" x14ac:dyDescent="0.25">
      <c r="E106" s="128"/>
      <c r="F106" s="129"/>
      <c r="G106" s="129"/>
      <c r="H106" s="129"/>
      <c r="I106" s="129"/>
      <c r="J106" s="129"/>
      <c r="K106" s="129"/>
      <c r="L106" s="130"/>
      <c r="M106" s="131"/>
      <c r="N106" s="130"/>
      <c r="O106" s="148">
        <f t="shared" ca="1" si="76"/>
        <v>2023</v>
      </c>
      <c r="P106" s="129"/>
      <c r="Q106" s="129"/>
      <c r="R106" s="129"/>
      <c r="S106" s="129"/>
      <c r="T106" s="129"/>
      <c r="U106" s="129"/>
      <c r="V106" s="129"/>
      <c r="W106" s="129"/>
      <c r="X106" s="129"/>
      <c r="Y106" s="132"/>
      <c r="Z106" s="133"/>
      <c r="AA106" s="133"/>
      <c r="AB106" s="134"/>
      <c r="AE106" s="15" t="str">
        <f t="shared" si="42"/>
        <v>A</v>
      </c>
      <c r="AF106" s="8">
        <f t="shared" si="43"/>
        <v>0</v>
      </c>
      <c r="AG106" s="9">
        <f t="shared" si="51"/>
        <v>0</v>
      </c>
      <c r="AH106" s="9" t="str">
        <f t="shared" si="52"/>
        <v/>
      </c>
      <c r="AI106" s="8">
        <f t="shared" si="44"/>
        <v>0</v>
      </c>
      <c r="AJ106" s="45">
        <f t="shared" si="53"/>
        <v>0</v>
      </c>
      <c r="AK106" s="45">
        <f t="shared" si="54"/>
        <v>0</v>
      </c>
      <c r="AL106" s="45">
        <f t="shared" si="55"/>
        <v>0</v>
      </c>
      <c r="AM106" s="8" t="str">
        <f t="shared" si="56"/>
        <v>--</v>
      </c>
      <c r="AN106" s="10">
        <f t="shared" si="57"/>
        <v>0</v>
      </c>
      <c r="AO106" s="10">
        <f t="shared" si="58"/>
        <v>0</v>
      </c>
      <c r="AP106" s="10">
        <f t="shared" si="59"/>
        <v>0</v>
      </c>
      <c r="AQ106" s="10">
        <f t="shared" si="60"/>
        <v>0</v>
      </c>
      <c r="AR106" s="10">
        <f t="shared" si="61"/>
        <v>0</v>
      </c>
      <c r="AS106" s="8">
        <v>23</v>
      </c>
      <c r="AT106" s="9">
        <f t="shared" si="62"/>
        <v>0</v>
      </c>
      <c r="AU106" s="11">
        <f t="shared" si="63"/>
        <v>0</v>
      </c>
      <c r="AV106" s="6"/>
      <c r="AW106" s="6"/>
      <c r="AX106" s="6"/>
      <c r="AZ106" t="str">
        <f t="shared" si="64"/>
        <v>{"group":"A",</v>
      </c>
      <c r="BA106" t="str">
        <f t="shared" si="45"/>
        <v>"lot":0,</v>
      </c>
      <c r="BB106" t="str">
        <f t="shared" si="65"/>
        <v>"name":"0",</v>
      </c>
      <c r="BC106" t="str">
        <f t="shared" si="66"/>
        <v>"team":"",</v>
      </c>
      <c r="BD106" t="str">
        <f t="shared" si="67"/>
        <v>"year":"0",</v>
      </c>
      <c r="BE106" t="str">
        <f t="shared" si="68"/>
        <v>"gender":"0",</v>
      </c>
      <c r="BF106" t="str">
        <f t="shared" si="69"/>
        <v>"gear":"0",</v>
      </c>
      <c r="BG106" t="str">
        <f t="shared" si="70"/>
        <v>"lifts":"0",</v>
      </c>
      <c r="BH106" t="str">
        <f t="shared" si="71"/>
        <v>"division":"--",</v>
      </c>
      <c r="BI106" t="str">
        <f t="shared" si="72"/>
        <v>"wc":"0",</v>
      </c>
      <c r="BJ106" t="str">
        <f t="shared" si="73"/>
        <v>"bw":"",</v>
      </c>
      <c r="BK106" t="str">
        <f t="shared" si="74"/>
        <v>"pb":[0,0,0,0],</v>
      </c>
      <c r="BL106" t="str">
        <f t="shared" si="46"/>
        <v>"idx":"23",</v>
      </c>
      <c r="BM106" t="str">
        <f t="shared" si="47"/>
        <v>"sr":"0",</v>
      </c>
      <c r="BN106" t="str">
        <f t="shared" si="48"/>
        <v>"br":"0",</v>
      </c>
      <c r="BO106" t="str">
        <f t="shared" si="49"/>
        <v>"row":0,</v>
      </c>
      <c r="BP106" t="s">
        <v>55</v>
      </c>
      <c r="BQ106" t="str">
        <f t="shared" si="50"/>
        <v>"sq":{"a1":0,"a2":"","a3":"","s1":0,"s2":0,"s3":0},"bp":{"a1":0,"a2":"","a3":"","s1":0,"s2":0,"s3":0},"dl":{"a1":0,"a2":"","a3":"","s1":0,"s2":0,"s3":0},"sortOrder":0,"act":{}}</v>
      </c>
      <c r="BR106" t="str">
        <f t="shared" si="75"/>
        <v>{"group":"A","lot":0,"name":"0","team":"","year":"0","gender":"0","gear":"0","lifts":"0","division":"--","wc":"0","bw":"","pb":[0,0,0,0],"idx":"23","sr":"0","br":"0","row":0,"sq":{"a1":0,"a2":"","a3":"","s1":0,"s2":0,"s3":0},"bp":{"a1":0,"a2":"","a3":"","s1":0,"s2":0,"s3":0},"dl":{"a1":0,"a2":"","a3":"","s1":0,"s2":0,"s3":0},"sortOrder":0,"act":{}}</v>
      </c>
    </row>
    <row r="107" spans="5:70" x14ac:dyDescent="0.25">
      <c r="E107" s="128"/>
      <c r="F107" s="129"/>
      <c r="G107" s="129"/>
      <c r="H107" s="129"/>
      <c r="I107" s="129"/>
      <c r="J107" s="129"/>
      <c r="K107" s="129"/>
      <c r="L107" s="130"/>
      <c r="M107" s="131"/>
      <c r="N107" s="130"/>
      <c r="O107" s="148">
        <f t="shared" ca="1" si="76"/>
        <v>2023</v>
      </c>
      <c r="P107" s="129"/>
      <c r="Q107" s="129"/>
      <c r="R107" s="129"/>
      <c r="S107" s="129"/>
      <c r="T107" s="129"/>
      <c r="U107" s="129"/>
      <c r="V107" s="129"/>
      <c r="W107" s="129"/>
      <c r="X107" s="129"/>
      <c r="Y107" s="132"/>
      <c r="Z107" s="133"/>
      <c r="AA107" s="133"/>
      <c r="AB107" s="134"/>
      <c r="AE107" s="15" t="str">
        <f t="shared" si="42"/>
        <v>A</v>
      </c>
      <c r="AF107" s="8">
        <f t="shared" si="43"/>
        <v>0</v>
      </c>
      <c r="AG107" s="9">
        <f t="shared" si="51"/>
        <v>0</v>
      </c>
      <c r="AH107" s="9" t="str">
        <f t="shared" si="52"/>
        <v/>
      </c>
      <c r="AI107" s="8">
        <f t="shared" si="44"/>
        <v>0</v>
      </c>
      <c r="AJ107" s="45">
        <f t="shared" si="53"/>
        <v>0</v>
      </c>
      <c r="AK107" s="45">
        <f t="shared" si="54"/>
        <v>0</v>
      </c>
      <c r="AL107" s="45">
        <f t="shared" si="55"/>
        <v>0</v>
      </c>
      <c r="AM107" s="8" t="str">
        <f t="shared" si="56"/>
        <v>--</v>
      </c>
      <c r="AN107" s="10">
        <f t="shared" si="57"/>
        <v>0</v>
      </c>
      <c r="AO107" s="10">
        <f t="shared" si="58"/>
        <v>0</v>
      </c>
      <c r="AP107" s="10">
        <f t="shared" si="59"/>
        <v>0</v>
      </c>
      <c r="AQ107" s="10">
        <f t="shared" si="60"/>
        <v>0</v>
      </c>
      <c r="AR107" s="10">
        <f t="shared" si="61"/>
        <v>0</v>
      </c>
      <c r="AS107" s="8">
        <v>23</v>
      </c>
      <c r="AT107" s="9">
        <f t="shared" si="62"/>
        <v>0</v>
      </c>
      <c r="AU107" s="11">
        <f t="shared" si="63"/>
        <v>0</v>
      </c>
      <c r="AV107" s="6"/>
      <c r="AW107" s="6"/>
      <c r="AX107" s="6"/>
      <c r="AZ107" t="str">
        <f t="shared" si="64"/>
        <v>{"group":"A",</v>
      </c>
      <c r="BA107" t="str">
        <f t="shared" si="45"/>
        <v>"lot":0,</v>
      </c>
      <c r="BB107" t="str">
        <f t="shared" si="65"/>
        <v>"name":"0",</v>
      </c>
      <c r="BC107" t="str">
        <f t="shared" si="66"/>
        <v>"team":"",</v>
      </c>
      <c r="BD107" t="str">
        <f t="shared" si="67"/>
        <v>"year":"0",</v>
      </c>
      <c r="BE107" t="str">
        <f t="shared" si="68"/>
        <v>"gender":"0",</v>
      </c>
      <c r="BF107" t="str">
        <f t="shared" si="69"/>
        <v>"gear":"0",</v>
      </c>
      <c r="BG107" t="str">
        <f t="shared" si="70"/>
        <v>"lifts":"0",</v>
      </c>
      <c r="BH107" t="str">
        <f t="shared" si="71"/>
        <v>"division":"--",</v>
      </c>
      <c r="BI107" t="str">
        <f t="shared" si="72"/>
        <v>"wc":"0",</v>
      </c>
      <c r="BJ107" t="str">
        <f t="shared" si="73"/>
        <v>"bw":"",</v>
      </c>
      <c r="BK107" t="str">
        <f t="shared" si="74"/>
        <v>"pb":[0,0,0,0],</v>
      </c>
      <c r="BL107" t="str">
        <f t="shared" si="46"/>
        <v>"idx":"23",</v>
      </c>
      <c r="BM107" t="str">
        <f t="shared" si="47"/>
        <v>"sr":"0",</v>
      </c>
      <c r="BN107" t="str">
        <f t="shared" si="48"/>
        <v>"br":"0",</v>
      </c>
      <c r="BO107" t="str">
        <f t="shared" si="49"/>
        <v>"row":0,</v>
      </c>
      <c r="BP107" t="s">
        <v>55</v>
      </c>
      <c r="BQ107" t="str">
        <f t="shared" si="50"/>
        <v>"sq":{"a1":0,"a2":"","a3":"","s1":0,"s2":0,"s3":0},"bp":{"a1":0,"a2":"","a3":"","s1":0,"s2":0,"s3":0},"dl":{"a1":0,"a2":"","a3":"","s1":0,"s2":0,"s3":0},"sortOrder":0,"act":{}}</v>
      </c>
      <c r="BR107" t="str">
        <f t="shared" si="75"/>
        <v>{"group":"A","lot":0,"name":"0","team":"","year":"0","gender":"0","gear":"0","lifts":"0","division":"--","wc":"0","bw":"","pb":[0,0,0,0],"idx":"23","sr":"0","br":"0","row":0,"sq":{"a1":0,"a2":"","a3":"","s1":0,"s2":0,"s3":0},"bp":{"a1":0,"a2":"","a3":"","s1":0,"s2":0,"s3":0},"dl":{"a1":0,"a2":"","a3":"","s1":0,"s2":0,"s3":0},"sortOrder":0,"act":{}}</v>
      </c>
    </row>
    <row r="108" spans="5:70" x14ac:dyDescent="0.25">
      <c r="E108" s="128"/>
      <c r="F108" s="129"/>
      <c r="G108" s="129"/>
      <c r="H108" s="129"/>
      <c r="I108" s="129"/>
      <c r="J108" s="129"/>
      <c r="K108" s="129"/>
      <c r="L108" s="130"/>
      <c r="M108" s="131"/>
      <c r="N108" s="130"/>
      <c r="O108" s="148">
        <f t="shared" ca="1" si="76"/>
        <v>2023</v>
      </c>
      <c r="P108" s="129"/>
      <c r="Q108" s="129"/>
      <c r="R108" s="129"/>
      <c r="S108" s="129"/>
      <c r="T108" s="129"/>
      <c r="U108" s="129"/>
      <c r="V108" s="129"/>
      <c r="W108" s="129"/>
      <c r="X108" s="129"/>
      <c r="Y108" s="132"/>
      <c r="Z108" s="133"/>
      <c r="AA108" s="133"/>
      <c r="AB108" s="134"/>
      <c r="AE108" s="15" t="str">
        <f t="shared" si="42"/>
        <v>A</v>
      </c>
      <c r="AF108" s="8">
        <f t="shared" si="43"/>
        <v>0</v>
      </c>
      <c r="AG108" s="9">
        <f t="shared" si="51"/>
        <v>0</v>
      </c>
      <c r="AH108" s="9" t="str">
        <f t="shared" si="52"/>
        <v/>
      </c>
      <c r="AI108" s="8">
        <f t="shared" si="44"/>
        <v>0</v>
      </c>
      <c r="AJ108" s="45">
        <f t="shared" si="53"/>
        <v>0</v>
      </c>
      <c r="AK108" s="45">
        <f t="shared" si="54"/>
        <v>0</v>
      </c>
      <c r="AL108" s="45">
        <f t="shared" si="55"/>
        <v>0</v>
      </c>
      <c r="AM108" s="8" t="str">
        <f t="shared" si="56"/>
        <v>--</v>
      </c>
      <c r="AN108" s="10">
        <f t="shared" si="57"/>
        <v>0</v>
      </c>
      <c r="AO108" s="10">
        <f t="shared" si="58"/>
        <v>0</v>
      </c>
      <c r="AP108" s="10">
        <f t="shared" si="59"/>
        <v>0</v>
      </c>
      <c r="AQ108" s="10">
        <f t="shared" si="60"/>
        <v>0</v>
      </c>
      <c r="AR108" s="10">
        <f t="shared" si="61"/>
        <v>0</v>
      </c>
      <c r="AS108" s="8">
        <v>23</v>
      </c>
      <c r="AT108" s="9">
        <f t="shared" si="62"/>
        <v>0</v>
      </c>
      <c r="AU108" s="11">
        <f t="shared" si="63"/>
        <v>0</v>
      </c>
      <c r="AV108" s="6"/>
      <c r="AW108" s="6"/>
      <c r="AX108" s="6"/>
      <c r="AZ108" t="str">
        <f t="shared" si="64"/>
        <v>{"group":"A",</v>
      </c>
      <c r="BA108" t="str">
        <f t="shared" si="45"/>
        <v>"lot":0,</v>
      </c>
      <c r="BB108" t="str">
        <f t="shared" si="65"/>
        <v>"name":"0",</v>
      </c>
      <c r="BC108" t="str">
        <f t="shared" si="66"/>
        <v>"team":"",</v>
      </c>
      <c r="BD108" t="str">
        <f t="shared" si="67"/>
        <v>"year":"0",</v>
      </c>
      <c r="BE108" t="str">
        <f t="shared" si="68"/>
        <v>"gender":"0",</v>
      </c>
      <c r="BF108" t="str">
        <f t="shared" si="69"/>
        <v>"gear":"0",</v>
      </c>
      <c r="BG108" t="str">
        <f t="shared" si="70"/>
        <v>"lifts":"0",</v>
      </c>
      <c r="BH108" t="str">
        <f t="shared" si="71"/>
        <v>"division":"--",</v>
      </c>
      <c r="BI108" t="str">
        <f t="shared" si="72"/>
        <v>"wc":"0",</v>
      </c>
      <c r="BJ108" t="str">
        <f t="shared" si="73"/>
        <v>"bw":"",</v>
      </c>
      <c r="BK108" t="str">
        <f t="shared" si="74"/>
        <v>"pb":[0,0,0,0],</v>
      </c>
      <c r="BL108" t="str">
        <f t="shared" si="46"/>
        <v>"idx":"23",</v>
      </c>
      <c r="BM108" t="str">
        <f t="shared" si="47"/>
        <v>"sr":"0",</v>
      </c>
      <c r="BN108" t="str">
        <f t="shared" si="48"/>
        <v>"br":"0",</v>
      </c>
      <c r="BO108" t="str">
        <f t="shared" si="49"/>
        <v>"row":0,</v>
      </c>
      <c r="BP108" t="s">
        <v>55</v>
      </c>
      <c r="BQ108" t="str">
        <f t="shared" si="50"/>
        <v>"sq":{"a1":0,"a2":"","a3":"","s1":0,"s2":0,"s3":0},"bp":{"a1":0,"a2":"","a3":"","s1":0,"s2":0,"s3":0},"dl":{"a1":0,"a2":"","a3":"","s1":0,"s2":0,"s3":0},"sortOrder":0,"act":{}}</v>
      </c>
      <c r="BR108" t="str">
        <f t="shared" si="75"/>
        <v>{"group":"A","lot":0,"name":"0","team":"","year":"0","gender":"0","gear":"0","lifts":"0","division":"--","wc":"0","bw":"","pb":[0,0,0,0],"idx":"23","sr":"0","br":"0","row":0,"sq":{"a1":0,"a2":"","a3":"","s1":0,"s2":0,"s3":0},"bp":{"a1":0,"a2":"","a3":"","s1":0,"s2":0,"s3":0},"dl":{"a1":0,"a2":"","a3":"","s1":0,"s2":0,"s3":0},"sortOrder":0,"act":{}}</v>
      </c>
    </row>
    <row r="109" spans="5:70" x14ac:dyDescent="0.25">
      <c r="E109" s="128"/>
      <c r="F109" s="129"/>
      <c r="G109" s="129"/>
      <c r="H109" s="129"/>
      <c r="I109" s="129"/>
      <c r="J109" s="129"/>
      <c r="K109" s="129"/>
      <c r="L109" s="130"/>
      <c r="M109" s="131"/>
      <c r="N109" s="130"/>
      <c r="O109" s="148">
        <f t="shared" ca="1" si="76"/>
        <v>2023</v>
      </c>
      <c r="P109" s="129"/>
      <c r="Q109" s="129"/>
      <c r="R109" s="129"/>
      <c r="S109" s="129"/>
      <c r="T109" s="129"/>
      <c r="U109" s="129"/>
      <c r="V109" s="129"/>
      <c r="W109" s="129"/>
      <c r="X109" s="129"/>
      <c r="Y109" s="132"/>
      <c r="Z109" s="133"/>
      <c r="AA109" s="133"/>
      <c r="AB109" s="134"/>
      <c r="AE109" s="15" t="str">
        <f t="shared" si="42"/>
        <v>A</v>
      </c>
      <c r="AF109" s="8">
        <f t="shared" si="43"/>
        <v>0</v>
      </c>
      <c r="AG109" s="9">
        <f t="shared" si="51"/>
        <v>0</v>
      </c>
      <c r="AH109" s="9" t="str">
        <f t="shared" si="52"/>
        <v/>
      </c>
      <c r="AI109" s="8">
        <f t="shared" si="44"/>
        <v>0</v>
      </c>
      <c r="AJ109" s="45">
        <f t="shared" si="53"/>
        <v>0</v>
      </c>
      <c r="AK109" s="45">
        <f t="shared" si="54"/>
        <v>0</v>
      </c>
      <c r="AL109" s="45">
        <f t="shared" si="55"/>
        <v>0</v>
      </c>
      <c r="AM109" s="8" t="str">
        <f t="shared" si="56"/>
        <v>--</v>
      </c>
      <c r="AN109" s="10">
        <f t="shared" si="57"/>
        <v>0</v>
      </c>
      <c r="AO109" s="10">
        <f t="shared" si="58"/>
        <v>0</v>
      </c>
      <c r="AP109" s="10">
        <f t="shared" si="59"/>
        <v>0</v>
      </c>
      <c r="AQ109" s="10">
        <f t="shared" si="60"/>
        <v>0</v>
      </c>
      <c r="AR109" s="10">
        <f t="shared" si="61"/>
        <v>0</v>
      </c>
      <c r="AS109" s="8">
        <v>23</v>
      </c>
      <c r="AT109" s="9">
        <f t="shared" si="62"/>
        <v>0</v>
      </c>
      <c r="AU109" s="11">
        <f t="shared" si="63"/>
        <v>0</v>
      </c>
      <c r="AV109" s="6"/>
      <c r="AW109" s="6"/>
      <c r="AX109" s="6"/>
      <c r="AZ109" t="str">
        <f t="shared" si="64"/>
        <v>{"group":"A",</v>
      </c>
      <c r="BA109" t="str">
        <f t="shared" si="45"/>
        <v>"lot":0,</v>
      </c>
      <c r="BB109" t="str">
        <f t="shared" si="65"/>
        <v>"name":"0",</v>
      </c>
      <c r="BC109" t="str">
        <f t="shared" si="66"/>
        <v>"team":"",</v>
      </c>
      <c r="BD109" t="str">
        <f t="shared" si="67"/>
        <v>"year":"0",</v>
      </c>
      <c r="BE109" t="str">
        <f t="shared" si="68"/>
        <v>"gender":"0",</v>
      </c>
      <c r="BF109" t="str">
        <f t="shared" si="69"/>
        <v>"gear":"0",</v>
      </c>
      <c r="BG109" t="str">
        <f t="shared" si="70"/>
        <v>"lifts":"0",</v>
      </c>
      <c r="BH109" t="str">
        <f t="shared" si="71"/>
        <v>"division":"--",</v>
      </c>
      <c r="BI109" t="str">
        <f t="shared" si="72"/>
        <v>"wc":"0",</v>
      </c>
      <c r="BJ109" t="str">
        <f t="shared" si="73"/>
        <v>"bw":"",</v>
      </c>
      <c r="BK109" t="str">
        <f t="shared" si="74"/>
        <v>"pb":[0,0,0,0],</v>
      </c>
      <c r="BL109" t="str">
        <f t="shared" si="46"/>
        <v>"idx":"23",</v>
      </c>
      <c r="BM109" t="str">
        <f t="shared" si="47"/>
        <v>"sr":"0",</v>
      </c>
      <c r="BN109" t="str">
        <f t="shared" si="48"/>
        <v>"br":"0",</v>
      </c>
      <c r="BO109" t="str">
        <f t="shared" si="49"/>
        <v>"row":0,</v>
      </c>
      <c r="BP109" t="s">
        <v>55</v>
      </c>
      <c r="BQ109" t="str">
        <f t="shared" si="50"/>
        <v>"sq":{"a1":0,"a2":"","a3":"","s1":0,"s2":0,"s3":0},"bp":{"a1":0,"a2":"","a3":"","s1":0,"s2":0,"s3":0},"dl":{"a1":0,"a2":"","a3":"","s1":0,"s2":0,"s3":0},"sortOrder":0,"act":{}}</v>
      </c>
      <c r="BR109" t="str">
        <f t="shared" si="75"/>
        <v>{"group":"A","lot":0,"name":"0","team":"","year":"0","gender":"0","gear":"0","lifts":"0","division":"--","wc":"0","bw":"","pb":[0,0,0,0],"idx":"23","sr":"0","br":"0","row":0,"sq":{"a1":0,"a2":"","a3":"","s1":0,"s2":0,"s3":0},"bp":{"a1":0,"a2":"","a3":"","s1":0,"s2":0,"s3":0},"dl":{"a1":0,"a2":"","a3":"","s1":0,"s2":0,"s3":0},"sortOrder":0,"act":{}}</v>
      </c>
    </row>
    <row r="110" spans="5:70" x14ac:dyDescent="0.25">
      <c r="E110" s="128"/>
      <c r="F110" s="129"/>
      <c r="G110" s="129"/>
      <c r="H110" s="129"/>
      <c r="I110" s="129"/>
      <c r="J110" s="129"/>
      <c r="K110" s="129"/>
      <c r="L110" s="130"/>
      <c r="M110" s="131"/>
      <c r="N110" s="130"/>
      <c r="O110" s="148">
        <f t="shared" ca="1" si="76"/>
        <v>2023</v>
      </c>
      <c r="P110" s="129"/>
      <c r="Q110" s="129"/>
      <c r="R110" s="129"/>
      <c r="S110" s="129"/>
      <c r="T110" s="129"/>
      <c r="U110" s="129"/>
      <c r="V110" s="129"/>
      <c r="W110" s="129"/>
      <c r="X110" s="129"/>
      <c r="Y110" s="132"/>
      <c r="Z110" s="133"/>
      <c r="AA110" s="133"/>
      <c r="AB110" s="134"/>
      <c r="AE110" s="15" t="str">
        <f t="shared" si="42"/>
        <v>A</v>
      </c>
      <c r="AF110" s="8">
        <f t="shared" si="43"/>
        <v>0</v>
      </c>
      <c r="AG110" s="9">
        <f t="shared" si="51"/>
        <v>0</v>
      </c>
      <c r="AH110" s="9" t="str">
        <f t="shared" si="52"/>
        <v/>
      </c>
      <c r="AI110" s="8">
        <f t="shared" si="44"/>
        <v>0</v>
      </c>
      <c r="AJ110" s="45">
        <f t="shared" si="53"/>
        <v>0</v>
      </c>
      <c r="AK110" s="45">
        <f t="shared" si="54"/>
        <v>0</v>
      </c>
      <c r="AL110" s="45">
        <f t="shared" si="55"/>
        <v>0</v>
      </c>
      <c r="AM110" s="8" t="str">
        <f t="shared" si="56"/>
        <v>--</v>
      </c>
      <c r="AN110" s="10">
        <f t="shared" si="57"/>
        <v>0</v>
      </c>
      <c r="AO110" s="10">
        <f t="shared" si="58"/>
        <v>0</v>
      </c>
      <c r="AP110" s="10">
        <f t="shared" si="59"/>
        <v>0</v>
      </c>
      <c r="AQ110" s="10">
        <f t="shared" si="60"/>
        <v>0</v>
      </c>
      <c r="AR110" s="10">
        <f t="shared" si="61"/>
        <v>0</v>
      </c>
      <c r="AS110" s="8">
        <v>23</v>
      </c>
      <c r="AT110" s="9">
        <f t="shared" si="62"/>
        <v>0</v>
      </c>
      <c r="AU110" s="11">
        <f t="shared" si="63"/>
        <v>0</v>
      </c>
      <c r="AV110" s="6"/>
      <c r="AW110" s="6"/>
      <c r="AX110" s="6"/>
      <c r="AZ110" t="str">
        <f t="shared" si="64"/>
        <v>{"group":"A",</v>
      </c>
      <c r="BA110" t="str">
        <f t="shared" si="45"/>
        <v>"lot":0,</v>
      </c>
      <c r="BB110" t="str">
        <f t="shared" si="65"/>
        <v>"name":"0",</v>
      </c>
      <c r="BC110" t="str">
        <f t="shared" si="66"/>
        <v>"team":"",</v>
      </c>
      <c r="BD110" t="str">
        <f t="shared" si="67"/>
        <v>"year":"0",</v>
      </c>
      <c r="BE110" t="str">
        <f t="shared" si="68"/>
        <v>"gender":"0",</v>
      </c>
      <c r="BF110" t="str">
        <f t="shared" si="69"/>
        <v>"gear":"0",</v>
      </c>
      <c r="BG110" t="str">
        <f t="shared" si="70"/>
        <v>"lifts":"0",</v>
      </c>
      <c r="BH110" t="str">
        <f t="shared" si="71"/>
        <v>"division":"--",</v>
      </c>
      <c r="BI110" t="str">
        <f t="shared" si="72"/>
        <v>"wc":"0",</v>
      </c>
      <c r="BJ110" t="str">
        <f t="shared" si="73"/>
        <v>"bw":"",</v>
      </c>
      <c r="BK110" t="str">
        <f t="shared" si="74"/>
        <v>"pb":[0,0,0,0],</v>
      </c>
      <c r="BL110" t="str">
        <f t="shared" si="46"/>
        <v>"idx":"23",</v>
      </c>
      <c r="BM110" t="str">
        <f t="shared" si="47"/>
        <v>"sr":"0",</v>
      </c>
      <c r="BN110" t="str">
        <f t="shared" si="48"/>
        <v>"br":"0",</v>
      </c>
      <c r="BO110" t="str">
        <f t="shared" si="49"/>
        <v>"row":0,</v>
      </c>
      <c r="BP110" t="s">
        <v>55</v>
      </c>
      <c r="BQ110" t="str">
        <f t="shared" si="50"/>
        <v>"sq":{"a1":0,"a2":"","a3":"","s1":0,"s2":0,"s3":0},"bp":{"a1":0,"a2":"","a3":"","s1":0,"s2":0,"s3":0},"dl":{"a1":0,"a2":"","a3":"","s1":0,"s2":0,"s3":0},"sortOrder":0,"act":{}}</v>
      </c>
      <c r="BR110" t="str">
        <f t="shared" si="75"/>
        <v>{"group":"A","lot":0,"name":"0","team":"","year":"0","gender":"0","gear":"0","lifts":"0","division":"--","wc":"0","bw":"","pb":[0,0,0,0],"idx":"23","sr":"0","br":"0","row":0,"sq":{"a1":0,"a2":"","a3":"","s1":0,"s2":0,"s3":0},"bp":{"a1":0,"a2":"","a3":"","s1":0,"s2":0,"s3":0},"dl":{"a1":0,"a2":"","a3":"","s1":0,"s2":0,"s3":0},"sortOrder":0,"act":{}}</v>
      </c>
    </row>
    <row r="111" spans="5:70" x14ac:dyDescent="0.25">
      <c r="E111" s="128"/>
      <c r="F111" s="129"/>
      <c r="G111" s="129"/>
      <c r="H111" s="129"/>
      <c r="I111" s="129"/>
      <c r="J111" s="129"/>
      <c r="K111" s="129"/>
      <c r="L111" s="130"/>
      <c r="M111" s="131"/>
      <c r="N111" s="130"/>
      <c r="O111" s="148">
        <f t="shared" ca="1" si="76"/>
        <v>2023</v>
      </c>
      <c r="P111" s="129"/>
      <c r="Q111" s="129"/>
      <c r="R111" s="129"/>
      <c r="S111" s="129"/>
      <c r="T111" s="129"/>
      <c r="U111" s="129"/>
      <c r="V111" s="129"/>
      <c r="W111" s="129"/>
      <c r="X111" s="129"/>
      <c r="Y111" s="132"/>
      <c r="Z111" s="133"/>
      <c r="AA111" s="133"/>
      <c r="AB111" s="134"/>
      <c r="AE111" s="15" t="str">
        <f t="shared" si="42"/>
        <v>A</v>
      </c>
      <c r="AF111" s="8">
        <f t="shared" si="43"/>
        <v>0</v>
      </c>
      <c r="AG111" s="9">
        <f t="shared" si="51"/>
        <v>0</v>
      </c>
      <c r="AH111" s="9" t="str">
        <f t="shared" si="52"/>
        <v/>
      </c>
      <c r="AI111" s="8">
        <f t="shared" si="44"/>
        <v>0</v>
      </c>
      <c r="AJ111" s="45">
        <f t="shared" si="53"/>
        <v>0</v>
      </c>
      <c r="AK111" s="45">
        <f t="shared" si="54"/>
        <v>0</v>
      </c>
      <c r="AL111" s="45">
        <f t="shared" si="55"/>
        <v>0</v>
      </c>
      <c r="AM111" s="8" t="str">
        <f t="shared" si="56"/>
        <v>--</v>
      </c>
      <c r="AN111" s="10">
        <f t="shared" si="57"/>
        <v>0</v>
      </c>
      <c r="AO111" s="10">
        <f t="shared" si="58"/>
        <v>0</v>
      </c>
      <c r="AP111" s="10">
        <f t="shared" si="59"/>
        <v>0</v>
      </c>
      <c r="AQ111" s="10">
        <f t="shared" si="60"/>
        <v>0</v>
      </c>
      <c r="AR111" s="10">
        <f t="shared" si="61"/>
        <v>0</v>
      </c>
      <c r="AS111" s="8">
        <v>23</v>
      </c>
      <c r="AT111" s="9">
        <f t="shared" si="62"/>
        <v>0</v>
      </c>
      <c r="AU111" s="11">
        <f t="shared" si="63"/>
        <v>0</v>
      </c>
      <c r="AV111" s="6"/>
      <c r="AW111" s="6"/>
      <c r="AX111" s="6"/>
      <c r="AZ111" t="str">
        <f t="shared" si="64"/>
        <v>{"group":"A",</v>
      </c>
      <c r="BA111" t="str">
        <f t="shared" si="45"/>
        <v>"lot":0,</v>
      </c>
      <c r="BB111" t="str">
        <f t="shared" si="65"/>
        <v>"name":"0",</v>
      </c>
      <c r="BC111" t="str">
        <f t="shared" si="66"/>
        <v>"team":"",</v>
      </c>
      <c r="BD111" t="str">
        <f t="shared" si="67"/>
        <v>"year":"0",</v>
      </c>
      <c r="BE111" t="str">
        <f t="shared" si="68"/>
        <v>"gender":"0",</v>
      </c>
      <c r="BF111" t="str">
        <f t="shared" si="69"/>
        <v>"gear":"0",</v>
      </c>
      <c r="BG111" t="str">
        <f t="shared" si="70"/>
        <v>"lifts":"0",</v>
      </c>
      <c r="BH111" t="str">
        <f t="shared" si="71"/>
        <v>"division":"--",</v>
      </c>
      <c r="BI111" t="str">
        <f t="shared" si="72"/>
        <v>"wc":"0",</v>
      </c>
      <c r="BJ111" t="str">
        <f t="shared" si="73"/>
        <v>"bw":"",</v>
      </c>
      <c r="BK111" t="str">
        <f t="shared" si="74"/>
        <v>"pb":[0,0,0,0],</v>
      </c>
      <c r="BL111" t="str">
        <f t="shared" si="46"/>
        <v>"idx":"23",</v>
      </c>
      <c r="BM111" t="str">
        <f t="shared" si="47"/>
        <v>"sr":"0",</v>
      </c>
      <c r="BN111" t="str">
        <f t="shared" si="48"/>
        <v>"br":"0",</v>
      </c>
      <c r="BO111" t="str">
        <f t="shared" si="49"/>
        <v>"row":0,</v>
      </c>
      <c r="BP111" t="s">
        <v>55</v>
      </c>
      <c r="BQ111" t="str">
        <f t="shared" si="50"/>
        <v>"sq":{"a1":0,"a2":"","a3":"","s1":0,"s2":0,"s3":0},"bp":{"a1":0,"a2":"","a3":"","s1":0,"s2":0,"s3":0},"dl":{"a1":0,"a2":"","a3":"","s1":0,"s2":0,"s3":0},"sortOrder":0,"act":{}}</v>
      </c>
      <c r="BR111" t="str">
        <f t="shared" si="75"/>
        <v>{"group":"A","lot":0,"name":"0","team":"","year":"0","gender":"0","gear":"0","lifts":"0","division":"--","wc":"0","bw":"","pb":[0,0,0,0],"idx":"23","sr":"0","br":"0","row":0,"sq":{"a1":0,"a2":"","a3":"","s1":0,"s2":0,"s3":0},"bp":{"a1":0,"a2":"","a3":"","s1":0,"s2":0,"s3":0},"dl":{"a1":0,"a2":"","a3":"","s1":0,"s2":0,"s3":0},"sortOrder":0,"act":{}}</v>
      </c>
    </row>
    <row r="112" spans="5:70" x14ac:dyDescent="0.25">
      <c r="E112" s="128"/>
      <c r="F112" s="129"/>
      <c r="G112" s="129"/>
      <c r="H112" s="129"/>
      <c r="I112" s="129"/>
      <c r="J112" s="129"/>
      <c r="K112" s="129"/>
      <c r="L112" s="130"/>
      <c r="M112" s="131"/>
      <c r="N112" s="130"/>
      <c r="O112" s="148">
        <f t="shared" ca="1" si="76"/>
        <v>2023</v>
      </c>
      <c r="P112" s="129"/>
      <c r="Q112" s="129"/>
      <c r="R112" s="129"/>
      <c r="S112" s="129"/>
      <c r="T112" s="129"/>
      <c r="U112" s="129"/>
      <c r="V112" s="129"/>
      <c r="W112" s="129"/>
      <c r="X112" s="129"/>
      <c r="Y112" s="132"/>
      <c r="Z112" s="133"/>
      <c r="AA112" s="133"/>
      <c r="AB112" s="134"/>
      <c r="AE112" s="15" t="str">
        <f t="shared" si="42"/>
        <v>A</v>
      </c>
      <c r="AF112" s="8">
        <f t="shared" si="43"/>
        <v>0</v>
      </c>
      <c r="AG112" s="9">
        <f t="shared" si="51"/>
        <v>0</v>
      </c>
      <c r="AH112" s="9" t="str">
        <f t="shared" si="52"/>
        <v/>
      </c>
      <c r="AI112" s="8">
        <f t="shared" si="44"/>
        <v>0</v>
      </c>
      <c r="AJ112" s="45">
        <f t="shared" si="53"/>
        <v>0</v>
      </c>
      <c r="AK112" s="45">
        <f t="shared" si="54"/>
        <v>0</v>
      </c>
      <c r="AL112" s="45">
        <f t="shared" si="55"/>
        <v>0</v>
      </c>
      <c r="AM112" s="8" t="str">
        <f t="shared" si="56"/>
        <v>--</v>
      </c>
      <c r="AN112" s="10">
        <f t="shared" si="57"/>
        <v>0</v>
      </c>
      <c r="AO112" s="10">
        <f t="shared" si="58"/>
        <v>0</v>
      </c>
      <c r="AP112" s="10">
        <f t="shared" si="59"/>
        <v>0</v>
      </c>
      <c r="AQ112" s="10">
        <f t="shared" si="60"/>
        <v>0</v>
      </c>
      <c r="AR112" s="10">
        <f t="shared" si="61"/>
        <v>0</v>
      </c>
      <c r="AS112" s="8">
        <v>23</v>
      </c>
      <c r="AT112" s="9">
        <f t="shared" si="62"/>
        <v>0</v>
      </c>
      <c r="AU112" s="11">
        <f t="shared" si="63"/>
        <v>0</v>
      </c>
      <c r="AV112" s="6"/>
      <c r="AW112" s="6"/>
      <c r="AX112" s="6"/>
      <c r="AZ112" t="str">
        <f t="shared" si="64"/>
        <v>{"group":"A",</v>
      </c>
      <c r="BA112" t="str">
        <f t="shared" si="45"/>
        <v>"lot":0,</v>
      </c>
      <c r="BB112" t="str">
        <f t="shared" si="65"/>
        <v>"name":"0",</v>
      </c>
      <c r="BC112" t="str">
        <f t="shared" si="66"/>
        <v>"team":"",</v>
      </c>
      <c r="BD112" t="str">
        <f t="shared" si="67"/>
        <v>"year":"0",</v>
      </c>
      <c r="BE112" t="str">
        <f t="shared" si="68"/>
        <v>"gender":"0",</v>
      </c>
      <c r="BF112" t="str">
        <f t="shared" si="69"/>
        <v>"gear":"0",</v>
      </c>
      <c r="BG112" t="str">
        <f t="shared" si="70"/>
        <v>"lifts":"0",</v>
      </c>
      <c r="BH112" t="str">
        <f t="shared" si="71"/>
        <v>"division":"--",</v>
      </c>
      <c r="BI112" t="str">
        <f t="shared" si="72"/>
        <v>"wc":"0",</v>
      </c>
      <c r="BJ112" t="str">
        <f t="shared" si="73"/>
        <v>"bw":"",</v>
      </c>
      <c r="BK112" t="str">
        <f t="shared" si="74"/>
        <v>"pb":[0,0,0,0],</v>
      </c>
      <c r="BL112" t="str">
        <f t="shared" si="46"/>
        <v>"idx":"23",</v>
      </c>
      <c r="BM112" t="str">
        <f t="shared" si="47"/>
        <v>"sr":"0",</v>
      </c>
      <c r="BN112" t="str">
        <f t="shared" si="48"/>
        <v>"br":"0",</v>
      </c>
      <c r="BO112" t="str">
        <f t="shared" si="49"/>
        <v>"row":0,</v>
      </c>
      <c r="BP112" t="s">
        <v>55</v>
      </c>
      <c r="BQ112" t="str">
        <f t="shared" si="50"/>
        <v>"sq":{"a1":0,"a2":"","a3":"","s1":0,"s2":0,"s3":0},"bp":{"a1":0,"a2":"","a3":"","s1":0,"s2":0,"s3":0},"dl":{"a1":0,"a2":"","a3":"","s1":0,"s2":0,"s3":0},"sortOrder":0,"act":{}}</v>
      </c>
      <c r="BR112" t="str">
        <f t="shared" si="75"/>
        <v>{"group":"A","lot":0,"name":"0","team":"","year":"0","gender":"0","gear":"0","lifts":"0","division":"--","wc":"0","bw":"","pb":[0,0,0,0],"idx":"23","sr":"0","br":"0","row":0,"sq":{"a1":0,"a2":"","a3":"","s1":0,"s2":0,"s3":0},"bp":{"a1":0,"a2":"","a3":"","s1":0,"s2":0,"s3":0},"dl":{"a1":0,"a2":"","a3":"","s1":0,"s2":0,"s3":0},"sortOrder":0,"act":{}}</v>
      </c>
    </row>
    <row r="113" spans="5:70" x14ac:dyDescent="0.25">
      <c r="E113" s="128"/>
      <c r="F113" s="129"/>
      <c r="G113" s="129"/>
      <c r="H113" s="129"/>
      <c r="I113" s="129"/>
      <c r="J113" s="129"/>
      <c r="K113" s="129"/>
      <c r="L113" s="130"/>
      <c r="M113" s="131"/>
      <c r="N113" s="130"/>
      <c r="O113" s="148">
        <f t="shared" ca="1" si="76"/>
        <v>2023</v>
      </c>
      <c r="P113" s="129"/>
      <c r="Q113" s="129"/>
      <c r="R113" s="129"/>
      <c r="S113" s="129"/>
      <c r="T113" s="129"/>
      <c r="U113" s="129"/>
      <c r="V113" s="129"/>
      <c r="W113" s="129"/>
      <c r="X113" s="129"/>
      <c r="Y113" s="132"/>
      <c r="Z113" s="133"/>
      <c r="AA113" s="133"/>
      <c r="AB113" s="134"/>
      <c r="AE113" s="15" t="str">
        <f t="shared" si="42"/>
        <v>A</v>
      </c>
      <c r="AF113" s="8">
        <f t="shared" si="43"/>
        <v>0</v>
      </c>
      <c r="AG113" s="9">
        <f t="shared" si="51"/>
        <v>0</v>
      </c>
      <c r="AH113" s="9" t="str">
        <f t="shared" si="52"/>
        <v/>
      </c>
      <c r="AI113" s="8">
        <f t="shared" si="44"/>
        <v>0</v>
      </c>
      <c r="AJ113" s="45">
        <f t="shared" si="53"/>
        <v>0</v>
      </c>
      <c r="AK113" s="45">
        <f t="shared" si="54"/>
        <v>0</v>
      </c>
      <c r="AL113" s="45">
        <f t="shared" si="55"/>
        <v>0</v>
      </c>
      <c r="AM113" s="8" t="str">
        <f t="shared" si="56"/>
        <v>--</v>
      </c>
      <c r="AN113" s="10">
        <f t="shared" si="57"/>
        <v>0</v>
      </c>
      <c r="AO113" s="10">
        <f t="shared" si="58"/>
        <v>0</v>
      </c>
      <c r="AP113" s="10">
        <f t="shared" si="59"/>
        <v>0</v>
      </c>
      <c r="AQ113" s="10">
        <f t="shared" si="60"/>
        <v>0</v>
      </c>
      <c r="AR113" s="10">
        <f t="shared" si="61"/>
        <v>0</v>
      </c>
      <c r="AS113" s="8">
        <v>23</v>
      </c>
      <c r="AT113" s="9">
        <f t="shared" si="62"/>
        <v>0</v>
      </c>
      <c r="AU113" s="11">
        <f t="shared" si="63"/>
        <v>0</v>
      </c>
      <c r="AV113" s="6"/>
      <c r="AW113" s="6"/>
      <c r="AX113" s="6"/>
      <c r="AZ113" t="str">
        <f t="shared" si="64"/>
        <v>{"group":"A",</v>
      </c>
      <c r="BA113" t="str">
        <f t="shared" si="45"/>
        <v>"lot":0,</v>
      </c>
      <c r="BB113" t="str">
        <f t="shared" si="65"/>
        <v>"name":"0",</v>
      </c>
      <c r="BC113" t="str">
        <f t="shared" si="66"/>
        <v>"team":"",</v>
      </c>
      <c r="BD113" t="str">
        <f t="shared" si="67"/>
        <v>"year":"0",</v>
      </c>
      <c r="BE113" t="str">
        <f t="shared" si="68"/>
        <v>"gender":"0",</v>
      </c>
      <c r="BF113" t="str">
        <f t="shared" si="69"/>
        <v>"gear":"0",</v>
      </c>
      <c r="BG113" t="str">
        <f t="shared" si="70"/>
        <v>"lifts":"0",</v>
      </c>
      <c r="BH113" t="str">
        <f t="shared" si="71"/>
        <v>"division":"--",</v>
      </c>
      <c r="BI113" t="str">
        <f t="shared" si="72"/>
        <v>"wc":"0",</v>
      </c>
      <c r="BJ113" t="str">
        <f t="shared" si="73"/>
        <v>"bw":"",</v>
      </c>
      <c r="BK113" t="str">
        <f t="shared" si="74"/>
        <v>"pb":[0,0,0,0],</v>
      </c>
      <c r="BL113" t="str">
        <f t="shared" si="46"/>
        <v>"idx":"23",</v>
      </c>
      <c r="BM113" t="str">
        <f t="shared" si="47"/>
        <v>"sr":"0",</v>
      </c>
      <c r="BN113" t="str">
        <f t="shared" si="48"/>
        <v>"br":"0",</v>
      </c>
      <c r="BO113" t="str">
        <f t="shared" si="49"/>
        <v>"row":0,</v>
      </c>
      <c r="BP113" t="s">
        <v>55</v>
      </c>
      <c r="BQ113" t="str">
        <f t="shared" si="50"/>
        <v>"sq":{"a1":0,"a2":"","a3":"","s1":0,"s2":0,"s3":0},"bp":{"a1":0,"a2":"","a3":"","s1":0,"s2":0,"s3":0},"dl":{"a1":0,"a2":"","a3":"","s1":0,"s2":0,"s3":0},"sortOrder":0,"act":{}}</v>
      </c>
      <c r="BR113" t="str">
        <f t="shared" si="75"/>
        <v>{"group":"A","lot":0,"name":"0","team":"","year":"0","gender":"0","gear":"0","lifts":"0","division":"--","wc":"0","bw":"","pb":[0,0,0,0],"idx":"23","sr":"0","br":"0","row":0,"sq":{"a1":0,"a2":"","a3":"","s1":0,"s2":0,"s3":0},"bp":{"a1":0,"a2":"","a3":"","s1":0,"s2":0,"s3":0},"dl":{"a1":0,"a2":"","a3":"","s1":0,"s2":0,"s3":0},"sortOrder":0,"act":{}}</v>
      </c>
    </row>
    <row r="114" spans="5:70" x14ac:dyDescent="0.25">
      <c r="E114" s="128"/>
      <c r="F114" s="129"/>
      <c r="G114" s="129"/>
      <c r="H114" s="129"/>
      <c r="I114" s="129"/>
      <c r="J114" s="129"/>
      <c r="K114" s="129"/>
      <c r="L114" s="130"/>
      <c r="M114" s="131"/>
      <c r="N114" s="130"/>
      <c r="O114" s="148">
        <f t="shared" ca="1" si="76"/>
        <v>2023</v>
      </c>
      <c r="P114" s="129"/>
      <c r="Q114" s="129"/>
      <c r="R114" s="129"/>
      <c r="S114" s="129"/>
      <c r="T114" s="129"/>
      <c r="U114" s="129"/>
      <c r="V114" s="129"/>
      <c r="W114" s="129"/>
      <c r="X114" s="129"/>
      <c r="Y114" s="132"/>
      <c r="Z114" s="133"/>
      <c r="AA114" s="133"/>
      <c r="AB114" s="134"/>
      <c r="AE114" s="15" t="str">
        <f t="shared" si="42"/>
        <v>A</v>
      </c>
      <c r="AF114" s="8">
        <f t="shared" si="43"/>
        <v>0</v>
      </c>
      <c r="AG114" s="9">
        <f t="shared" si="51"/>
        <v>0</v>
      </c>
      <c r="AH114" s="9" t="str">
        <f t="shared" si="52"/>
        <v/>
      </c>
      <c r="AI114" s="8">
        <f t="shared" si="44"/>
        <v>0</v>
      </c>
      <c r="AJ114" s="45">
        <f t="shared" si="53"/>
        <v>0</v>
      </c>
      <c r="AK114" s="45">
        <f t="shared" si="54"/>
        <v>0</v>
      </c>
      <c r="AL114" s="45">
        <f t="shared" si="55"/>
        <v>0</v>
      </c>
      <c r="AM114" s="8" t="str">
        <f t="shared" si="56"/>
        <v>--</v>
      </c>
      <c r="AN114" s="10">
        <f t="shared" si="57"/>
        <v>0</v>
      </c>
      <c r="AO114" s="10">
        <f t="shared" si="58"/>
        <v>0</v>
      </c>
      <c r="AP114" s="10">
        <f t="shared" si="59"/>
        <v>0</v>
      </c>
      <c r="AQ114" s="10">
        <f t="shared" si="60"/>
        <v>0</v>
      </c>
      <c r="AR114" s="10">
        <f t="shared" si="61"/>
        <v>0</v>
      </c>
      <c r="AS114" s="8">
        <v>23</v>
      </c>
      <c r="AT114" s="9">
        <f t="shared" si="62"/>
        <v>0</v>
      </c>
      <c r="AU114" s="11">
        <f t="shared" si="63"/>
        <v>0</v>
      </c>
      <c r="AV114" s="6"/>
      <c r="AW114" s="6"/>
      <c r="AX114" s="6"/>
      <c r="AZ114" t="str">
        <f t="shared" si="64"/>
        <v>{"group":"A",</v>
      </c>
      <c r="BA114" t="str">
        <f t="shared" si="45"/>
        <v>"lot":0,</v>
      </c>
      <c r="BB114" t="str">
        <f t="shared" si="65"/>
        <v>"name":"0",</v>
      </c>
      <c r="BC114" t="str">
        <f t="shared" si="66"/>
        <v>"team":"",</v>
      </c>
      <c r="BD114" t="str">
        <f t="shared" si="67"/>
        <v>"year":"0",</v>
      </c>
      <c r="BE114" t="str">
        <f t="shared" si="68"/>
        <v>"gender":"0",</v>
      </c>
      <c r="BF114" t="str">
        <f t="shared" si="69"/>
        <v>"gear":"0",</v>
      </c>
      <c r="BG114" t="str">
        <f t="shared" si="70"/>
        <v>"lifts":"0",</v>
      </c>
      <c r="BH114" t="str">
        <f t="shared" si="71"/>
        <v>"division":"--",</v>
      </c>
      <c r="BI114" t="str">
        <f t="shared" si="72"/>
        <v>"wc":"0",</v>
      </c>
      <c r="BJ114" t="str">
        <f t="shared" si="73"/>
        <v>"bw":"",</v>
      </c>
      <c r="BK114" t="str">
        <f t="shared" si="74"/>
        <v>"pb":[0,0,0,0],</v>
      </c>
      <c r="BL114" t="str">
        <f t="shared" si="46"/>
        <v>"idx":"23",</v>
      </c>
      <c r="BM114" t="str">
        <f t="shared" si="47"/>
        <v>"sr":"0",</v>
      </c>
      <c r="BN114" t="str">
        <f t="shared" si="48"/>
        <v>"br":"0",</v>
      </c>
      <c r="BO114" t="str">
        <f t="shared" si="49"/>
        <v>"row":0,</v>
      </c>
      <c r="BP114" t="s">
        <v>55</v>
      </c>
      <c r="BQ114" t="str">
        <f t="shared" si="50"/>
        <v>"sq":{"a1":0,"a2":"","a3":"","s1":0,"s2":0,"s3":0},"bp":{"a1":0,"a2":"","a3":"","s1":0,"s2":0,"s3":0},"dl":{"a1":0,"a2":"","a3":"","s1":0,"s2":0,"s3":0},"sortOrder":0,"act":{}}</v>
      </c>
      <c r="BR114" t="str">
        <f t="shared" si="75"/>
        <v>{"group":"A","lot":0,"name":"0","team":"","year":"0","gender":"0","gear":"0","lifts":"0","division":"--","wc":"0","bw":"","pb":[0,0,0,0],"idx":"23","sr":"0","br":"0","row":0,"sq":{"a1":0,"a2":"","a3":"","s1":0,"s2":0,"s3":0},"bp":{"a1":0,"a2":"","a3":"","s1":0,"s2":0,"s3":0},"dl":{"a1":0,"a2":"","a3":"","s1":0,"s2":0,"s3":0},"sortOrder":0,"act":{}}</v>
      </c>
    </row>
    <row r="115" spans="5:70" x14ac:dyDescent="0.25">
      <c r="E115" s="128"/>
      <c r="F115" s="129"/>
      <c r="G115" s="129"/>
      <c r="H115" s="129"/>
      <c r="I115" s="129"/>
      <c r="J115" s="129"/>
      <c r="K115" s="129"/>
      <c r="L115" s="130"/>
      <c r="M115" s="131"/>
      <c r="N115" s="130"/>
      <c r="O115" s="148">
        <f t="shared" ca="1" si="76"/>
        <v>2023</v>
      </c>
      <c r="P115" s="129"/>
      <c r="Q115" s="129"/>
      <c r="R115" s="129"/>
      <c r="S115" s="129"/>
      <c r="T115" s="129"/>
      <c r="U115" s="129"/>
      <c r="V115" s="129"/>
      <c r="W115" s="129"/>
      <c r="X115" s="129"/>
      <c r="Y115" s="132"/>
      <c r="Z115" s="133"/>
      <c r="AA115" s="133"/>
      <c r="AB115" s="134"/>
      <c r="AE115" s="15" t="str">
        <f t="shared" si="42"/>
        <v>A</v>
      </c>
      <c r="AF115" s="8">
        <f t="shared" si="43"/>
        <v>0</v>
      </c>
      <c r="AG115" s="9">
        <f t="shared" si="51"/>
        <v>0</v>
      </c>
      <c r="AH115" s="9" t="str">
        <f t="shared" si="52"/>
        <v/>
      </c>
      <c r="AI115" s="8">
        <f t="shared" si="44"/>
        <v>0</v>
      </c>
      <c r="AJ115" s="45">
        <f t="shared" si="53"/>
        <v>0</v>
      </c>
      <c r="AK115" s="45">
        <f t="shared" si="54"/>
        <v>0</v>
      </c>
      <c r="AL115" s="45">
        <f t="shared" si="55"/>
        <v>0</v>
      </c>
      <c r="AM115" s="8" t="str">
        <f t="shared" si="56"/>
        <v>--</v>
      </c>
      <c r="AN115" s="10">
        <f t="shared" si="57"/>
        <v>0</v>
      </c>
      <c r="AO115" s="10">
        <f t="shared" si="58"/>
        <v>0</v>
      </c>
      <c r="AP115" s="10">
        <f t="shared" si="59"/>
        <v>0</v>
      </c>
      <c r="AQ115" s="10">
        <f t="shared" si="60"/>
        <v>0</v>
      </c>
      <c r="AR115" s="10">
        <f t="shared" si="61"/>
        <v>0</v>
      </c>
      <c r="AS115" s="8">
        <v>23</v>
      </c>
      <c r="AT115" s="9">
        <f t="shared" si="62"/>
        <v>0</v>
      </c>
      <c r="AU115" s="11">
        <f t="shared" si="63"/>
        <v>0</v>
      </c>
      <c r="AV115" s="6"/>
      <c r="AW115" s="6"/>
      <c r="AX115" s="6"/>
      <c r="AZ115" t="str">
        <f t="shared" si="64"/>
        <v>{"group":"A",</v>
      </c>
      <c r="BA115" t="str">
        <f t="shared" si="45"/>
        <v>"lot":0,</v>
      </c>
      <c r="BB115" t="str">
        <f t="shared" si="65"/>
        <v>"name":"0",</v>
      </c>
      <c r="BC115" t="str">
        <f t="shared" si="66"/>
        <v>"team":"",</v>
      </c>
      <c r="BD115" t="str">
        <f t="shared" si="67"/>
        <v>"year":"0",</v>
      </c>
      <c r="BE115" t="str">
        <f t="shared" si="68"/>
        <v>"gender":"0",</v>
      </c>
      <c r="BF115" t="str">
        <f t="shared" si="69"/>
        <v>"gear":"0",</v>
      </c>
      <c r="BG115" t="str">
        <f t="shared" si="70"/>
        <v>"lifts":"0",</v>
      </c>
      <c r="BH115" t="str">
        <f t="shared" si="71"/>
        <v>"division":"--",</v>
      </c>
      <c r="BI115" t="str">
        <f t="shared" si="72"/>
        <v>"wc":"0",</v>
      </c>
      <c r="BJ115" t="str">
        <f t="shared" si="73"/>
        <v>"bw":"",</v>
      </c>
      <c r="BK115" t="str">
        <f t="shared" si="74"/>
        <v>"pb":[0,0,0,0],</v>
      </c>
      <c r="BL115" t="str">
        <f t="shared" si="46"/>
        <v>"idx":"23",</v>
      </c>
      <c r="BM115" t="str">
        <f t="shared" si="47"/>
        <v>"sr":"0",</v>
      </c>
      <c r="BN115" t="str">
        <f t="shared" si="48"/>
        <v>"br":"0",</v>
      </c>
      <c r="BO115" t="str">
        <f t="shared" si="49"/>
        <v>"row":0,</v>
      </c>
      <c r="BP115" t="s">
        <v>55</v>
      </c>
      <c r="BQ115" t="str">
        <f t="shared" si="50"/>
        <v>"sq":{"a1":0,"a2":"","a3":"","s1":0,"s2":0,"s3":0},"bp":{"a1":0,"a2":"","a3":"","s1":0,"s2":0,"s3":0},"dl":{"a1":0,"a2":"","a3":"","s1":0,"s2":0,"s3":0},"sortOrder":0,"act":{}}</v>
      </c>
      <c r="BR115" t="str">
        <f t="shared" si="75"/>
        <v>{"group":"A","lot":0,"name":"0","team":"","year":"0","gender":"0","gear":"0","lifts":"0","division":"--","wc":"0","bw":"","pb":[0,0,0,0],"idx":"23","sr":"0","br":"0","row":0,"sq":{"a1":0,"a2":"","a3":"","s1":0,"s2":0,"s3":0},"bp":{"a1":0,"a2":"","a3":"","s1":0,"s2":0,"s3":0},"dl":{"a1":0,"a2":"","a3":"","s1":0,"s2":0,"s3":0},"sortOrder":0,"act":{}}</v>
      </c>
    </row>
    <row r="116" spans="5:70" x14ac:dyDescent="0.25">
      <c r="E116" s="128"/>
      <c r="F116" s="129"/>
      <c r="G116" s="129"/>
      <c r="H116" s="129"/>
      <c r="I116" s="129"/>
      <c r="J116" s="129"/>
      <c r="K116" s="129"/>
      <c r="L116" s="130"/>
      <c r="M116" s="131"/>
      <c r="N116" s="130"/>
      <c r="O116" s="148">
        <f t="shared" ca="1" si="76"/>
        <v>2023</v>
      </c>
      <c r="P116" s="129"/>
      <c r="Q116" s="129"/>
      <c r="R116" s="129"/>
      <c r="S116" s="129"/>
      <c r="T116" s="129"/>
      <c r="U116" s="129"/>
      <c r="V116" s="129"/>
      <c r="W116" s="129"/>
      <c r="X116" s="129"/>
      <c r="Y116" s="132"/>
      <c r="Z116" s="133"/>
      <c r="AA116" s="133"/>
      <c r="AB116" s="134"/>
      <c r="AE116" s="15" t="str">
        <f t="shared" si="42"/>
        <v>A</v>
      </c>
      <c r="AF116" s="8">
        <f t="shared" si="43"/>
        <v>0</v>
      </c>
      <c r="AG116" s="9">
        <f t="shared" si="51"/>
        <v>0</v>
      </c>
      <c r="AH116" s="9" t="str">
        <f t="shared" si="52"/>
        <v/>
      </c>
      <c r="AI116" s="8">
        <f t="shared" si="44"/>
        <v>0</v>
      </c>
      <c r="AJ116" s="45">
        <f t="shared" si="53"/>
        <v>0</v>
      </c>
      <c r="AK116" s="45">
        <f t="shared" si="54"/>
        <v>0</v>
      </c>
      <c r="AL116" s="45">
        <f t="shared" si="55"/>
        <v>0</v>
      </c>
      <c r="AM116" s="8" t="str">
        <f t="shared" si="56"/>
        <v>--</v>
      </c>
      <c r="AN116" s="10">
        <f t="shared" si="57"/>
        <v>0</v>
      </c>
      <c r="AO116" s="10">
        <f t="shared" si="58"/>
        <v>0</v>
      </c>
      <c r="AP116" s="10">
        <f t="shared" si="59"/>
        <v>0</v>
      </c>
      <c r="AQ116" s="10">
        <f t="shared" si="60"/>
        <v>0</v>
      </c>
      <c r="AR116" s="10">
        <f t="shared" si="61"/>
        <v>0</v>
      </c>
      <c r="AS116" s="8">
        <v>23</v>
      </c>
      <c r="AT116" s="9">
        <f t="shared" si="62"/>
        <v>0</v>
      </c>
      <c r="AU116" s="11">
        <f t="shared" si="63"/>
        <v>0</v>
      </c>
      <c r="AV116" s="6"/>
      <c r="AW116" s="6"/>
      <c r="AX116" s="6"/>
      <c r="AZ116" t="str">
        <f t="shared" si="64"/>
        <v>{"group":"A",</v>
      </c>
      <c r="BA116" t="str">
        <f t="shared" si="45"/>
        <v>"lot":0,</v>
      </c>
      <c r="BB116" t="str">
        <f t="shared" si="65"/>
        <v>"name":"0",</v>
      </c>
      <c r="BC116" t="str">
        <f t="shared" si="66"/>
        <v>"team":"",</v>
      </c>
      <c r="BD116" t="str">
        <f t="shared" si="67"/>
        <v>"year":"0",</v>
      </c>
      <c r="BE116" t="str">
        <f t="shared" si="68"/>
        <v>"gender":"0",</v>
      </c>
      <c r="BF116" t="str">
        <f t="shared" si="69"/>
        <v>"gear":"0",</v>
      </c>
      <c r="BG116" t="str">
        <f t="shared" si="70"/>
        <v>"lifts":"0",</v>
      </c>
      <c r="BH116" t="str">
        <f t="shared" si="71"/>
        <v>"division":"--",</v>
      </c>
      <c r="BI116" t="str">
        <f t="shared" si="72"/>
        <v>"wc":"0",</v>
      </c>
      <c r="BJ116" t="str">
        <f t="shared" si="73"/>
        <v>"bw":"",</v>
      </c>
      <c r="BK116" t="str">
        <f t="shared" si="74"/>
        <v>"pb":[0,0,0,0],</v>
      </c>
      <c r="BL116" t="str">
        <f t="shared" si="46"/>
        <v>"idx":"23",</v>
      </c>
      <c r="BM116" t="str">
        <f t="shared" si="47"/>
        <v>"sr":"0",</v>
      </c>
      <c r="BN116" t="str">
        <f t="shared" si="48"/>
        <v>"br":"0",</v>
      </c>
      <c r="BO116" t="str">
        <f t="shared" si="49"/>
        <v>"row":0,</v>
      </c>
      <c r="BP116" t="s">
        <v>55</v>
      </c>
      <c r="BQ116" t="str">
        <f t="shared" si="50"/>
        <v>"sq":{"a1":0,"a2":"","a3":"","s1":0,"s2":0,"s3":0},"bp":{"a1":0,"a2":"","a3":"","s1":0,"s2":0,"s3":0},"dl":{"a1":0,"a2":"","a3":"","s1":0,"s2":0,"s3":0},"sortOrder":0,"act":{}}</v>
      </c>
      <c r="BR116" t="str">
        <f t="shared" si="75"/>
        <v>{"group":"A","lot":0,"name":"0","team":"","year":"0","gender":"0","gear":"0","lifts":"0","division":"--","wc":"0","bw":"","pb":[0,0,0,0],"idx":"23","sr":"0","br":"0","row":0,"sq":{"a1":0,"a2":"","a3":"","s1":0,"s2":0,"s3":0},"bp":{"a1":0,"a2":"","a3":"","s1":0,"s2":0,"s3":0},"dl":{"a1":0,"a2":"","a3":"","s1":0,"s2":0,"s3":0},"sortOrder":0,"act":{}}</v>
      </c>
    </row>
    <row r="117" spans="5:70" x14ac:dyDescent="0.25">
      <c r="E117" s="128"/>
      <c r="F117" s="129"/>
      <c r="G117" s="129"/>
      <c r="H117" s="129"/>
      <c r="I117" s="129"/>
      <c r="J117" s="129"/>
      <c r="K117" s="129"/>
      <c r="L117" s="130"/>
      <c r="M117" s="131"/>
      <c r="N117" s="130"/>
      <c r="O117" s="148">
        <f t="shared" ca="1" si="76"/>
        <v>2023</v>
      </c>
      <c r="P117" s="129"/>
      <c r="Q117" s="129"/>
      <c r="R117" s="129"/>
      <c r="S117" s="129"/>
      <c r="T117" s="129"/>
      <c r="U117" s="129"/>
      <c r="V117" s="129"/>
      <c r="W117" s="129"/>
      <c r="X117" s="129"/>
      <c r="Y117" s="132"/>
      <c r="Z117" s="133"/>
      <c r="AA117" s="133"/>
      <c r="AB117" s="134"/>
      <c r="AE117" s="15" t="str">
        <f t="shared" si="42"/>
        <v>A</v>
      </c>
      <c r="AF117" s="8">
        <f t="shared" si="43"/>
        <v>0</v>
      </c>
      <c r="AG117" s="9">
        <f t="shared" si="51"/>
        <v>0</v>
      </c>
      <c r="AH117" s="9" t="str">
        <f t="shared" si="52"/>
        <v/>
      </c>
      <c r="AI117" s="8">
        <f t="shared" si="44"/>
        <v>0</v>
      </c>
      <c r="AJ117" s="45">
        <f t="shared" si="53"/>
        <v>0</v>
      </c>
      <c r="AK117" s="45">
        <f t="shared" si="54"/>
        <v>0</v>
      </c>
      <c r="AL117" s="45">
        <f t="shared" si="55"/>
        <v>0</v>
      </c>
      <c r="AM117" s="8" t="str">
        <f t="shared" si="56"/>
        <v>--</v>
      </c>
      <c r="AN117" s="10">
        <f t="shared" si="57"/>
        <v>0</v>
      </c>
      <c r="AO117" s="10">
        <f t="shared" si="58"/>
        <v>0</v>
      </c>
      <c r="AP117" s="10">
        <f t="shared" si="59"/>
        <v>0</v>
      </c>
      <c r="AQ117" s="10">
        <f t="shared" si="60"/>
        <v>0</v>
      </c>
      <c r="AR117" s="10">
        <f t="shared" si="61"/>
        <v>0</v>
      </c>
      <c r="AS117" s="8">
        <v>23</v>
      </c>
      <c r="AT117" s="9">
        <f t="shared" si="62"/>
        <v>0</v>
      </c>
      <c r="AU117" s="11">
        <f t="shared" si="63"/>
        <v>0</v>
      </c>
      <c r="AV117" s="6"/>
      <c r="AW117" s="6"/>
      <c r="AX117" s="6"/>
      <c r="AZ117" t="str">
        <f t="shared" si="64"/>
        <v>{"group":"A",</v>
      </c>
      <c r="BA117" t="str">
        <f t="shared" si="45"/>
        <v>"lot":0,</v>
      </c>
      <c r="BB117" t="str">
        <f t="shared" si="65"/>
        <v>"name":"0",</v>
      </c>
      <c r="BC117" t="str">
        <f t="shared" si="66"/>
        <v>"team":"",</v>
      </c>
      <c r="BD117" t="str">
        <f t="shared" si="67"/>
        <v>"year":"0",</v>
      </c>
      <c r="BE117" t="str">
        <f t="shared" si="68"/>
        <v>"gender":"0",</v>
      </c>
      <c r="BF117" t="str">
        <f t="shared" si="69"/>
        <v>"gear":"0",</v>
      </c>
      <c r="BG117" t="str">
        <f t="shared" si="70"/>
        <v>"lifts":"0",</v>
      </c>
      <c r="BH117" t="str">
        <f t="shared" si="71"/>
        <v>"division":"--",</v>
      </c>
      <c r="BI117" t="str">
        <f t="shared" si="72"/>
        <v>"wc":"0",</v>
      </c>
      <c r="BJ117" t="str">
        <f t="shared" si="73"/>
        <v>"bw":"",</v>
      </c>
      <c r="BK117" t="str">
        <f t="shared" si="74"/>
        <v>"pb":[0,0,0,0],</v>
      </c>
      <c r="BL117" t="str">
        <f t="shared" si="46"/>
        <v>"idx":"23",</v>
      </c>
      <c r="BM117" t="str">
        <f t="shared" si="47"/>
        <v>"sr":"0",</v>
      </c>
      <c r="BN117" t="str">
        <f t="shared" si="48"/>
        <v>"br":"0",</v>
      </c>
      <c r="BO117" t="str">
        <f t="shared" si="49"/>
        <v>"row":0,</v>
      </c>
      <c r="BP117" t="s">
        <v>55</v>
      </c>
      <c r="BQ117" t="str">
        <f t="shared" si="50"/>
        <v>"sq":{"a1":0,"a2":"","a3":"","s1":0,"s2":0,"s3":0},"bp":{"a1":0,"a2":"","a3":"","s1":0,"s2":0,"s3":0},"dl":{"a1":0,"a2":"","a3":"","s1":0,"s2":0,"s3":0},"sortOrder":0,"act":{}}</v>
      </c>
      <c r="BR117" t="str">
        <f t="shared" si="75"/>
        <v>{"group":"A","lot":0,"name":"0","team":"","year":"0","gender":"0","gear":"0","lifts":"0","division":"--","wc":"0","bw":"","pb":[0,0,0,0],"idx":"23","sr":"0","br":"0","row":0,"sq":{"a1":0,"a2":"","a3":"","s1":0,"s2":0,"s3":0},"bp":{"a1":0,"a2":"","a3":"","s1":0,"s2":0,"s3":0},"dl":{"a1":0,"a2":"","a3":"","s1":0,"s2":0,"s3":0},"sortOrder":0,"act":{}}</v>
      </c>
    </row>
    <row r="118" spans="5:70" x14ac:dyDescent="0.25">
      <c r="E118" s="128"/>
      <c r="F118" s="129"/>
      <c r="G118" s="129"/>
      <c r="H118" s="129"/>
      <c r="I118" s="129"/>
      <c r="J118" s="129"/>
      <c r="K118" s="129"/>
      <c r="L118" s="130"/>
      <c r="M118" s="131"/>
      <c r="N118" s="130"/>
      <c r="O118" s="148">
        <f t="shared" ca="1" si="76"/>
        <v>2023</v>
      </c>
      <c r="P118" s="129"/>
      <c r="Q118" s="129"/>
      <c r="R118" s="129"/>
      <c r="S118" s="129"/>
      <c r="T118" s="129"/>
      <c r="U118" s="129"/>
      <c r="V118" s="129"/>
      <c r="W118" s="129"/>
      <c r="X118" s="129"/>
      <c r="Y118" s="132"/>
      <c r="Z118" s="133"/>
      <c r="AA118" s="133"/>
      <c r="AB118" s="134"/>
      <c r="AE118" s="15" t="str">
        <f t="shared" ref="AE118:AE181" si="77">IF(Q118="","A",PROPER(Q118))</f>
        <v>A</v>
      </c>
      <c r="AF118" s="8">
        <f t="shared" si="43"/>
        <v>0</v>
      </c>
      <c r="AG118" s="9">
        <f t="shared" si="51"/>
        <v>0</v>
      </c>
      <c r="AH118" s="9" t="str">
        <f t="shared" si="52"/>
        <v/>
      </c>
      <c r="AI118" s="8">
        <f t="shared" si="44"/>
        <v>0</v>
      </c>
      <c r="AJ118" s="45">
        <f t="shared" si="53"/>
        <v>0</v>
      </c>
      <c r="AK118" s="45">
        <f t="shared" si="54"/>
        <v>0</v>
      </c>
      <c r="AL118" s="45">
        <f t="shared" si="55"/>
        <v>0</v>
      </c>
      <c r="AM118" s="8" t="str">
        <f t="shared" si="56"/>
        <v>--</v>
      </c>
      <c r="AN118" s="10">
        <f t="shared" si="57"/>
        <v>0</v>
      </c>
      <c r="AO118" s="10">
        <f t="shared" si="58"/>
        <v>0</v>
      </c>
      <c r="AP118" s="10">
        <f t="shared" si="59"/>
        <v>0</v>
      </c>
      <c r="AQ118" s="10">
        <f t="shared" si="60"/>
        <v>0</v>
      </c>
      <c r="AR118" s="10">
        <f t="shared" si="61"/>
        <v>0</v>
      </c>
      <c r="AS118" s="8">
        <v>23</v>
      </c>
      <c r="AT118" s="9">
        <f t="shared" si="62"/>
        <v>0</v>
      </c>
      <c r="AU118" s="11">
        <f t="shared" si="63"/>
        <v>0</v>
      </c>
      <c r="AV118" s="6"/>
      <c r="AW118" s="6"/>
      <c r="AX118" s="6"/>
      <c r="AZ118" t="str">
        <f t="shared" si="64"/>
        <v>{"group":"A",</v>
      </c>
      <c r="BA118" t="str">
        <f t="shared" si="45"/>
        <v>"lot":0,</v>
      </c>
      <c r="BB118" t="str">
        <f t="shared" si="65"/>
        <v>"name":"0",</v>
      </c>
      <c r="BC118" t="str">
        <f t="shared" si="66"/>
        <v>"team":"",</v>
      </c>
      <c r="BD118" t="str">
        <f t="shared" si="67"/>
        <v>"year":"0",</v>
      </c>
      <c r="BE118" t="str">
        <f t="shared" si="68"/>
        <v>"gender":"0",</v>
      </c>
      <c r="BF118" t="str">
        <f t="shared" si="69"/>
        <v>"gear":"0",</v>
      </c>
      <c r="BG118" t="str">
        <f t="shared" si="70"/>
        <v>"lifts":"0",</v>
      </c>
      <c r="BH118" t="str">
        <f t="shared" si="71"/>
        <v>"division":"--",</v>
      </c>
      <c r="BI118" t="str">
        <f t="shared" si="72"/>
        <v>"wc":"0",</v>
      </c>
      <c r="BJ118" t="str">
        <f t="shared" si="73"/>
        <v>"bw":"",</v>
      </c>
      <c r="BK118" t="str">
        <f t="shared" si="74"/>
        <v>"pb":[0,0,0,0],</v>
      </c>
      <c r="BL118" t="str">
        <f t="shared" si="46"/>
        <v>"idx":"23",</v>
      </c>
      <c r="BM118" t="str">
        <f t="shared" si="47"/>
        <v>"sr":"0",</v>
      </c>
      <c r="BN118" t="str">
        <f t="shared" si="48"/>
        <v>"br":"0",</v>
      </c>
      <c r="BO118" t="str">
        <f t="shared" si="49"/>
        <v>"row":0,</v>
      </c>
      <c r="BP118" t="s">
        <v>55</v>
      </c>
      <c r="BQ118" t="str">
        <f t="shared" si="50"/>
        <v>"sq":{"a1":0,"a2":"","a3":"","s1":0,"s2":0,"s3":0},"bp":{"a1":0,"a2":"","a3":"","s1":0,"s2":0,"s3":0},"dl":{"a1":0,"a2":"","a3":"","s1":0,"s2":0,"s3":0},"sortOrder":0,"act":{}}</v>
      </c>
      <c r="BR118" t="str">
        <f t="shared" si="75"/>
        <v>{"group":"A","lot":0,"name":"0","team":"","year":"0","gender":"0","gear":"0","lifts":"0","division":"--","wc":"0","bw":"","pb":[0,0,0,0],"idx":"23","sr":"0","br":"0","row":0,"sq":{"a1":0,"a2":"","a3":"","s1":0,"s2":0,"s3":0},"bp":{"a1":0,"a2":"","a3":"","s1":0,"s2":0,"s3":0},"dl":{"a1":0,"a2":"","a3":"","s1":0,"s2":0,"s3":0},"sortOrder":0,"act":{}}</v>
      </c>
    </row>
    <row r="119" spans="5:70" x14ac:dyDescent="0.25">
      <c r="E119" s="128"/>
      <c r="F119" s="129"/>
      <c r="G119" s="129"/>
      <c r="H119" s="129"/>
      <c r="I119" s="129"/>
      <c r="J119" s="129"/>
      <c r="K119" s="129"/>
      <c r="L119" s="130"/>
      <c r="M119" s="131"/>
      <c r="N119" s="130"/>
      <c r="O119" s="148">
        <f t="shared" ca="1" si="76"/>
        <v>2023</v>
      </c>
      <c r="P119" s="129"/>
      <c r="Q119" s="129"/>
      <c r="R119" s="129"/>
      <c r="S119" s="129"/>
      <c r="T119" s="129"/>
      <c r="U119" s="129"/>
      <c r="V119" s="129"/>
      <c r="W119" s="129"/>
      <c r="X119" s="129"/>
      <c r="Y119" s="132"/>
      <c r="Z119" s="133"/>
      <c r="AA119" s="133"/>
      <c r="AB119" s="134"/>
      <c r="AE119" s="15" t="str">
        <f t="shared" si="77"/>
        <v>A</v>
      </c>
      <c r="AF119" s="8">
        <f t="shared" si="43"/>
        <v>0</v>
      </c>
      <c r="AG119" s="9">
        <f t="shared" si="51"/>
        <v>0</v>
      </c>
      <c r="AH119" s="9" t="str">
        <f t="shared" si="52"/>
        <v/>
      </c>
      <c r="AI119" s="8">
        <f t="shared" si="44"/>
        <v>0</v>
      </c>
      <c r="AJ119" s="45">
        <f t="shared" si="53"/>
        <v>0</v>
      </c>
      <c r="AK119" s="45">
        <f t="shared" si="54"/>
        <v>0</v>
      </c>
      <c r="AL119" s="45">
        <f t="shared" si="55"/>
        <v>0</v>
      </c>
      <c r="AM119" s="8" t="str">
        <f t="shared" si="56"/>
        <v>--</v>
      </c>
      <c r="AN119" s="10">
        <f t="shared" si="57"/>
        <v>0</v>
      </c>
      <c r="AO119" s="10">
        <f t="shared" si="58"/>
        <v>0</v>
      </c>
      <c r="AP119" s="10">
        <f t="shared" si="59"/>
        <v>0</v>
      </c>
      <c r="AQ119" s="10">
        <f t="shared" si="60"/>
        <v>0</v>
      </c>
      <c r="AR119" s="10">
        <f t="shared" si="61"/>
        <v>0</v>
      </c>
      <c r="AS119" s="8">
        <v>23</v>
      </c>
      <c r="AT119" s="9">
        <f t="shared" si="62"/>
        <v>0</v>
      </c>
      <c r="AU119" s="11">
        <f t="shared" si="63"/>
        <v>0</v>
      </c>
      <c r="AV119" s="6"/>
      <c r="AW119" s="6"/>
      <c r="AX119" s="6"/>
      <c r="AZ119" t="str">
        <f t="shared" si="64"/>
        <v>{"group":"A",</v>
      </c>
      <c r="BA119" t="str">
        <f t="shared" si="45"/>
        <v>"lot":0,</v>
      </c>
      <c r="BB119" t="str">
        <f t="shared" si="65"/>
        <v>"name":"0",</v>
      </c>
      <c r="BC119" t="str">
        <f t="shared" si="66"/>
        <v>"team":"",</v>
      </c>
      <c r="BD119" t="str">
        <f t="shared" si="67"/>
        <v>"year":"0",</v>
      </c>
      <c r="BE119" t="str">
        <f t="shared" si="68"/>
        <v>"gender":"0",</v>
      </c>
      <c r="BF119" t="str">
        <f t="shared" si="69"/>
        <v>"gear":"0",</v>
      </c>
      <c r="BG119" t="str">
        <f t="shared" si="70"/>
        <v>"lifts":"0",</v>
      </c>
      <c r="BH119" t="str">
        <f t="shared" si="71"/>
        <v>"division":"--",</v>
      </c>
      <c r="BI119" t="str">
        <f t="shared" si="72"/>
        <v>"wc":"0",</v>
      </c>
      <c r="BJ119" t="str">
        <f t="shared" si="73"/>
        <v>"bw":"",</v>
      </c>
      <c r="BK119" t="str">
        <f t="shared" si="74"/>
        <v>"pb":[0,0,0,0],</v>
      </c>
      <c r="BL119" t="str">
        <f t="shared" si="46"/>
        <v>"idx":"23",</v>
      </c>
      <c r="BM119" t="str">
        <f t="shared" si="47"/>
        <v>"sr":"0",</v>
      </c>
      <c r="BN119" t="str">
        <f t="shared" si="48"/>
        <v>"br":"0",</v>
      </c>
      <c r="BO119" t="str">
        <f t="shared" si="49"/>
        <v>"row":0,</v>
      </c>
      <c r="BP119" t="s">
        <v>55</v>
      </c>
      <c r="BQ119" t="str">
        <f t="shared" si="50"/>
        <v>"sq":{"a1":0,"a2":"","a3":"","s1":0,"s2":0,"s3":0},"bp":{"a1":0,"a2":"","a3":"","s1":0,"s2":0,"s3":0},"dl":{"a1":0,"a2":"","a3":"","s1":0,"s2":0,"s3":0},"sortOrder":0,"act":{}}</v>
      </c>
      <c r="BR119" t="str">
        <f t="shared" si="75"/>
        <v>{"group":"A","lot":0,"name":"0","team":"","year":"0","gender":"0","gear":"0","lifts":"0","division":"--","wc":"0","bw":"","pb":[0,0,0,0],"idx":"23","sr":"0","br":"0","row":0,"sq":{"a1":0,"a2":"","a3":"","s1":0,"s2":0,"s3":0},"bp":{"a1":0,"a2":"","a3":"","s1":0,"s2":0,"s3":0},"dl":{"a1":0,"a2":"","a3":"","s1":0,"s2":0,"s3":0},"sortOrder":0,"act":{}}</v>
      </c>
    </row>
    <row r="120" spans="5:70" x14ac:dyDescent="0.25">
      <c r="E120" s="128"/>
      <c r="F120" s="129"/>
      <c r="G120" s="129"/>
      <c r="H120" s="129"/>
      <c r="I120" s="129"/>
      <c r="J120" s="129"/>
      <c r="K120" s="129"/>
      <c r="L120" s="130"/>
      <c r="M120" s="131"/>
      <c r="N120" s="130"/>
      <c r="O120" s="148">
        <f t="shared" ca="1" si="76"/>
        <v>2023</v>
      </c>
      <c r="P120" s="129"/>
      <c r="Q120" s="129"/>
      <c r="R120" s="129"/>
      <c r="S120" s="129"/>
      <c r="T120" s="129"/>
      <c r="U120" s="129"/>
      <c r="V120" s="129"/>
      <c r="W120" s="129"/>
      <c r="X120" s="129"/>
      <c r="Y120" s="132"/>
      <c r="Z120" s="133"/>
      <c r="AA120" s="133"/>
      <c r="AB120" s="134"/>
      <c r="AE120" s="15" t="str">
        <f t="shared" si="77"/>
        <v>A</v>
      </c>
      <c r="AF120" s="8">
        <f t="shared" si="43"/>
        <v>0</v>
      </c>
      <c r="AG120" s="9">
        <f t="shared" si="51"/>
        <v>0</v>
      </c>
      <c r="AH120" s="9" t="str">
        <f t="shared" si="52"/>
        <v/>
      </c>
      <c r="AI120" s="8">
        <f t="shared" si="44"/>
        <v>0</v>
      </c>
      <c r="AJ120" s="45">
        <f t="shared" si="53"/>
        <v>0</v>
      </c>
      <c r="AK120" s="45">
        <f t="shared" si="54"/>
        <v>0</v>
      </c>
      <c r="AL120" s="45">
        <f t="shared" si="55"/>
        <v>0</v>
      </c>
      <c r="AM120" s="8" t="str">
        <f t="shared" si="56"/>
        <v>--</v>
      </c>
      <c r="AN120" s="10">
        <f t="shared" si="57"/>
        <v>0</v>
      </c>
      <c r="AO120" s="10">
        <f t="shared" si="58"/>
        <v>0</v>
      </c>
      <c r="AP120" s="10">
        <f t="shared" si="59"/>
        <v>0</v>
      </c>
      <c r="AQ120" s="10">
        <f t="shared" si="60"/>
        <v>0</v>
      </c>
      <c r="AR120" s="10">
        <f t="shared" si="61"/>
        <v>0</v>
      </c>
      <c r="AS120" s="8">
        <v>23</v>
      </c>
      <c r="AT120" s="9">
        <f t="shared" si="62"/>
        <v>0</v>
      </c>
      <c r="AU120" s="11">
        <f t="shared" si="63"/>
        <v>0</v>
      </c>
      <c r="AV120" s="6"/>
      <c r="AW120" s="6"/>
      <c r="AX120" s="6"/>
      <c r="AZ120" t="str">
        <f t="shared" si="64"/>
        <v>{"group":"A",</v>
      </c>
      <c r="BA120" t="str">
        <f t="shared" si="45"/>
        <v>"lot":0,</v>
      </c>
      <c r="BB120" t="str">
        <f t="shared" si="65"/>
        <v>"name":"0",</v>
      </c>
      <c r="BC120" t="str">
        <f t="shared" si="66"/>
        <v>"team":"",</v>
      </c>
      <c r="BD120" t="str">
        <f t="shared" si="67"/>
        <v>"year":"0",</v>
      </c>
      <c r="BE120" t="str">
        <f t="shared" si="68"/>
        <v>"gender":"0",</v>
      </c>
      <c r="BF120" t="str">
        <f t="shared" si="69"/>
        <v>"gear":"0",</v>
      </c>
      <c r="BG120" t="str">
        <f t="shared" si="70"/>
        <v>"lifts":"0",</v>
      </c>
      <c r="BH120" t="str">
        <f t="shared" si="71"/>
        <v>"division":"--",</v>
      </c>
      <c r="BI120" t="str">
        <f t="shared" si="72"/>
        <v>"wc":"0",</v>
      </c>
      <c r="BJ120" t="str">
        <f t="shared" si="73"/>
        <v>"bw":"",</v>
      </c>
      <c r="BK120" t="str">
        <f t="shared" si="74"/>
        <v>"pb":[0,0,0,0],</v>
      </c>
      <c r="BL120" t="str">
        <f t="shared" si="46"/>
        <v>"idx":"23",</v>
      </c>
      <c r="BM120" t="str">
        <f t="shared" si="47"/>
        <v>"sr":"0",</v>
      </c>
      <c r="BN120" t="str">
        <f t="shared" si="48"/>
        <v>"br":"0",</v>
      </c>
      <c r="BO120" t="str">
        <f t="shared" si="49"/>
        <v>"row":0,</v>
      </c>
      <c r="BP120" t="s">
        <v>55</v>
      </c>
      <c r="BQ120" t="str">
        <f t="shared" si="50"/>
        <v>"sq":{"a1":0,"a2":"","a3":"","s1":0,"s2":0,"s3":0},"bp":{"a1":0,"a2":"","a3":"","s1":0,"s2":0,"s3":0},"dl":{"a1":0,"a2":"","a3":"","s1":0,"s2":0,"s3":0},"sortOrder":0,"act":{}}</v>
      </c>
      <c r="BR120" t="str">
        <f t="shared" si="75"/>
        <v>{"group":"A","lot":0,"name":"0","team":"","year":"0","gender":"0","gear":"0","lifts":"0","division":"--","wc":"0","bw":"","pb":[0,0,0,0],"idx":"23","sr":"0","br":"0","row":0,"sq":{"a1":0,"a2":"","a3":"","s1":0,"s2":0,"s3":0},"bp":{"a1":0,"a2":"","a3":"","s1":0,"s2":0,"s3":0},"dl":{"a1":0,"a2":"","a3":"","s1":0,"s2":0,"s3":0},"sortOrder":0,"act":{}}</v>
      </c>
    </row>
    <row r="121" spans="5:70" x14ac:dyDescent="0.25">
      <c r="E121" s="128"/>
      <c r="F121" s="129"/>
      <c r="G121" s="129"/>
      <c r="H121" s="129"/>
      <c r="I121" s="129"/>
      <c r="J121" s="129"/>
      <c r="K121" s="129"/>
      <c r="L121" s="130"/>
      <c r="M121" s="131"/>
      <c r="N121" s="130"/>
      <c r="O121" s="148">
        <f t="shared" ca="1" si="76"/>
        <v>2023</v>
      </c>
      <c r="P121" s="129"/>
      <c r="Q121" s="129"/>
      <c r="R121" s="129"/>
      <c r="S121" s="129"/>
      <c r="T121" s="129"/>
      <c r="U121" s="129"/>
      <c r="V121" s="129"/>
      <c r="W121" s="129"/>
      <c r="X121" s="129"/>
      <c r="Y121" s="132"/>
      <c r="Z121" s="133"/>
      <c r="AA121" s="133"/>
      <c r="AB121" s="134"/>
      <c r="AE121" s="15" t="str">
        <f t="shared" si="77"/>
        <v>A</v>
      </c>
      <c r="AF121" s="8">
        <f t="shared" si="43"/>
        <v>0</v>
      </c>
      <c r="AG121" s="9">
        <f t="shared" si="51"/>
        <v>0</v>
      </c>
      <c r="AH121" s="9" t="str">
        <f t="shared" si="52"/>
        <v/>
      </c>
      <c r="AI121" s="8">
        <f t="shared" si="44"/>
        <v>0</v>
      </c>
      <c r="AJ121" s="45">
        <f t="shared" si="53"/>
        <v>0</v>
      </c>
      <c r="AK121" s="45">
        <f t="shared" si="54"/>
        <v>0</v>
      </c>
      <c r="AL121" s="45">
        <f t="shared" si="55"/>
        <v>0</v>
      </c>
      <c r="AM121" s="8" t="str">
        <f t="shared" si="56"/>
        <v>--</v>
      </c>
      <c r="AN121" s="10">
        <f t="shared" si="57"/>
        <v>0</v>
      </c>
      <c r="AO121" s="10">
        <f t="shared" si="58"/>
        <v>0</v>
      </c>
      <c r="AP121" s="10">
        <f t="shared" si="59"/>
        <v>0</v>
      </c>
      <c r="AQ121" s="10">
        <f t="shared" si="60"/>
        <v>0</v>
      </c>
      <c r="AR121" s="10">
        <f t="shared" si="61"/>
        <v>0</v>
      </c>
      <c r="AS121" s="8">
        <v>23</v>
      </c>
      <c r="AT121" s="9">
        <f t="shared" si="62"/>
        <v>0</v>
      </c>
      <c r="AU121" s="11">
        <f t="shared" si="63"/>
        <v>0</v>
      </c>
      <c r="AV121" s="6"/>
      <c r="AW121" s="6"/>
      <c r="AX121" s="6"/>
      <c r="AZ121" t="str">
        <f t="shared" si="64"/>
        <v>{"group":"A",</v>
      </c>
      <c r="BA121" t="str">
        <f t="shared" si="45"/>
        <v>"lot":0,</v>
      </c>
      <c r="BB121" t="str">
        <f t="shared" si="65"/>
        <v>"name":"0",</v>
      </c>
      <c r="BC121" t="str">
        <f t="shared" si="66"/>
        <v>"team":"",</v>
      </c>
      <c r="BD121" t="str">
        <f t="shared" si="67"/>
        <v>"year":"0",</v>
      </c>
      <c r="BE121" t="str">
        <f t="shared" si="68"/>
        <v>"gender":"0",</v>
      </c>
      <c r="BF121" t="str">
        <f t="shared" si="69"/>
        <v>"gear":"0",</v>
      </c>
      <c r="BG121" t="str">
        <f t="shared" si="70"/>
        <v>"lifts":"0",</v>
      </c>
      <c r="BH121" t="str">
        <f t="shared" si="71"/>
        <v>"division":"--",</v>
      </c>
      <c r="BI121" t="str">
        <f t="shared" si="72"/>
        <v>"wc":"0",</v>
      </c>
      <c r="BJ121" t="str">
        <f t="shared" si="73"/>
        <v>"bw":"",</v>
      </c>
      <c r="BK121" t="str">
        <f t="shared" si="74"/>
        <v>"pb":[0,0,0,0],</v>
      </c>
      <c r="BL121" t="str">
        <f t="shared" si="46"/>
        <v>"idx":"23",</v>
      </c>
      <c r="BM121" t="str">
        <f t="shared" si="47"/>
        <v>"sr":"0",</v>
      </c>
      <c r="BN121" t="str">
        <f t="shared" si="48"/>
        <v>"br":"0",</v>
      </c>
      <c r="BO121" t="str">
        <f t="shared" si="49"/>
        <v>"row":0,</v>
      </c>
      <c r="BP121" t="s">
        <v>55</v>
      </c>
      <c r="BQ121" t="str">
        <f t="shared" si="50"/>
        <v>"sq":{"a1":0,"a2":"","a3":"","s1":0,"s2":0,"s3":0},"bp":{"a1":0,"a2":"","a3":"","s1":0,"s2":0,"s3":0},"dl":{"a1":0,"a2":"","a3":"","s1":0,"s2":0,"s3":0},"sortOrder":0,"act":{}}</v>
      </c>
      <c r="BR121" t="str">
        <f t="shared" si="75"/>
        <v>{"group":"A","lot":0,"name":"0","team":"","year":"0","gender":"0","gear":"0","lifts":"0","division":"--","wc":"0","bw":"","pb":[0,0,0,0],"idx":"23","sr":"0","br":"0","row":0,"sq":{"a1":0,"a2":"","a3":"","s1":0,"s2":0,"s3":0},"bp":{"a1":0,"a2":"","a3":"","s1":0,"s2":0,"s3":0},"dl":{"a1":0,"a2":"","a3":"","s1":0,"s2":0,"s3":0},"sortOrder":0,"act":{}}</v>
      </c>
    </row>
    <row r="122" spans="5:70" x14ac:dyDescent="0.25">
      <c r="E122" s="128"/>
      <c r="F122" s="129"/>
      <c r="G122" s="129"/>
      <c r="H122" s="129"/>
      <c r="I122" s="129"/>
      <c r="J122" s="129"/>
      <c r="K122" s="129"/>
      <c r="L122" s="130"/>
      <c r="M122" s="131"/>
      <c r="N122" s="130"/>
      <c r="O122" s="148">
        <f t="shared" ca="1" si="76"/>
        <v>2023</v>
      </c>
      <c r="P122" s="129"/>
      <c r="Q122" s="129"/>
      <c r="R122" s="129"/>
      <c r="S122" s="129"/>
      <c r="T122" s="129"/>
      <c r="U122" s="129"/>
      <c r="V122" s="129"/>
      <c r="W122" s="129"/>
      <c r="X122" s="129"/>
      <c r="Y122" s="132"/>
      <c r="Z122" s="133"/>
      <c r="AA122" s="133"/>
      <c r="AB122" s="134"/>
      <c r="AE122" s="15" t="str">
        <f t="shared" si="77"/>
        <v>A</v>
      </c>
      <c r="AF122" s="8">
        <f t="shared" si="43"/>
        <v>0</v>
      </c>
      <c r="AG122" s="9">
        <f t="shared" si="51"/>
        <v>0</v>
      </c>
      <c r="AH122" s="9" t="str">
        <f t="shared" si="52"/>
        <v/>
      </c>
      <c r="AI122" s="8">
        <f t="shared" si="44"/>
        <v>0</v>
      </c>
      <c r="AJ122" s="45">
        <f t="shared" si="53"/>
        <v>0</v>
      </c>
      <c r="AK122" s="45">
        <f t="shared" si="54"/>
        <v>0</v>
      </c>
      <c r="AL122" s="45">
        <f t="shared" si="55"/>
        <v>0</v>
      </c>
      <c r="AM122" s="8" t="str">
        <f t="shared" si="56"/>
        <v>--</v>
      </c>
      <c r="AN122" s="10">
        <f t="shared" si="57"/>
        <v>0</v>
      </c>
      <c r="AO122" s="10">
        <f t="shared" si="58"/>
        <v>0</v>
      </c>
      <c r="AP122" s="10">
        <f t="shared" si="59"/>
        <v>0</v>
      </c>
      <c r="AQ122" s="10">
        <f t="shared" si="60"/>
        <v>0</v>
      </c>
      <c r="AR122" s="10">
        <f t="shared" si="61"/>
        <v>0</v>
      </c>
      <c r="AS122" s="8">
        <v>23</v>
      </c>
      <c r="AT122" s="9">
        <f t="shared" si="62"/>
        <v>0</v>
      </c>
      <c r="AU122" s="11">
        <f t="shared" si="63"/>
        <v>0</v>
      </c>
      <c r="AV122" s="6"/>
      <c r="AW122" s="6"/>
      <c r="AX122" s="6"/>
      <c r="AZ122" t="str">
        <f t="shared" si="64"/>
        <v>{"group":"A",</v>
      </c>
      <c r="BA122" t="str">
        <f t="shared" si="45"/>
        <v>"lot":0,</v>
      </c>
      <c r="BB122" t="str">
        <f t="shared" si="65"/>
        <v>"name":"0",</v>
      </c>
      <c r="BC122" t="str">
        <f t="shared" si="66"/>
        <v>"team":"",</v>
      </c>
      <c r="BD122" t="str">
        <f t="shared" si="67"/>
        <v>"year":"0",</v>
      </c>
      <c r="BE122" t="str">
        <f t="shared" si="68"/>
        <v>"gender":"0",</v>
      </c>
      <c r="BF122" t="str">
        <f t="shared" si="69"/>
        <v>"gear":"0",</v>
      </c>
      <c r="BG122" t="str">
        <f t="shared" si="70"/>
        <v>"lifts":"0",</v>
      </c>
      <c r="BH122" t="str">
        <f t="shared" si="71"/>
        <v>"division":"--",</v>
      </c>
      <c r="BI122" t="str">
        <f t="shared" si="72"/>
        <v>"wc":"0",</v>
      </c>
      <c r="BJ122" t="str">
        <f t="shared" si="73"/>
        <v>"bw":"",</v>
      </c>
      <c r="BK122" t="str">
        <f t="shared" si="74"/>
        <v>"pb":[0,0,0,0],</v>
      </c>
      <c r="BL122" t="str">
        <f t="shared" si="46"/>
        <v>"idx":"23",</v>
      </c>
      <c r="BM122" t="str">
        <f t="shared" si="47"/>
        <v>"sr":"0",</v>
      </c>
      <c r="BN122" t="str">
        <f t="shared" si="48"/>
        <v>"br":"0",</v>
      </c>
      <c r="BO122" t="str">
        <f t="shared" si="49"/>
        <v>"row":0,</v>
      </c>
      <c r="BP122" t="s">
        <v>55</v>
      </c>
      <c r="BQ122" t="str">
        <f t="shared" si="50"/>
        <v>"sq":{"a1":0,"a2":"","a3":"","s1":0,"s2":0,"s3":0},"bp":{"a1":0,"a2":"","a3":"","s1":0,"s2":0,"s3":0},"dl":{"a1":0,"a2":"","a3":"","s1":0,"s2":0,"s3":0},"sortOrder":0,"act":{}}</v>
      </c>
      <c r="BR122" t="str">
        <f t="shared" si="75"/>
        <v>{"group":"A","lot":0,"name":"0","team":"","year":"0","gender":"0","gear":"0","lifts":"0","division":"--","wc":"0","bw":"","pb":[0,0,0,0],"idx":"23","sr":"0","br":"0","row":0,"sq":{"a1":0,"a2":"","a3":"","s1":0,"s2":0,"s3":0},"bp":{"a1":0,"a2":"","a3":"","s1":0,"s2":0,"s3":0},"dl":{"a1":0,"a2":"","a3":"","s1":0,"s2":0,"s3":0},"sortOrder":0,"act":{}}</v>
      </c>
    </row>
    <row r="123" spans="5:70" x14ac:dyDescent="0.25">
      <c r="E123" s="128"/>
      <c r="F123" s="129"/>
      <c r="G123" s="129"/>
      <c r="H123" s="129"/>
      <c r="I123" s="129"/>
      <c r="J123" s="129"/>
      <c r="K123" s="129"/>
      <c r="L123" s="130"/>
      <c r="M123" s="131"/>
      <c r="N123" s="130"/>
      <c r="O123" s="148">
        <f t="shared" ca="1" si="76"/>
        <v>2023</v>
      </c>
      <c r="P123" s="129"/>
      <c r="Q123" s="129"/>
      <c r="R123" s="129"/>
      <c r="S123" s="129"/>
      <c r="T123" s="129"/>
      <c r="U123" s="129"/>
      <c r="V123" s="129"/>
      <c r="W123" s="129"/>
      <c r="X123" s="129"/>
      <c r="Y123" s="132"/>
      <c r="Z123" s="133"/>
      <c r="AA123" s="133"/>
      <c r="AB123" s="134"/>
      <c r="AE123" s="15" t="str">
        <f t="shared" si="77"/>
        <v>A</v>
      </c>
      <c r="AF123" s="8">
        <f t="shared" si="43"/>
        <v>0</v>
      </c>
      <c r="AG123" s="9">
        <f t="shared" si="51"/>
        <v>0</v>
      </c>
      <c r="AH123" s="9" t="str">
        <f t="shared" si="52"/>
        <v/>
      </c>
      <c r="AI123" s="8">
        <f t="shared" si="44"/>
        <v>0</v>
      </c>
      <c r="AJ123" s="45">
        <f t="shared" si="53"/>
        <v>0</v>
      </c>
      <c r="AK123" s="45">
        <f t="shared" si="54"/>
        <v>0</v>
      </c>
      <c r="AL123" s="45">
        <f t="shared" si="55"/>
        <v>0</v>
      </c>
      <c r="AM123" s="8" t="str">
        <f t="shared" si="56"/>
        <v>--</v>
      </c>
      <c r="AN123" s="10">
        <f t="shared" si="57"/>
        <v>0</v>
      </c>
      <c r="AO123" s="10">
        <f t="shared" si="58"/>
        <v>0</v>
      </c>
      <c r="AP123" s="10">
        <f t="shared" si="59"/>
        <v>0</v>
      </c>
      <c r="AQ123" s="10">
        <f t="shared" si="60"/>
        <v>0</v>
      </c>
      <c r="AR123" s="10">
        <f t="shared" si="61"/>
        <v>0</v>
      </c>
      <c r="AS123" s="8">
        <v>23</v>
      </c>
      <c r="AT123" s="9">
        <f t="shared" si="62"/>
        <v>0</v>
      </c>
      <c r="AU123" s="11">
        <f t="shared" si="63"/>
        <v>0</v>
      </c>
      <c r="AV123" s="6"/>
      <c r="AW123" s="6"/>
      <c r="AX123" s="6"/>
      <c r="AZ123" t="str">
        <f t="shared" si="64"/>
        <v>{"group":"A",</v>
      </c>
      <c r="BA123" t="str">
        <f t="shared" si="45"/>
        <v>"lot":0,</v>
      </c>
      <c r="BB123" t="str">
        <f t="shared" si="65"/>
        <v>"name":"0",</v>
      </c>
      <c r="BC123" t="str">
        <f t="shared" si="66"/>
        <v>"team":"",</v>
      </c>
      <c r="BD123" t="str">
        <f t="shared" si="67"/>
        <v>"year":"0",</v>
      </c>
      <c r="BE123" t="str">
        <f t="shared" si="68"/>
        <v>"gender":"0",</v>
      </c>
      <c r="BF123" t="str">
        <f t="shared" si="69"/>
        <v>"gear":"0",</v>
      </c>
      <c r="BG123" t="str">
        <f t="shared" si="70"/>
        <v>"lifts":"0",</v>
      </c>
      <c r="BH123" t="str">
        <f t="shared" si="71"/>
        <v>"division":"--",</v>
      </c>
      <c r="BI123" t="str">
        <f t="shared" si="72"/>
        <v>"wc":"0",</v>
      </c>
      <c r="BJ123" t="str">
        <f t="shared" si="73"/>
        <v>"bw":"",</v>
      </c>
      <c r="BK123" t="str">
        <f t="shared" si="74"/>
        <v>"pb":[0,0,0,0],</v>
      </c>
      <c r="BL123" t="str">
        <f t="shared" si="46"/>
        <v>"idx":"23",</v>
      </c>
      <c r="BM123" t="str">
        <f t="shared" si="47"/>
        <v>"sr":"0",</v>
      </c>
      <c r="BN123" t="str">
        <f t="shared" si="48"/>
        <v>"br":"0",</v>
      </c>
      <c r="BO123" t="str">
        <f t="shared" si="49"/>
        <v>"row":0,</v>
      </c>
      <c r="BP123" t="s">
        <v>55</v>
      </c>
      <c r="BQ123" t="str">
        <f t="shared" si="50"/>
        <v>"sq":{"a1":0,"a2":"","a3":"","s1":0,"s2":0,"s3":0},"bp":{"a1":0,"a2":"","a3":"","s1":0,"s2":0,"s3":0},"dl":{"a1":0,"a2":"","a3":"","s1":0,"s2":0,"s3":0},"sortOrder":0,"act":{}}</v>
      </c>
      <c r="BR123" t="str">
        <f t="shared" si="75"/>
        <v>{"group":"A","lot":0,"name":"0","team":"","year":"0","gender":"0","gear":"0","lifts":"0","division":"--","wc":"0","bw":"","pb":[0,0,0,0],"idx":"23","sr":"0","br":"0","row":0,"sq":{"a1":0,"a2":"","a3":"","s1":0,"s2":0,"s3":0},"bp":{"a1":0,"a2":"","a3":"","s1":0,"s2":0,"s3":0},"dl":{"a1":0,"a2":"","a3":"","s1":0,"s2":0,"s3":0},"sortOrder":0,"act":{}}</v>
      </c>
    </row>
    <row r="124" spans="5:70" x14ac:dyDescent="0.25">
      <c r="E124" s="128"/>
      <c r="F124" s="129"/>
      <c r="G124" s="129"/>
      <c r="H124" s="129"/>
      <c r="I124" s="129"/>
      <c r="J124" s="129"/>
      <c r="K124" s="129"/>
      <c r="L124" s="130"/>
      <c r="M124" s="131"/>
      <c r="N124" s="130"/>
      <c r="O124" s="148">
        <f t="shared" ca="1" si="76"/>
        <v>2023</v>
      </c>
      <c r="P124" s="129"/>
      <c r="Q124" s="129"/>
      <c r="R124" s="129"/>
      <c r="S124" s="129"/>
      <c r="T124" s="129"/>
      <c r="U124" s="129"/>
      <c r="V124" s="129"/>
      <c r="W124" s="129"/>
      <c r="X124" s="129"/>
      <c r="Y124" s="132"/>
      <c r="Z124" s="133"/>
      <c r="AA124" s="133"/>
      <c r="AB124" s="134"/>
      <c r="AE124" s="15" t="str">
        <f t="shared" si="77"/>
        <v>A</v>
      </c>
      <c r="AF124" s="8">
        <f t="shared" si="43"/>
        <v>0</v>
      </c>
      <c r="AG124" s="9">
        <f t="shared" si="51"/>
        <v>0</v>
      </c>
      <c r="AH124" s="9" t="str">
        <f t="shared" si="52"/>
        <v/>
      </c>
      <c r="AI124" s="8">
        <f t="shared" si="44"/>
        <v>0</v>
      </c>
      <c r="AJ124" s="45">
        <f t="shared" si="53"/>
        <v>0</v>
      </c>
      <c r="AK124" s="45">
        <f t="shared" si="54"/>
        <v>0</v>
      </c>
      <c r="AL124" s="45">
        <f t="shared" si="55"/>
        <v>0</v>
      </c>
      <c r="AM124" s="8" t="str">
        <f t="shared" si="56"/>
        <v>--</v>
      </c>
      <c r="AN124" s="10">
        <f t="shared" si="57"/>
        <v>0</v>
      </c>
      <c r="AO124" s="10">
        <f t="shared" si="58"/>
        <v>0</v>
      </c>
      <c r="AP124" s="10">
        <f t="shared" si="59"/>
        <v>0</v>
      </c>
      <c r="AQ124" s="10">
        <f t="shared" si="60"/>
        <v>0</v>
      </c>
      <c r="AR124" s="10">
        <f t="shared" si="61"/>
        <v>0</v>
      </c>
      <c r="AS124" s="8">
        <v>23</v>
      </c>
      <c r="AT124" s="9">
        <f t="shared" si="62"/>
        <v>0</v>
      </c>
      <c r="AU124" s="11">
        <f t="shared" si="63"/>
        <v>0</v>
      </c>
      <c r="AV124" s="6"/>
      <c r="AW124" s="6"/>
      <c r="AX124" s="6"/>
      <c r="AZ124" t="str">
        <f t="shared" si="64"/>
        <v>{"group":"A",</v>
      </c>
      <c r="BA124" t="str">
        <f t="shared" si="45"/>
        <v>"lot":0,</v>
      </c>
      <c r="BB124" t="str">
        <f t="shared" si="65"/>
        <v>"name":"0",</v>
      </c>
      <c r="BC124" t="str">
        <f t="shared" si="66"/>
        <v>"team":"",</v>
      </c>
      <c r="BD124" t="str">
        <f t="shared" si="67"/>
        <v>"year":"0",</v>
      </c>
      <c r="BE124" t="str">
        <f t="shared" si="68"/>
        <v>"gender":"0",</v>
      </c>
      <c r="BF124" t="str">
        <f t="shared" si="69"/>
        <v>"gear":"0",</v>
      </c>
      <c r="BG124" t="str">
        <f t="shared" si="70"/>
        <v>"lifts":"0",</v>
      </c>
      <c r="BH124" t="str">
        <f t="shared" si="71"/>
        <v>"division":"--",</v>
      </c>
      <c r="BI124" t="str">
        <f t="shared" si="72"/>
        <v>"wc":"0",</v>
      </c>
      <c r="BJ124" t="str">
        <f t="shared" si="73"/>
        <v>"bw":"",</v>
      </c>
      <c r="BK124" t="str">
        <f t="shared" si="74"/>
        <v>"pb":[0,0,0,0],</v>
      </c>
      <c r="BL124" t="str">
        <f t="shared" si="46"/>
        <v>"idx":"23",</v>
      </c>
      <c r="BM124" t="str">
        <f t="shared" si="47"/>
        <v>"sr":"0",</v>
      </c>
      <c r="BN124" t="str">
        <f t="shared" si="48"/>
        <v>"br":"0",</v>
      </c>
      <c r="BO124" t="str">
        <f t="shared" si="49"/>
        <v>"row":0,</v>
      </c>
      <c r="BP124" t="s">
        <v>55</v>
      </c>
      <c r="BQ124" t="str">
        <f t="shared" si="50"/>
        <v>"sq":{"a1":0,"a2":"","a3":"","s1":0,"s2":0,"s3":0},"bp":{"a1":0,"a2":"","a3":"","s1":0,"s2":0,"s3":0},"dl":{"a1":0,"a2":"","a3":"","s1":0,"s2":0,"s3":0},"sortOrder":0,"act":{}}</v>
      </c>
      <c r="BR124" t="str">
        <f t="shared" si="75"/>
        <v>{"group":"A","lot":0,"name":"0","team":"","year":"0","gender":"0","gear":"0","lifts":"0","division":"--","wc":"0","bw":"","pb":[0,0,0,0],"idx":"23","sr":"0","br":"0","row":0,"sq":{"a1":0,"a2":"","a3":"","s1":0,"s2":0,"s3":0},"bp":{"a1":0,"a2":"","a3":"","s1":0,"s2":0,"s3":0},"dl":{"a1":0,"a2":"","a3":"","s1":0,"s2":0,"s3":0},"sortOrder":0,"act":{}}</v>
      </c>
    </row>
    <row r="125" spans="5:70" x14ac:dyDescent="0.25">
      <c r="E125" s="128"/>
      <c r="F125" s="129"/>
      <c r="G125" s="129"/>
      <c r="H125" s="129"/>
      <c r="I125" s="129"/>
      <c r="J125" s="129"/>
      <c r="K125" s="129"/>
      <c r="L125" s="130"/>
      <c r="M125" s="131"/>
      <c r="N125" s="130"/>
      <c r="O125" s="148">
        <f t="shared" ca="1" si="76"/>
        <v>2023</v>
      </c>
      <c r="P125" s="129"/>
      <c r="Q125" s="129"/>
      <c r="R125" s="129"/>
      <c r="S125" s="129"/>
      <c r="T125" s="129"/>
      <c r="U125" s="129"/>
      <c r="V125" s="129"/>
      <c r="W125" s="129"/>
      <c r="X125" s="129"/>
      <c r="Y125" s="132"/>
      <c r="Z125" s="133"/>
      <c r="AA125" s="133"/>
      <c r="AB125" s="134"/>
      <c r="AE125" s="15" t="str">
        <f t="shared" si="77"/>
        <v>A</v>
      </c>
      <c r="AF125" s="8">
        <f t="shared" si="43"/>
        <v>0</v>
      </c>
      <c r="AG125" s="9">
        <f t="shared" si="51"/>
        <v>0</v>
      </c>
      <c r="AH125" s="9" t="str">
        <f t="shared" si="52"/>
        <v/>
      </c>
      <c r="AI125" s="8">
        <f t="shared" si="44"/>
        <v>0</v>
      </c>
      <c r="AJ125" s="45">
        <f t="shared" si="53"/>
        <v>0</v>
      </c>
      <c r="AK125" s="45">
        <f t="shared" si="54"/>
        <v>0</v>
      </c>
      <c r="AL125" s="45">
        <f t="shared" si="55"/>
        <v>0</v>
      </c>
      <c r="AM125" s="8" t="str">
        <f t="shared" si="56"/>
        <v>--</v>
      </c>
      <c r="AN125" s="10">
        <f t="shared" si="57"/>
        <v>0</v>
      </c>
      <c r="AO125" s="10">
        <f t="shared" si="58"/>
        <v>0</v>
      </c>
      <c r="AP125" s="10">
        <f t="shared" si="59"/>
        <v>0</v>
      </c>
      <c r="AQ125" s="10">
        <f t="shared" si="60"/>
        <v>0</v>
      </c>
      <c r="AR125" s="10">
        <f t="shared" si="61"/>
        <v>0</v>
      </c>
      <c r="AS125" s="8">
        <v>23</v>
      </c>
      <c r="AT125" s="9">
        <f t="shared" si="62"/>
        <v>0</v>
      </c>
      <c r="AU125" s="11">
        <f t="shared" si="63"/>
        <v>0</v>
      </c>
      <c r="AV125" s="6"/>
      <c r="AW125" s="6"/>
      <c r="AX125" s="6"/>
      <c r="AZ125" t="str">
        <f t="shared" si="64"/>
        <v>{"group":"A",</v>
      </c>
      <c r="BA125" t="str">
        <f t="shared" si="45"/>
        <v>"lot":0,</v>
      </c>
      <c r="BB125" t="str">
        <f t="shared" si="65"/>
        <v>"name":"0",</v>
      </c>
      <c r="BC125" t="str">
        <f t="shared" si="66"/>
        <v>"team":"",</v>
      </c>
      <c r="BD125" t="str">
        <f t="shared" si="67"/>
        <v>"year":"0",</v>
      </c>
      <c r="BE125" t="str">
        <f t="shared" si="68"/>
        <v>"gender":"0",</v>
      </c>
      <c r="BF125" t="str">
        <f t="shared" si="69"/>
        <v>"gear":"0",</v>
      </c>
      <c r="BG125" t="str">
        <f t="shared" si="70"/>
        <v>"lifts":"0",</v>
      </c>
      <c r="BH125" t="str">
        <f t="shared" si="71"/>
        <v>"division":"--",</v>
      </c>
      <c r="BI125" t="str">
        <f t="shared" si="72"/>
        <v>"wc":"0",</v>
      </c>
      <c r="BJ125" t="str">
        <f t="shared" si="73"/>
        <v>"bw":"",</v>
      </c>
      <c r="BK125" t="str">
        <f t="shared" si="74"/>
        <v>"pb":[0,0,0,0],</v>
      </c>
      <c r="BL125" t="str">
        <f t="shared" si="46"/>
        <v>"idx":"23",</v>
      </c>
      <c r="BM125" t="str">
        <f t="shared" si="47"/>
        <v>"sr":"0",</v>
      </c>
      <c r="BN125" t="str">
        <f t="shared" si="48"/>
        <v>"br":"0",</v>
      </c>
      <c r="BO125" t="str">
        <f t="shared" si="49"/>
        <v>"row":0,</v>
      </c>
      <c r="BP125" t="s">
        <v>55</v>
      </c>
      <c r="BQ125" t="str">
        <f t="shared" si="50"/>
        <v>"sq":{"a1":0,"a2":"","a3":"","s1":0,"s2":0,"s3":0},"bp":{"a1":0,"a2":"","a3":"","s1":0,"s2":0,"s3":0},"dl":{"a1":0,"a2":"","a3":"","s1":0,"s2":0,"s3":0},"sortOrder":0,"act":{}}</v>
      </c>
      <c r="BR125" t="str">
        <f t="shared" si="75"/>
        <v>{"group":"A","lot":0,"name":"0","team":"","year":"0","gender":"0","gear":"0","lifts":"0","division":"--","wc":"0","bw":"","pb":[0,0,0,0],"idx":"23","sr":"0","br":"0","row":0,"sq":{"a1":0,"a2":"","a3":"","s1":0,"s2":0,"s3":0},"bp":{"a1":0,"a2":"","a3":"","s1":0,"s2":0,"s3":0},"dl":{"a1":0,"a2":"","a3":"","s1":0,"s2":0,"s3":0},"sortOrder":0,"act":{}}</v>
      </c>
    </row>
    <row r="126" spans="5:70" x14ac:dyDescent="0.25">
      <c r="E126" s="128"/>
      <c r="F126" s="129"/>
      <c r="G126" s="129"/>
      <c r="H126" s="129"/>
      <c r="I126" s="129"/>
      <c r="J126" s="129"/>
      <c r="K126" s="129"/>
      <c r="L126" s="130"/>
      <c r="M126" s="131"/>
      <c r="N126" s="130"/>
      <c r="O126" s="148">
        <f t="shared" ca="1" si="76"/>
        <v>2023</v>
      </c>
      <c r="P126" s="129"/>
      <c r="Q126" s="129"/>
      <c r="R126" s="129"/>
      <c r="S126" s="129"/>
      <c r="T126" s="129"/>
      <c r="U126" s="129"/>
      <c r="V126" s="129"/>
      <c r="W126" s="129"/>
      <c r="X126" s="129"/>
      <c r="Y126" s="132"/>
      <c r="Z126" s="133"/>
      <c r="AA126" s="133"/>
      <c r="AB126" s="134"/>
      <c r="AE126" s="15" t="str">
        <f t="shared" si="77"/>
        <v>A</v>
      </c>
      <c r="AF126" s="8">
        <f t="shared" si="43"/>
        <v>0</v>
      </c>
      <c r="AG126" s="9">
        <f t="shared" si="51"/>
        <v>0</v>
      </c>
      <c r="AH126" s="9" t="str">
        <f t="shared" si="52"/>
        <v/>
      </c>
      <c r="AI126" s="8">
        <f t="shared" si="44"/>
        <v>0</v>
      </c>
      <c r="AJ126" s="45">
        <f t="shared" si="53"/>
        <v>0</v>
      </c>
      <c r="AK126" s="45">
        <f t="shared" si="54"/>
        <v>0</v>
      </c>
      <c r="AL126" s="45">
        <f t="shared" si="55"/>
        <v>0</v>
      </c>
      <c r="AM126" s="8" t="str">
        <f t="shared" si="56"/>
        <v>--</v>
      </c>
      <c r="AN126" s="10">
        <f t="shared" si="57"/>
        <v>0</v>
      </c>
      <c r="AO126" s="10">
        <f t="shared" si="58"/>
        <v>0</v>
      </c>
      <c r="AP126" s="10">
        <f t="shared" si="59"/>
        <v>0</v>
      </c>
      <c r="AQ126" s="10">
        <f t="shared" si="60"/>
        <v>0</v>
      </c>
      <c r="AR126" s="10">
        <f t="shared" si="61"/>
        <v>0</v>
      </c>
      <c r="AS126" s="8">
        <v>23</v>
      </c>
      <c r="AT126" s="9">
        <f t="shared" si="62"/>
        <v>0</v>
      </c>
      <c r="AU126" s="11">
        <f t="shared" si="63"/>
        <v>0</v>
      </c>
      <c r="AV126" s="6"/>
      <c r="AW126" s="6"/>
      <c r="AX126" s="6"/>
      <c r="AZ126" t="str">
        <f t="shared" si="64"/>
        <v>{"group":"A",</v>
      </c>
      <c r="BA126" t="str">
        <f t="shared" si="45"/>
        <v>"lot":0,</v>
      </c>
      <c r="BB126" t="str">
        <f t="shared" si="65"/>
        <v>"name":"0",</v>
      </c>
      <c r="BC126" t="str">
        <f t="shared" si="66"/>
        <v>"team":"",</v>
      </c>
      <c r="BD126" t="str">
        <f t="shared" si="67"/>
        <v>"year":"0",</v>
      </c>
      <c r="BE126" t="str">
        <f t="shared" si="68"/>
        <v>"gender":"0",</v>
      </c>
      <c r="BF126" t="str">
        <f t="shared" si="69"/>
        <v>"gear":"0",</v>
      </c>
      <c r="BG126" t="str">
        <f t="shared" si="70"/>
        <v>"lifts":"0",</v>
      </c>
      <c r="BH126" t="str">
        <f t="shared" si="71"/>
        <v>"division":"--",</v>
      </c>
      <c r="BI126" t="str">
        <f t="shared" si="72"/>
        <v>"wc":"0",</v>
      </c>
      <c r="BJ126" t="str">
        <f t="shared" si="73"/>
        <v>"bw":"",</v>
      </c>
      <c r="BK126" t="str">
        <f t="shared" si="74"/>
        <v>"pb":[0,0,0,0],</v>
      </c>
      <c r="BL126" t="str">
        <f t="shared" si="46"/>
        <v>"idx":"23",</v>
      </c>
      <c r="BM126" t="str">
        <f t="shared" si="47"/>
        <v>"sr":"0",</v>
      </c>
      <c r="BN126" t="str">
        <f t="shared" si="48"/>
        <v>"br":"0",</v>
      </c>
      <c r="BO126" t="str">
        <f t="shared" si="49"/>
        <v>"row":0,</v>
      </c>
      <c r="BP126" t="s">
        <v>55</v>
      </c>
      <c r="BQ126" t="str">
        <f t="shared" si="50"/>
        <v>"sq":{"a1":0,"a2":"","a3":"","s1":0,"s2":0,"s3":0},"bp":{"a1":0,"a2":"","a3":"","s1":0,"s2":0,"s3":0},"dl":{"a1":0,"a2":"","a3":"","s1":0,"s2":0,"s3":0},"sortOrder":0,"act":{}}</v>
      </c>
      <c r="BR126" t="str">
        <f t="shared" si="75"/>
        <v>{"group":"A","lot":0,"name":"0","team":"","year":"0","gender":"0","gear":"0","lifts":"0","division":"--","wc":"0","bw":"","pb":[0,0,0,0],"idx":"23","sr":"0","br":"0","row":0,"sq":{"a1":0,"a2":"","a3":"","s1":0,"s2":0,"s3":0},"bp":{"a1":0,"a2":"","a3":"","s1":0,"s2":0,"s3":0},"dl":{"a1":0,"a2":"","a3":"","s1":0,"s2":0,"s3":0},"sortOrder":0,"act":{}}</v>
      </c>
    </row>
    <row r="127" spans="5:70" x14ac:dyDescent="0.25">
      <c r="E127" s="128"/>
      <c r="F127" s="129"/>
      <c r="G127" s="129"/>
      <c r="H127" s="129"/>
      <c r="I127" s="129"/>
      <c r="J127" s="129"/>
      <c r="K127" s="129"/>
      <c r="L127" s="130"/>
      <c r="M127" s="131"/>
      <c r="N127" s="130"/>
      <c r="O127" s="148">
        <f t="shared" ca="1" si="76"/>
        <v>2023</v>
      </c>
      <c r="P127" s="129"/>
      <c r="Q127" s="129"/>
      <c r="R127" s="129"/>
      <c r="S127" s="129"/>
      <c r="T127" s="129"/>
      <c r="U127" s="129"/>
      <c r="V127" s="129"/>
      <c r="W127" s="129"/>
      <c r="X127" s="129"/>
      <c r="Y127" s="132"/>
      <c r="Z127" s="133"/>
      <c r="AA127" s="133"/>
      <c r="AB127" s="134"/>
      <c r="AE127" s="15" t="str">
        <f t="shared" si="77"/>
        <v>A</v>
      </c>
      <c r="AF127" s="8">
        <f t="shared" si="43"/>
        <v>0</v>
      </c>
      <c r="AG127" s="9">
        <f t="shared" si="51"/>
        <v>0</v>
      </c>
      <c r="AH127" s="9" t="str">
        <f t="shared" si="52"/>
        <v/>
      </c>
      <c r="AI127" s="8">
        <f t="shared" si="44"/>
        <v>0</v>
      </c>
      <c r="AJ127" s="45">
        <f t="shared" si="53"/>
        <v>0</v>
      </c>
      <c r="AK127" s="45">
        <f t="shared" si="54"/>
        <v>0</v>
      </c>
      <c r="AL127" s="45">
        <f t="shared" si="55"/>
        <v>0</v>
      </c>
      <c r="AM127" s="8" t="str">
        <f t="shared" si="56"/>
        <v>--</v>
      </c>
      <c r="AN127" s="10">
        <f t="shared" si="57"/>
        <v>0</v>
      </c>
      <c r="AO127" s="10">
        <f t="shared" si="58"/>
        <v>0</v>
      </c>
      <c r="AP127" s="10">
        <f t="shared" si="59"/>
        <v>0</v>
      </c>
      <c r="AQ127" s="10">
        <f t="shared" si="60"/>
        <v>0</v>
      </c>
      <c r="AR127" s="10">
        <f t="shared" si="61"/>
        <v>0</v>
      </c>
      <c r="AS127" s="8">
        <v>23</v>
      </c>
      <c r="AT127" s="9">
        <f t="shared" si="62"/>
        <v>0</v>
      </c>
      <c r="AU127" s="11">
        <f t="shared" si="63"/>
        <v>0</v>
      </c>
      <c r="AV127" s="6"/>
      <c r="AW127" s="6"/>
      <c r="AX127" s="6"/>
      <c r="AZ127" t="str">
        <f t="shared" si="64"/>
        <v>{"group":"A",</v>
      </c>
      <c r="BA127" t="str">
        <f t="shared" si="45"/>
        <v>"lot":0,</v>
      </c>
      <c r="BB127" t="str">
        <f t="shared" si="65"/>
        <v>"name":"0",</v>
      </c>
      <c r="BC127" t="str">
        <f t="shared" si="66"/>
        <v>"team":"",</v>
      </c>
      <c r="BD127" t="str">
        <f t="shared" si="67"/>
        <v>"year":"0",</v>
      </c>
      <c r="BE127" t="str">
        <f t="shared" si="68"/>
        <v>"gender":"0",</v>
      </c>
      <c r="BF127" t="str">
        <f t="shared" si="69"/>
        <v>"gear":"0",</v>
      </c>
      <c r="BG127" t="str">
        <f t="shared" si="70"/>
        <v>"lifts":"0",</v>
      </c>
      <c r="BH127" t="str">
        <f t="shared" si="71"/>
        <v>"division":"--",</v>
      </c>
      <c r="BI127" t="str">
        <f t="shared" si="72"/>
        <v>"wc":"0",</v>
      </c>
      <c r="BJ127" t="str">
        <f t="shared" si="73"/>
        <v>"bw":"",</v>
      </c>
      <c r="BK127" t="str">
        <f t="shared" si="74"/>
        <v>"pb":[0,0,0,0],</v>
      </c>
      <c r="BL127" t="str">
        <f t="shared" si="46"/>
        <v>"idx":"23",</v>
      </c>
      <c r="BM127" t="str">
        <f t="shared" si="47"/>
        <v>"sr":"0",</v>
      </c>
      <c r="BN127" t="str">
        <f t="shared" si="48"/>
        <v>"br":"0",</v>
      </c>
      <c r="BO127" t="str">
        <f t="shared" si="49"/>
        <v>"row":0,</v>
      </c>
      <c r="BP127" t="s">
        <v>55</v>
      </c>
      <c r="BQ127" t="str">
        <f t="shared" si="50"/>
        <v>"sq":{"a1":0,"a2":"","a3":"","s1":0,"s2":0,"s3":0},"bp":{"a1":0,"a2":"","a3":"","s1":0,"s2":0,"s3":0},"dl":{"a1":0,"a2":"","a3":"","s1":0,"s2":0,"s3":0},"sortOrder":0,"act":{}}</v>
      </c>
      <c r="BR127" t="str">
        <f t="shared" si="75"/>
        <v>{"group":"A","lot":0,"name":"0","team":"","year":"0","gender":"0","gear":"0","lifts":"0","division":"--","wc":"0","bw":"","pb":[0,0,0,0],"idx":"23","sr":"0","br":"0","row":0,"sq":{"a1":0,"a2":"","a3":"","s1":0,"s2":0,"s3":0},"bp":{"a1":0,"a2":"","a3":"","s1":0,"s2":0,"s3":0},"dl":{"a1":0,"a2":"","a3":"","s1":0,"s2":0,"s3":0},"sortOrder":0,"act":{}}</v>
      </c>
    </row>
    <row r="128" spans="5:70" x14ac:dyDescent="0.25">
      <c r="E128" s="128"/>
      <c r="F128" s="129"/>
      <c r="G128" s="129"/>
      <c r="H128" s="129"/>
      <c r="I128" s="129"/>
      <c r="J128" s="129"/>
      <c r="K128" s="129"/>
      <c r="L128" s="130"/>
      <c r="M128" s="131"/>
      <c r="N128" s="130"/>
      <c r="O128" s="148">
        <f t="shared" ca="1" si="76"/>
        <v>2023</v>
      </c>
      <c r="P128" s="129"/>
      <c r="Q128" s="129"/>
      <c r="R128" s="129"/>
      <c r="S128" s="129"/>
      <c r="T128" s="129"/>
      <c r="U128" s="129"/>
      <c r="V128" s="129"/>
      <c r="W128" s="129"/>
      <c r="X128" s="129"/>
      <c r="Y128" s="132"/>
      <c r="Z128" s="133"/>
      <c r="AA128" s="133"/>
      <c r="AB128" s="134"/>
      <c r="AE128" s="15" t="str">
        <f t="shared" si="77"/>
        <v>A</v>
      </c>
      <c r="AF128" s="8">
        <f t="shared" si="43"/>
        <v>0</v>
      </c>
      <c r="AG128" s="9">
        <f t="shared" si="51"/>
        <v>0</v>
      </c>
      <c r="AH128" s="9" t="str">
        <f t="shared" si="52"/>
        <v/>
      </c>
      <c r="AI128" s="8">
        <f t="shared" si="44"/>
        <v>0</v>
      </c>
      <c r="AJ128" s="45">
        <f t="shared" si="53"/>
        <v>0</v>
      </c>
      <c r="AK128" s="45">
        <f t="shared" si="54"/>
        <v>0</v>
      </c>
      <c r="AL128" s="45">
        <f t="shared" si="55"/>
        <v>0</v>
      </c>
      <c r="AM128" s="8" t="str">
        <f t="shared" si="56"/>
        <v>--</v>
      </c>
      <c r="AN128" s="10">
        <f t="shared" si="57"/>
        <v>0</v>
      </c>
      <c r="AO128" s="10">
        <f t="shared" si="58"/>
        <v>0</v>
      </c>
      <c r="AP128" s="10">
        <f t="shared" si="59"/>
        <v>0</v>
      </c>
      <c r="AQ128" s="10">
        <f t="shared" si="60"/>
        <v>0</v>
      </c>
      <c r="AR128" s="10">
        <f t="shared" si="61"/>
        <v>0</v>
      </c>
      <c r="AS128" s="8">
        <v>23</v>
      </c>
      <c r="AT128" s="9">
        <f t="shared" si="62"/>
        <v>0</v>
      </c>
      <c r="AU128" s="11">
        <f t="shared" si="63"/>
        <v>0</v>
      </c>
      <c r="AV128" s="6"/>
      <c r="AW128" s="6"/>
      <c r="AX128" s="6"/>
      <c r="AZ128" t="str">
        <f t="shared" si="64"/>
        <v>{"group":"A",</v>
      </c>
      <c r="BA128" t="str">
        <f t="shared" si="45"/>
        <v>"lot":0,</v>
      </c>
      <c r="BB128" t="str">
        <f t="shared" si="65"/>
        <v>"name":"0",</v>
      </c>
      <c r="BC128" t="str">
        <f t="shared" si="66"/>
        <v>"team":"",</v>
      </c>
      <c r="BD128" t="str">
        <f t="shared" si="67"/>
        <v>"year":"0",</v>
      </c>
      <c r="BE128" t="str">
        <f t="shared" si="68"/>
        <v>"gender":"0",</v>
      </c>
      <c r="BF128" t="str">
        <f t="shared" si="69"/>
        <v>"gear":"0",</v>
      </c>
      <c r="BG128" t="str">
        <f t="shared" si="70"/>
        <v>"lifts":"0",</v>
      </c>
      <c r="BH128" t="str">
        <f t="shared" si="71"/>
        <v>"division":"--",</v>
      </c>
      <c r="BI128" t="str">
        <f t="shared" si="72"/>
        <v>"wc":"0",</v>
      </c>
      <c r="BJ128" t="str">
        <f t="shared" si="73"/>
        <v>"bw":"",</v>
      </c>
      <c r="BK128" t="str">
        <f t="shared" si="74"/>
        <v>"pb":[0,0,0,0],</v>
      </c>
      <c r="BL128" t="str">
        <f t="shared" si="46"/>
        <v>"idx":"23",</v>
      </c>
      <c r="BM128" t="str">
        <f t="shared" si="47"/>
        <v>"sr":"0",</v>
      </c>
      <c r="BN128" t="str">
        <f t="shared" si="48"/>
        <v>"br":"0",</v>
      </c>
      <c r="BO128" t="str">
        <f t="shared" si="49"/>
        <v>"row":0,</v>
      </c>
      <c r="BP128" t="s">
        <v>55</v>
      </c>
      <c r="BQ128" t="str">
        <f t="shared" si="50"/>
        <v>"sq":{"a1":0,"a2":"","a3":"","s1":0,"s2":0,"s3":0},"bp":{"a1":0,"a2":"","a3":"","s1":0,"s2":0,"s3":0},"dl":{"a1":0,"a2":"","a3":"","s1":0,"s2":0,"s3":0},"sortOrder":0,"act":{}}</v>
      </c>
      <c r="BR128" t="str">
        <f t="shared" si="75"/>
        <v>{"group":"A","lot":0,"name":"0","team":"","year":"0","gender":"0","gear":"0","lifts":"0","division":"--","wc":"0","bw":"","pb":[0,0,0,0],"idx":"23","sr":"0","br":"0","row":0,"sq":{"a1":0,"a2":"","a3":"","s1":0,"s2":0,"s3":0},"bp":{"a1":0,"a2":"","a3":"","s1":0,"s2":0,"s3":0},"dl":{"a1":0,"a2":"","a3":"","s1":0,"s2":0,"s3":0},"sortOrder":0,"act":{}}</v>
      </c>
    </row>
    <row r="129" spans="5:70" x14ac:dyDescent="0.25">
      <c r="E129" s="128"/>
      <c r="F129" s="129"/>
      <c r="G129" s="129"/>
      <c r="H129" s="129"/>
      <c r="I129" s="129"/>
      <c r="J129" s="129"/>
      <c r="K129" s="129"/>
      <c r="L129" s="130"/>
      <c r="M129" s="131"/>
      <c r="N129" s="130"/>
      <c r="O129" s="148">
        <f t="shared" ca="1" si="76"/>
        <v>2023</v>
      </c>
      <c r="P129" s="129"/>
      <c r="Q129" s="129"/>
      <c r="R129" s="129"/>
      <c r="S129" s="129"/>
      <c r="T129" s="129"/>
      <c r="U129" s="129"/>
      <c r="V129" s="129"/>
      <c r="W129" s="129"/>
      <c r="X129" s="129"/>
      <c r="Y129" s="132"/>
      <c r="Z129" s="133"/>
      <c r="AA129" s="133"/>
      <c r="AB129" s="134"/>
      <c r="AE129" s="15" t="str">
        <f t="shared" si="77"/>
        <v>A</v>
      </c>
      <c r="AF129" s="8">
        <f t="shared" si="43"/>
        <v>0</v>
      </c>
      <c r="AG129" s="9">
        <f t="shared" si="51"/>
        <v>0</v>
      </c>
      <c r="AH129" s="9" t="str">
        <f t="shared" si="52"/>
        <v/>
      </c>
      <c r="AI129" s="8">
        <f t="shared" si="44"/>
        <v>0</v>
      </c>
      <c r="AJ129" s="45">
        <f t="shared" si="53"/>
        <v>0</v>
      </c>
      <c r="AK129" s="45">
        <f t="shared" si="54"/>
        <v>0</v>
      </c>
      <c r="AL129" s="45">
        <f t="shared" si="55"/>
        <v>0</v>
      </c>
      <c r="AM129" s="8" t="str">
        <f t="shared" si="56"/>
        <v>--</v>
      </c>
      <c r="AN129" s="10">
        <f t="shared" si="57"/>
        <v>0</v>
      </c>
      <c r="AO129" s="10">
        <f t="shared" si="58"/>
        <v>0</v>
      </c>
      <c r="AP129" s="10">
        <f t="shared" si="59"/>
        <v>0</v>
      </c>
      <c r="AQ129" s="10">
        <f t="shared" si="60"/>
        <v>0</v>
      </c>
      <c r="AR129" s="10">
        <f t="shared" si="61"/>
        <v>0</v>
      </c>
      <c r="AS129" s="8">
        <v>23</v>
      </c>
      <c r="AT129" s="9">
        <f t="shared" si="62"/>
        <v>0</v>
      </c>
      <c r="AU129" s="11">
        <f t="shared" si="63"/>
        <v>0</v>
      </c>
      <c r="AV129" s="6"/>
      <c r="AW129" s="6"/>
      <c r="AX129" s="6"/>
      <c r="AZ129" t="str">
        <f t="shared" si="64"/>
        <v>{"group":"A",</v>
      </c>
      <c r="BA129" t="str">
        <f t="shared" si="45"/>
        <v>"lot":0,</v>
      </c>
      <c r="BB129" t="str">
        <f t="shared" si="65"/>
        <v>"name":"0",</v>
      </c>
      <c r="BC129" t="str">
        <f t="shared" si="66"/>
        <v>"team":"",</v>
      </c>
      <c r="BD129" t="str">
        <f t="shared" si="67"/>
        <v>"year":"0",</v>
      </c>
      <c r="BE129" t="str">
        <f t="shared" si="68"/>
        <v>"gender":"0",</v>
      </c>
      <c r="BF129" t="str">
        <f t="shared" si="69"/>
        <v>"gear":"0",</v>
      </c>
      <c r="BG129" t="str">
        <f t="shared" si="70"/>
        <v>"lifts":"0",</v>
      </c>
      <c r="BH129" t="str">
        <f t="shared" si="71"/>
        <v>"division":"--",</v>
      </c>
      <c r="BI129" t="str">
        <f t="shared" si="72"/>
        <v>"wc":"0",</v>
      </c>
      <c r="BJ129" t="str">
        <f t="shared" si="73"/>
        <v>"bw":"",</v>
      </c>
      <c r="BK129" t="str">
        <f t="shared" si="74"/>
        <v>"pb":[0,0,0,0],</v>
      </c>
      <c r="BL129" t="str">
        <f t="shared" si="46"/>
        <v>"idx":"23",</v>
      </c>
      <c r="BM129" t="str">
        <f t="shared" si="47"/>
        <v>"sr":"0",</v>
      </c>
      <c r="BN129" t="str">
        <f t="shared" si="48"/>
        <v>"br":"0",</v>
      </c>
      <c r="BO129" t="str">
        <f t="shared" si="49"/>
        <v>"row":0,</v>
      </c>
      <c r="BP129" t="s">
        <v>55</v>
      </c>
      <c r="BQ129" t="str">
        <f t="shared" si="50"/>
        <v>"sq":{"a1":0,"a2":"","a3":"","s1":0,"s2":0,"s3":0},"bp":{"a1":0,"a2":"","a3":"","s1":0,"s2":0,"s3":0},"dl":{"a1":0,"a2":"","a3":"","s1":0,"s2":0,"s3":0},"sortOrder":0,"act":{}}</v>
      </c>
      <c r="BR129" t="str">
        <f t="shared" si="75"/>
        <v>{"group":"A","lot":0,"name":"0","team":"","year":"0","gender":"0","gear":"0","lifts":"0","division":"--","wc":"0","bw":"","pb":[0,0,0,0],"idx":"23","sr":"0","br":"0","row":0,"sq":{"a1":0,"a2":"","a3":"","s1":0,"s2":0,"s3":0},"bp":{"a1":0,"a2":"","a3":"","s1":0,"s2":0,"s3":0},"dl":{"a1":0,"a2":"","a3":"","s1":0,"s2":0,"s3":0},"sortOrder":0,"act":{}}</v>
      </c>
    </row>
    <row r="130" spans="5:70" x14ac:dyDescent="0.25">
      <c r="E130" s="128"/>
      <c r="F130" s="129"/>
      <c r="G130" s="129"/>
      <c r="H130" s="129"/>
      <c r="I130" s="129"/>
      <c r="J130" s="129"/>
      <c r="K130" s="129"/>
      <c r="L130" s="130"/>
      <c r="M130" s="131"/>
      <c r="N130" s="130"/>
      <c r="O130" s="148">
        <f t="shared" ca="1" si="76"/>
        <v>2023</v>
      </c>
      <c r="P130" s="129"/>
      <c r="Q130" s="129"/>
      <c r="R130" s="129"/>
      <c r="S130" s="129"/>
      <c r="T130" s="129"/>
      <c r="U130" s="129"/>
      <c r="V130" s="129"/>
      <c r="W130" s="129"/>
      <c r="X130" s="129"/>
      <c r="Y130" s="132"/>
      <c r="Z130" s="133"/>
      <c r="AA130" s="133"/>
      <c r="AB130" s="134"/>
      <c r="AE130" s="15" t="str">
        <f t="shared" si="77"/>
        <v>A</v>
      </c>
      <c r="AF130" s="8">
        <f t="shared" si="43"/>
        <v>0</v>
      </c>
      <c r="AG130" s="9">
        <f t="shared" si="51"/>
        <v>0</v>
      </c>
      <c r="AH130" s="9" t="str">
        <f t="shared" si="52"/>
        <v/>
      </c>
      <c r="AI130" s="8">
        <f t="shared" si="44"/>
        <v>0</v>
      </c>
      <c r="AJ130" s="45">
        <f t="shared" si="53"/>
        <v>0</v>
      </c>
      <c r="AK130" s="45">
        <f t="shared" si="54"/>
        <v>0</v>
      </c>
      <c r="AL130" s="45">
        <f t="shared" si="55"/>
        <v>0</v>
      </c>
      <c r="AM130" s="8" t="str">
        <f t="shared" si="56"/>
        <v>--</v>
      </c>
      <c r="AN130" s="10">
        <f t="shared" si="57"/>
        <v>0</v>
      </c>
      <c r="AO130" s="10">
        <f t="shared" si="58"/>
        <v>0</v>
      </c>
      <c r="AP130" s="10">
        <f t="shared" si="59"/>
        <v>0</v>
      </c>
      <c r="AQ130" s="10">
        <f t="shared" si="60"/>
        <v>0</v>
      </c>
      <c r="AR130" s="10">
        <f t="shared" si="61"/>
        <v>0</v>
      </c>
      <c r="AS130" s="8">
        <v>23</v>
      </c>
      <c r="AT130" s="9">
        <f t="shared" si="62"/>
        <v>0</v>
      </c>
      <c r="AU130" s="11">
        <f t="shared" si="63"/>
        <v>0</v>
      </c>
      <c r="AV130" s="6"/>
      <c r="AW130" s="6"/>
      <c r="AX130" s="6"/>
      <c r="AZ130" t="str">
        <f t="shared" si="64"/>
        <v>{"group":"A",</v>
      </c>
      <c r="BA130" t="str">
        <f t="shared" si="45"/>
        <v>"lot":0,</v>
      </c>
      <c r="BB130" t="str">
        <f t="shared" si="65"/>
        <v>"name":"0",</v>
      </c>
      <c r="BC130" t="str">
        <f t="shared" si="66"/>
        <v>"team":"",</v>
      </c>
      <c r="BD130" t="str">
        <f t="shared" si="67"/>
        <v>"year":"0",</v>
      </c>
      <c r="BE130" t="str">
        <f t="shared" si="68"/>
        <v>"gender":"0",</v>
      </c>
      <c r="BF130" t="str">
        <f t="shared" si="69"/>
        <v>"gear":"0",</v>
      </c>
      <c r="BG130" t="str">
        <f t="shared" si="70"/>
        <v>"lifts":"0",</v>
      </c>
      <c r="BH130" t="str">
        <f t="shared" si="71"/>
        <v>"division":"--",</v>
      </c>
      <c r="BI130" t="str">
        <f t="shared" si="72"/>
        <v>"wc":"0",</v>
      </c>
      <c r="BJ130" t="str">
        <f t="shared" si="73"/>
        <v>"bw":"",</v>
      </c>
      <c r="BK130" t="str">
        <f t="shared" si="74"/>
        <v>"pb":[0,0,0,0],</v>
      </c>
      <c r="BL130" t="str">
        <f t="shared" si="46"/>
        <v>"idx":"23",</v>
      </c>
      <c r="BM130" t="str">
        <f t="shared" si="47"/>
        <v>"sr":"0",</v>
      </c>
      <c r="BN130" t="str">
        <f t="shared" si="48"/>
        <v>"br":"0",</v>
      </c>
      <c r="BO130" t="str">
        <f t="shared" si="49"/>
        <v>"row":0,</v>
      </c>
      <c r="BP130" t="s">
        <v>55</v>
      </c>
      <c r="BQ130" t="str">
        <f t="shared" si="50"/>
        <v>"sq":{"a1":0,"a2":"","a3":"","s1":0,"s2":0,"s3":0},"bp":{"a1":0,"a2":"","a3":"","s1":0,"s2":0,"s3":0},"dl":{"a1":0,"a2":"","a3":"","s1":0,"s2":0,"s3":0},"sortOrder":0,"act":{}}</v>
      </c>
      <c r="BR130" t="str">
        <f t="shared" si="75"/>
        <v>{"group":"A","lot":0,"name":"0","team":"","year":"0","gender":"0","gear":"0","lifts":"0","division":"--","wc":"0","bw":"","pb":[0,0,0,0],"idx":"23","sr":"0","br":"0","row":0,"sq":{"a1":0,"a2":"","a3":"","s1":0,"s2":0,"s3":0},"bp":{"a1":0,"a2":"","a3":"","s1":0,"s2":0,"s3":0},"dl":{"a1":0,"a2":"","a3":"","s1":0,"s2":0,"s3":0},"sortOrder":0,"act":{}}</v>
      </c>
    </row>
    <row r="131" spans="5:70" x14ac:dyDescent="0.25">
      <c r="E131" s="128"/>
      <c r="F131" s="129"/>
      <c r="G131" s="129"/>
      <c r="H131" s="129"/>
      <c r="I131" s="129"/>
      <c r="J131" s="129"/>
      <c r="K131" s="129"/>
      <c r="L131" s="130"/>
      <c r="M131" s="131"/>
      <c r="N131" s="130"/>
      <c r="O131" s="148">
        <f t="shared" ca="1" si="76"/>
        <v>2023</v>
      </c>
      <c r="P131" s="129"/>
      <c r="Q131" s="129"/>
      <c r="R131" s="129"/>
      <c r="S131" s="129"/>
      <c r="T131" s="129"/>
      <c r="U131" s="129"/>
      <c r="V131" s="129"/>
      <c r="W131" s="129"/>
      <c r="X131" s="129"/>
      <c r="Y131" s="132"/>
      <c r="Z131" s="133"/>
      <c r="AA131" s="133"/>
      <c r="AB131" s="134"/>
      <c r="AE131" s="15" t="str">
        <f t="shared" si="77"/>
        <v>A</v>
      </c>
      <c r="AF131" s="8">
        <f t="shared" si="43"/>
        <v>0</v>
      </c>
      <c r="AG131" s="9">
        <f t="shared" si="51"/>
        <v>0</v>
      </c>
      <c r="AH131" s="9" t="str">
        <f t="shared" si="52"/>
        <v/>
      </c>
      <c r="AI131" s="8">
        <f t="shared" si="44"/>
        <v>0</v>
      </c>
      <c r="AJ131" s="45">
        <f t="shared" si="53"/>
        <v>0</v>
      </c>
      <c r="AK131" s="45">
        <f t="shared" si="54"/>
        <v>0</v>
      </c>
      <c r="AL131" s="45">
        <f t="shared" si="55"/>
        <v>0</v>
      </c>
      <c r="AM131" s="8" t="str">
        <f t="shared" si="56"/>
        <v>--</v>
      </c>
      <c r="AN131" s="10">
        <f t="shared" si="57"/>
        <v>0</v>
      </c>
      <c r="AO131" s="10">
        <f t="shared" si="58"/>
        <v>0</v>
      </c>
      <c r="AP131" s="10">
        <f t="shared" si="59"/>
        <v>0</v>
      </c>
      <c r="AQ131" s="10">
        <f t="shared" si="60"/>
        <v>0</v>
      </c>
      <c r="AR131" s="10">
        <f t="shared" si="61"/>
        <v>0</v>
      </c>
      <c r="AS131" s="8">
        <v>23</v>
      </c>
      <c r="AT131" s="9">
        <f t="shared" si="62"/>
        <v>0</v>
      </c>
      <c r="AU131" s="11">
        <f t="shared" si="63"/>
        <v>0</v>
      </c>
      <c r="AV131" s="6"/>
      <c r="AW131" s="6"/>
      <c r="AX131" s="6"/>
      <c r="AZ131" t="str">
        <f t="shared" si="64"/>
        <v>{"group":"A",</v>
      </c>
      <c r="BA131" t="str">
        <f t="shared" si="45"/>
        <v>"lot":0,</v>
      </c>
      <c r="BB131" t="str">
        <f t="shared" si="65"/>
        <v>"name":"0",</v>
      </c>
      <c r="BC131" t="str">
        <f t="shared" si="66"/>
        <v>"team":"",</v>
      </c>
      <c r="BD131" t="str">
        <f t="shared" si="67"/>
        <v>"year":"0",</v>
      </c>
      <c r="BE131" t="str">
        <f t="shared" si="68"/>
        <v>"gender":"0",</v>
      </c>
      <c r="BF131" t="str">
        <f t="shared" si="69"/>
        <v>"gear":"0",</v>
      </c>
      <c r="BG131" t="str">
        <f t="shared" si="70"/>
        <v>"lifts":"0",</v>
      </c>
      <c r="BH131" t="str">
        <f t="shared" si="71"/>
        <v>"division":"--",</v>
      </c>
      <c r="BI131" t="str">
        <f t="shared" si="72"/>
        <v>"wc":"0",</v>
      </c>
      <c r="BJ131" t="str">
        <f t="shared" si="73"/>
        <v>"bw":"",</v>
      </c>
      <c r="BK131" t="str">
        <f t="shared" si="74"/>
        <v>"pb":[0,0,0,0],</v>
      </c>
      <c r="BL131" t="str">
        <f t="shared" si="46"/>
        <v>"idx":"23",</v>
      </c>
      <c r="BM131" t="str">
        <f t="shared" si="47"/>
        <v>"sr":"0",</v>
      </c>
      <c r="BN131" t="str">
        <f t="shared" si="48"/>
        <v>"br":"0",</v>
      </c>
      <c r="BO131" t="str">
        <f t="shared" si="49"/>
        <v>"row":0,</v>
      </c>
      <c r="BP131" t="s">
        <v>55</v>
      </c>
      <c r="BQ131" t="str">
        <f t="shared" si="50"/>
        <v>"sq":{"a1":0,"a2":"","a3":"","s1":0,"s2":0,"s3":0},"bp":{"a1":0,"a2":"","a3":"","s1":0,"s2":0,"s3":0},"dl":{"a1":0,"a2":"","a3":"","s1":0,"s2":0,"s3":0},"sortOrder":0,"act":{}}</v>
      </c>
      <c r="BR131" t="str">
        <f t="shared" si="75"/>
        <v>{"group":"A","lot":0,"name":"0","team":"","year":"0","gender":"0","gear":"0","lifts":"0","division":"--","wc":"0","bw":"","pb":[0,0,0,0],"idx":"23","sr":"0","br":"0","row":0,"sq":{"a1":0,"a2":"","a3":"","s1":0,"s2":0,"s3":0},"bp":{"a1":0,"a2":"","a3":"","s1":0,"s2":0,"s3":0},"dl":{"a1":0,"a2":"","a3":"","s1":0,"s2":0,"s3":0},"sortOrder":0,"act":{}}</v>
      </c>
    </row>
    <row r="132" spans="5:70" x14ac:dyDescent="0.25">
      <c r="E132" s="128"/>
      <c r="F132" s="129"/>
      <c r="G132" s="129"/>
      <c r="H132" s="129"/>
      <c r="I132" s="129"/>
      <c r="J132" s="129"/>
      <c r="K132" s="129"/>
      <c r="L132" s="130"/>
      <c r="M132" s="131"/>
      <c r="N132" s="130"/>
      <c r="O132" s="148">
        <f t="shared" ca="1" si="76"/>
        <v>2023</v>
      </c>
      <c r="P132" s="129"/>
      <c r="Q132" s="129"/>
      <c r="R132" s="129"/>
      <c r="S132" s="129"/>
      <c r="T132" s="129"/>
      <c r="U132" s="129"/>
      <c r="V132" s="129"/>
      <c r="W132" s="129"/>
      <c r="X132" s="129"/>
      <c r="Y132" s="132"/>
      <c r="Z132" s="133"/>
      <c r="AA132" s="133"/>
      <c r="AB132" s="134"/>
      <c r="AE132" s="15" t="str">
        <f t="shared" si="77"/>
        <v>A</v>
      </c>
      <c r="AF132" s="8">
        <f t="shared" ref="AF132:AF195" si="78">G132</f>
        <v>0</v>
      </c>
      <c r="AG132" s="9">
        <f t="shared" si="51"/>
        <v>0</v>
      </c>
      <c r="AH132" s="9" t="str">
        <f t="shared" si="52"/>
        <v/>
      </c>
      <c r="AI132" s="8">
        <f t="shared" ref="AI132:AI195" si="79">K132</f>
        <v>0</v>
      </c>
      <c r="AJ132" s="45">
        <f t="shared" si="53"/>
        <v>0</v>
      </c>
      <c r="AK132" s="45">
        <f t="shared" si="54"/>
        <v>0</v>
      </c>
      <c r="AL132" s="45">
        <f t="shared" si="55"/>
        <v>0</v>
      </c>
      <c r="AM132" s="8" t="str">
        <f t="shared" si="56"/>
        <v>--</v>
      </c>
      <c r="AN132" s="10">
        <f t="shared" si="57"/>
        <v>0</v>
      </c>
      <c r="AO132" s="10">
        <f t="shared" si="58"/>
        <v>0</v>
      </c>
      <c r="AP132" s="10">
        <f t="shared" si="59"/>
        <v>0</v>
      </c>
      <c r="AQ132" s="10">
        <f t="shared" si="60"/>
        <v>0</v>
      </c>
      <c r="AR132" s="10">
        <f t="shared" si="61"/>
        <v>0</v>
      </c>
      <c r="AS132" s="8">
        <v>23</v>
      </c>
      <c r="AT132" s="9">
        <f t="shared" si="62"/>
        <v>0</v>
      </c>
      <c r="AU132" s="11">
        <f t="shared" si="63"/>
        <v>0</v>
      </c>
      <c r="AV132" s="6"/>
      <c r="AW132" s="6"/>
      <c r="AX132" s="6"/>
      <c r="AZ132" t="str">
        <f t="shared" si="64"/>
        <v>{"group":"A",</v>
      </c>
      <c r="BA132" t="str">
        <f t="shared" ref="BA132:BA195" si="80">AF$3&amp;":"&amp;AF132&amp;","</f>
        <v>"lot":0,</v>
      </c>
      <c r="BB132" t="str">
        <f t="shared" si="65"/>
        <v>"name":"0",</v>
      </c>
      <c r="BC132" t="str">
        <f t="shared" si="66"/>
        <v>"team":"",</v>
      </c>
      <c r="BD132" t="str">
        <f t="shared" si="67"/>
        <v>"year":"0",</v>
      </c>
      <c r="BE132" t="str">
        <f t="shared" si="68"/>
        <v>"gender":"0",</v>
      </c>
      <c r="BF132" t="str">
        <f t="shared" si="69"/>
        <v>"gear":"0",</v>
      </c>
      <c r="BG132" t="str">
        <f t="shared" si="70"/>
        <v>"lifts":"0",</v>
      </c>
      <c r="BH132" t="str">
        <f t="shared" si="71"/>
        <v>"division":"--",</v>
      </c>
      <c r="BI132" t="str">
        <f t="shared" si="72"/>
        <v>"wc":"0",</v>
      </c>
      <c r="BJ132" t="str">
        <f t="shared" si="73"/>
        <v>"bw":"",</v>
      </c>
      <c r="BK132" t="str">
        <f t="shared" si="74"/>
        <v>"pb":[0,0,0,0],</v>
      </c>
      <c r="BL132" t="str">
        <f t="shared" ref="BL132:BL195" si="81">AS$3&amp;":"&amp;CHAR(34)&amp;AS132&amp;CHAR(34)&amp;","</f>
        <v>"idx":"23",</v>
      </c>
      <c r="BM132" t="str">
        <f t="shared" ref="BM132:BM195" si="82">AT$3&amp;":"&amp;CHAR(34)&amp;AT132&amp;CHAR(34)&amp;","</f>
        <v>"sr":"0",</v>
      </c>
      <c r="BN132" t="str">
        <f t="shared" ref="BN132:BN195" si="83">AU$3&amp;":"&amp;CHAR(34)&amp;AU132&amp;CHAR(34)&amp;","</f>
        <v>"br":"0",</v>
      </c>
      <c r="BO132" t="str">
        <f t="shared" ref="BO132:BO195" si="84">CHAR(34)&amp;"row"&amp;CHAR(34)&amp;":"&amp;AF132&amp;","</f>
        <v>"row":0,</v>
      </c>
      <c r="BP132" t="s">
        <v>55</v>
      </c>
      <c r="BQ132" t="str">
        <f t="shared" ref="BQ132:BQ195" si="85">SUBSTITUTE(SUBSTITUTE(SUBSTITUTE(BP132,"999.5",IF(ISBLANK(Z132),"0",Z132)),"888.5",IF(ISBLANK(AA132),"0",AA132)),"555.5",IF(ISBLANK(AB132),"0",AB132))</f>
        <v>"sq":{"a1":0,"a2":"","a3":"","s1":0,"s2":0,"s3":0},"bp":{"a1":0,"a2":"","a3":"","s1":0,"s2":0,"s3":0},"dl":{"a1":0,"a2":"","a3":"","s1":0,"s2":0,"s3":0},"sortOrder":0,"act":{}}</v>
      </c>
      <c r="BR132" t="str">
        <f t="shared" si="75"/>
        <v>{"group":"A","lot":0,"name":"0","team":"","year":"0","gender":"0","gear":"0","lifts":"0","division":"--","wc":"0","bw":"","pb":[0,0,0,0],"idx":"23","sr":"0","br":"0","row":0,"sq":{"a1":0,"a2":"","a3":"","s1":0,"s2":0,"s3":0},"bp":{"a1":0,"a2":"","a3":"","s1":0,"s2":0,"s3":0},"dl":{"a1":0,"a2":"","a3":"","s1":0,"s2":0,"s3":0},"sortOrder":0,"act":{}}</v>
      </c>
    </row>
    <row r="133" spans="5:70" x14ac:dyDescent="0.25">
      <c r="E133" s="128"/>
      <c r="F133" s="129"/>
      <c r="G133" s="129"/>
      <c r="H133" s="129"/>
      <c r="I133" s="129"/>
      <c r="J133" s="129"/>
      <c r="K133" s="129"/>
      <c r="L133" s="130"/>
      <c r="M133" s="131"/>
      <c r="N133" s="130"/>
      <c r="O133" s="148">
        <f t="shared" ca="1" si="76"/>
        <v>2023</v>
      </c>
      <c r="P133" s="129"/>
      <c r="Q133" s="129"/>
      <c r="R133" s="129"/>
      <c r="S133" s="129"/>
      <c r="T133" s="129"/>
      <c r="U133" s="129"/>
      <c r="V133" s="129"/>
      <c r="W133" s="129"/>
      <c r="X133" s="129"/>
      <c r="Y133" s="132"/>
      <c r="Z133" s="133"/>
      <c r="AA133" s="133"/>
      <c r="AB133" s="134"/>
      <c r="AE133" s="15" t="str">
        <f t="shared" si="77"/>
        <v>A</v>
      </c>
      <c r="AF133" s="8">
        <f t="shared" si="78"/>
        <v>0</v>
      </c>
      <c r="AG133" s="9">
        <f t="shared" ref="AG133:AG196" si="86">IF(ISBLANK(H133),I133,H133&amp;" " &amp;I133)</f>
        <v>0</v>
      </c>
      <c r="AH133" s="9" t="str">
        <f t="shared" ref="AH133:AH196" si="87">IF(ISBLANK(J133),"",J133)</f>
        <v/>
      </c>
      <c r="AI133" s="8">
        <f t="shared" si="79"/>
        <v>0</v>
      </c>
      <c r="AJ133" s="45">
        <f t="shared" ref="AJ133:AJ196" si="88">N133</f>
        <v>0</v>
      </c>
      <c r="AK133" s="45">
        <f t="shared" ref="AK133:AK196" si="89">L133</f>
        <v>0</v>
      </c>
      <c r="AL133" s="45">
        <f t="shared" ref="AL133:AL196" si="90">M133</f>
        <v>0</v>
      </c>
      <c r="AM133" s="8" t="str">
        <f t="shared" ref="AM133:AM196" si="91">LEFT(N133,1)&amp;"-"&amp;L133&amp;"-"&amp;M133</f>
        <v>--</v>
      </c>
      <c r="AN133" s="10">
        <f t="shared" ref="AN133:AN196" si="92">W133</f>
        <v>0</v>
      </c>
      <c r="AO133" s="10">
        <f t="shared" ref="AO133:AO196" si="93">R133</f>
        <v>0</v>
      </c>
      <c r="AP133" s="10">
        <f t="shared" ref="AP133:AP196" si="94">S133</f>
        <v>0</v>
      </c>
      <c r="AQ133" s="10">
        <f t="shared" ref="AQ133:AQ196" si="95">T133</f>
        <v>0</v>
      </c>
      <c r="AR133" s="10">
        <f t="shared" ref="AR133:AR196" si="96">U133</f>
        <v>0</v>
      </c>
      <c r="AS133" s="8">
        <v>23</v>
      </c>
      <c r="AT133" s="9">
        <f t="shared" ref="AT133:AT196" si="97">X133</f>
        <v>0</v>
      </c>
      <c r="AU133" s="11">
        <f t="shared" ref="AU133:AU196" si="98">Y133</f>
        <v>0</v>
      </c>
      <c r="AV133" s="6"/>
      <c r="AW133" s="6"/>
      <c r="AX133" s="6"/>
      <c r="AZ133" t="str">
        <f t="shared" ref="AZ133:AZ196" si="99">"{"&amp;AE$3&amp;":"&amp;CHAR(34)&amp;AE133&amp;CHAR(34)&amp;","</f>
        <v>{"group":"A",</v>
      </c>
      <c r="BA133" t="str">
        <f t="shared" si="80"/>
        <v>"lot":0,</v>
      </c>
      <c r="BB133" t="str">
        <f t="shared" ref="BB133:BB196" si="100">AG$3&amp;":"&amp;CHAR(34)&amp;AG133&amp;CHAR(34)&amp;","</f>
        <v>"name":"0",</v>
      </c>
      <c r="BC133" t="str">
        <f t="shared" ref="BC133:BC196" si="101">AH$3&amp;":"&amp;CHAR(34)&amp;AH133&amp;CHAR(34)&amp;","</f>
        <v>"team":"",</v>
      </c>
      <c r="BD133" t="str">
        <f t="shared" ref="BD133:BD196" si="102">AI$3&amp;":"&amp;CHAR(34)&amp;AI133&amp;CHAR(34)&amp;","</f>
        <v>"year":"0",</v>
      </c>
      <c r="BE133" t="str">
        <f t="shared" ref="BE133:BE196" si="103">AJ$3&amp;":"&amp;CHAR(34)&amp;AJ133&amp;CHAR(34)&amp;","</f>
        <v>"gender":"0",</v>
      </c>
      <c r="BF133" t="str">
        <f t="shared" ref="BF133:BF196" si="104">AK$3&amp;":"&amp;CHAR(34)&amp;AK133&amp;CHAR(34)&amp;","</f>
        <v>"gear":"0",</v>
      </c>
      <c r="BG133" t="str">
        <f t="shared" ref="BG133:BG196" si="105">AL$3&amp;":"&amp;CHAR(34)&amp;AL133&amp;CHAR(34)&amp;","</f>
        <v>"lifts":"0",</v>
      </c>
      <c r="BH133" t="str">
        <f t="shared" ref="BH133:BH196" si="106">AM$3&amp;":"&amp;CHAR(34)&amp;AM133&amp;CHAR(34)&amp;","</f>
        <v>"division":"--",</v>
      </c>
      <c r="BI133" t="str">
        <f t="shared" ref="BI133:BI196" si="107">AN$3&amp;":"&amp;CHAR(34)&amp;AN133&amp;CHAR(34)&amp;","</f>
        <v>"wc":"0",</v>
      </c>
      <c r="BJ133" t="str">
        <f t="shared" ref="BJ133:BJ196" si="108">CHAR(34)&amp;W$3&amp;CHAR(34)&amp;":"&amp;CHAR(34)&amp;W133&amp;CHAR(34)&amp;","</f>
        <v>"bw":"",</v>
      </c>
      <c r="BK133" t="str">
        <f t="shared" ref="BK133:BK196" si="109">CHAR(34)&amp;"pb"&amp;CHAR(34)&amp;":["&amp;AO133&amp;","&amp;AP133&amp;","&amp;AQ133&amp;","&amp;AR133&amp;"],"</f>
        <v>"pb":[0,0,0,0],</v>
      </c>
      <c r="BL133" t="str">
        <f t="shared" si="81"/>
        <v>"idx":"23",</v>
      </c>
      <c r="BM133" t="str">
        <f t="shared" si="82"/>
        <v>"sr":"0",</v>
      </c>
      <c r="BN133" t="str">
        <f t="shared" si="83"/>
        <v>"br":"0",</v>
      </c>
      <c r="BO133" t="str">
        <f t="shared" si="84"/>
        <v>"row":0,</v>
      </c>
      <c r="BP133" t="s">
        <v>55</v>
      </c>
      <c r="BQ133" t="str">
        <f t="shared" si="85"/>
        <v>"sq":{"a1":0,"a2":"","a3":"","s1":0,"s2":0,"s3":0},"bp":{"a1":0,"a2":"","a3":"","s1":0,"s2":0,"s3":0},"dl":{"a1":0,"a2":"","a3":"","s1":0,"s2":0,"s3":0},"sortOrder":0,"act":{}}</v>
      </c>
      <c r="BR133" t="str">
        <f t="shared" ref="BR133:BR196" si="110">AZ133&amp;BA133&amp;BB133&amp;BC133&amp;BD133&amp;BE133&amp;BF133&amp;BG133&amp;BH133&amp;BI133&amp;BJ133&amp;BK133&amp;BL133&amp;BM133&amp;BN133&amp;BO133&amp;BQ133</f>
        <v>{"group":"A","lot":0,"name":"0","team":"","year":"0","gender":"0","gear":"0","lifts":"0","division":"--","wc":"0","bw":"","pb":[0,0,0,0],"idx":"23","sr":"0","br":"0","row":0,"sq":{"a1":0,"a2":"","a3":"","s1":0,"s2":0,"s3":0},"bp":{"a1":0,"a2":"","a3":"","s1":0,"s2":0,"s3":0},"dl":{"a1":0,"a2":"","a3":"","s1":0,"s2":0,"s3":0},"sortOrder":0,"act":{}}</v>
      </c>
    </row>
    <row r="134" spans="5:70" x14ac:dyDescent="0.25">
      <c r="E134" s="128"/>
      <c r="F134" s="129"/>
      <c r="G134" s="129"/>
      <c r="H134" s="129"/>
      <c r="I134" s="129"/>
      <c r="J134" s="129"/>
      <c r="K134" s="129"/>
      <c r="L134" s="130"/>
      <c r="M134" s="131"/>
      <c r="N134" s="130"/>
      <c r="O134" s="148">
        <f t="shared" ref="O134:O197" ca="1" si="111">YEAR(TODAY())-K134</f>
        <v>2023</v>
      </c>
      <c r="P134" s="129"/>
      <c r="Q134" s="129"/>
      <c r="R134" s="129"/>
      <c r="S134" s="129"/>
      <c r="T134" s="129"/>
      <c r="U134" s="129"/>
      <c r="V134" s="129"/>
      <c r="W134" s="129"/>
      <c r="X134" s="129"/>
      <c r="Y134" s="132"/>
      <c r="Z134" s="133"/>
      <c r="AA134" s="133"/>
      <c r="AB134" s="134"/>
      <c r="AE134" s="15" t="str">
        <f t="shared" si="77"/>
        <v>A</v>
      </c>
      <c r="AF134" s="8">
        <f t="shared" si="78"/>
        <v>0</v>
      </c>
      <c r="AG134" s="9">
        <f t="shared" si="86"/>
        <v>0</v>
      </c>
      <c r="AH134" s="9" t="str">
        <f t="shared" si="87"/>
        <v/>
      </c>
      <c r="AI134" s="8">
        <f t="shared" si="79"/>
        <v>0</v>
      </c>
      <c r="AJ134" s="45">
        <f t="shared" si="88"/>
        <v>0</v>
      </c>
      <c r="AK134" s="45">
        <f t="shared" si="89"/>
        <v>0</v>
      </c>
      <c r="AL134" s="45">
        <f t="shared" si="90"/>
        <v>0</v>
      </c>
      <c r="AM134" s="8" t="str">
        <f t="shared" si="91"/>
        <v>--</v>
      </c>
      <c r="AN134" s="10">
        <f t="shared" si="92"/>
        <v>0</v>
      </c>
      <c r="AO134" s="10">
        <f t="shared" si="93"/>
        <v>0</v>
      </c>
      <c r="AP134" s="10">
        <f t="shared" si="94"/>
        <v>0</v>
      </c>
      <c r="AQ134" s="10">
        <f t="shared" si="95"/>
        <v>0</v>
      </c>
      <c r="AR134" s="10">
        <f t="shared" si="96"/>
        <v>0</v>
      </c>
      <c r="AS134" s="8">
        <v>23</v>
      </c>
      <c r="AT134" s="9">
        <f t="shared" si="97"/>
        <v>0</v>
      </c>
      <c r="AU134" s="11">
        <f t="shared" si="98"/>
        <v>0</v>
      </c>
      <c r="AV134" s="6"/>
      <c r="AW134" s="6"/>
      <c r="AX134" s="6"/>
      <c r="AZ134" t="str">
        <f t="shared" si="99"/>
        <v>{"group":"A",</v>
      </c>
      <c r="BA134" t="str">
        <f t="shared" si="80"/>
        <v>"lot":0,</v>
      </c>
      <c r="BB134" t="str">
        <f t="shared" si="100"/>
        <v>"name":"0",</v>
      </c>
      <c r="BC134" t="str">
        <f t="shared" si="101"/>
        <v>"team":"",</v>
      </c>
      <c r="BD134" t="str">
        <f t="shared" si="102"/>
        <v>"year":"0",</v>
      </c>
      <c r="BE134" t="str">
        <f t="shared" si="103"/>
        <v>"gender":"0",</v>
      </c>
      <c r="BF134" t="str">
        <f t="shared" si="104"/>
        <v>"gear":"0",</v>
      </c>
      <c r="BG134" t="str">
        <f t="shared" si="105"/>
        <v>"lifts":"0",</v>
      </c>
      <c r="BH134" t="str">
        <f t="shared" si="106"/>
        <v>"division":"--",</v>
      </c>
      <c r="BI134" t="str">
        <f t="shared" si="107"/>
        <v>"wc":"0",</v>
      </c>
      <c r="BJ134" t="str">
        <f t="shared" si="108"/>
        <v>"bw":"",</v>
      </c>
      <c r="BK134" t="str">
        <f t="shared" si="109"/>
        <v>"pb":[0,0,0,0],</v>
      </c>
      <c r="BL134" t="str">
        <f t="shared" si="81"/>
        <v>"idx":"23",</v>
      </c>
      <c r="BM134" t="str">
        <f t="shared" si="82"/>
        <v>"sr":"0",</v>
      </c>
      <c r="BN134" t="str">
        <f t="shared" si="83"/>
        <v>"br":"0",</v>
      </c>
      <c r="BO134" t="str">
        <f t="shared" si="84"/>
        <v>"row":0,</v>
      </c>
      <c r="BP134" t="s">
        <v>55</v>
      </c>
      <c r="BQ134" t="str">
        <f t="shared" si="85"/>
        <v>"sq":{"a1":0,"a2":"","a3":"","s1":0,"s2":0,"s3":0},"bp":{"a1":0,"a2":"","a3":"","s1":0,"s2":0,"s3":0},"dl":{"a1":0,"a2":"","a3":"","s1":0,"s2":0,"s3":0},"sortOrder":0,"act":{}}</v>
      </c>
      <c r="BR134" t="str">
        <f t="shared" si="110"/>
        <v>{"group":"A","lot":0,"name":"0","team":"","year":"0","gender":"0","gear":"0","lifts":"0","division":"--","wc":"0","bw":"","pb":[0,0,0,0],"idx":"23","sr":"0","br":"0","row":0,"sq":{"a1":0,"a2":"","a3":"","s1":0,"s2":0,"s3":0},"bp":{"a1":0,"a2":"","a3":"","s1":0,"s2":0,"s3":0},"dl":{"a1":0,"a2":"","a3":"","s1":0,"s2":0,"s3":0},"sortOrder":0,"act":{}}</v>
      </c>
    </row>
    <row r="135" spans="5:70" x14ac:dyDescent="0.25">
      <c r="E135" s="128"/>
      <c r="F135" s="129"/>
      <c r="G135" s="129"/>
      <c r="H135" s="129"/>
      <c r="I135" s="129"/>
      <c r="J135" s="129"/>
      <c r="K135" s="129"/>
      <c r="L135" s="130"/>
      <c r="M135" s="131"/>
      <c r="N135" s="130"/>
      <c r="O135" s="148">
        <f t="shared" ca="1" si="111"/>
        <v>2023</v>
      </c>
      <c r="P135" s="129"/>
      <c r="Q135" s="129"/>
      <c r="R135" s="129"/>
      <c r="S135" s="129"/>
      <c r="T135" s="129"/>
      <c r="U135" s="129"/>
      <c r="V135" s="129"/>
      <c r="W135" s="129"/>
      <c r="X135" s="129"/>
      <c r="Y135" s="132"/>
      <c r="Z135" s="133"/>
      <c r="AA135" s="133"/>
      <c r="AB135" s="134"/>
      <c r="AE135" s="15" t="str">
        <f t="shared" si="77"/>
        <v>A</v>
      </c>
      <c r="AF135" s="8">
        <f t="shared" si="78"/>
        <v>0</v>
      </c>
      <c r="AG135" s="9">
        <f t="shared" si="86"/>
        <v>0</v>
      </c>
      <c r="AH135" s="9" t="str">
        <f t="shared" si="87"/>
        <v/>
      </c>
      <c r="AI135" s="8">
        <f t="shared" si="79"/>
        <v>0</v>
      </c>
      <c r="AJ135" s="45">
        <f t="shared" si="88"/>
        <v>0</v>
      </c>
      <c r="AK135" s="45">
        <f t="shared" si="89"/>
        <v>0</v>
      </c>
      <c r="AL135" s="45">
        <f t="shared" si="90"/>
        <v>0</v>
      </c>
      <c r="AM135" s="8" t="str">
        <f t="shared" si="91"/>
        <v>--</v>
      </c>
      <c r="AN135" s="10">
        <f t="shared" si="92"/>
        <v>0</v>
      </c>
      <c r="AO135" s="10">
        <f t="shared" si="93"/>
        <v>0</v>
      </c>
      <c r="AP135" s="10">
        <f t="shared" si="94"/>
        <v>0</v>
      </c>
      <c r="AQ135" s="10">
        <f t="shared" si="95"/>
        <v>0</v>
      </c>
      <c r="AR135" s="10">
        <f t="shared" si="96"/>
        <v>0</v>
      </c>
      <c r="AS135" s="8">
        <v>23</v>
      </c>
      <c r="AT135" s="9">
        <f t="shared" si="97"/>
        <v>0</v>
      </c>
      <c r="AU135" s="11">
        <f t="shared" si="98"/>
        <v>0</v>
      </c>
      <c r="AV135" s="6"/>
      <c r="AW135" s="6"/>
      <c r="AX135" s="6"/>
      <c r="AZ135" t="str">
        <f t="shared" si="99"/>
        <v>{"group":"A",</v>
      </c>
      <c r="BA135" t="str">
        <f t="shared" si="80"/>
        <v>"lot":0,</v>
      </c>
      <c r="BB135" t="str">
        <f t="shared" si="100"/>
        <v>"name":"0",</v>
      </c>
      <c r="BC135" t="str">
        <f t="shared" si="101"/>
        <v>"team":"",</v>
      </c>
      <c r="BD135" t="str">
        <f t="shared" si="102"/>
        <v>"year":"0",</v>
      </c>
      <c r="BE135" t="str">
        <f t="shared" si="103"/>
        <v>"gender":"0",</v>
      </c>
      <c r="BF135" t="str">
        <f t="shared" si="104"/>
        <v>"gear":"0",</v>
      </c>
      <c r="BG135" t="str">
        <f t="shared" si="105"/>
        <v>"lifts":"0",</v>
      </c>
      <c r="BH135" t="str">
        <f t="shared" si="106"/>
        <v>"division":"--",</v>
      </c>
      <c r="BI135" t="str">
        <f t="shared" si="107"/>
        <v>"wc":"0",</v>
      </c>
      <c r="BJ135" t="str">
        <f t="shared" si="108"/>
        <v>"bw":"",</v>
      </c>
      <c r="BK135" t="str">
        <f t="shared" si="109"/>
        <v>"pb":[0,0,0,0],</v>
      </c>
      <c r="BL135" t="str">
        <f t="shared" si="81"/>
        <v>"idx":"23",</v>
      </c>
      <c r="BM135" t="str">
        <f t="shared" si="82"/>
        <v>"sr":"0",</v>
      </c>
      <c r="BN135" t="str">
        <f t="shared" si="83"/>
        <v>"br":"0",</v>
      </c>
      <c r="BO135" t="str">
        <f t="shared" si="84"/>
        <v>"row":0,</v>
      </c>
      <c r="BP135" t="s">
        <v>55</v>
      </c>
      <c r="BQ135" t="str">
        <f t="shared" si="85"/>
        <v>"sq":{"a1":0,"a2":"","a3":"","s1":0,"s2":0,"s3":0},"bp":{"a1":0,"a2":"","a3":"","s1":0,"s2":0,"s3":0},"dl":{"a1":0,"a2":"","a3":"","s1":0,"s2":0,"s3":0},"sortOrder":0,"act":{}}</v>
      </c>
      <c r="BR135" t="str">
        <f t="shared" si="110"/>
        <v>{"group":"A","lot":0,"name":"0","team":"","year":"0","gender":"0","gear":"0","lifts":"0","division":"--","wc":"0","bw":"","pb":[0,0,0,0],"idx":"23","sr":"0","br":"0","row":0,"sq":{"a1":0,"a2":"","a3":"","s1":0,"s2":0,"s3":0},"bp":{"a1":0,"a2":"","a3":"","s1":0,"s2":0,"s3":0},"dl":{"a1":0,"a2":"","a3":"","s1":0,"s2":0,"s3":0},"sortOrder":0,"act":{}}</v>
      </c>
    </row>
    <row r="136" spans="5:70" x14ac:dyDescent="0.25">
      <c r="E136" s="128"/>
      <c r="F136" s="129"/>
      <c r="G136" s="129"/>
      <c r="H136" s="129"/>
      <c r="I136" s="129"/>
      <c r="J136" s="129"/>
      <c r="K136" s="129"/>
      <c r="L136" s="130"/>
      <c r="M136" s="131"/>
      <c r="N136" s="130"/>
      <c r="O136" s="148">
        <f t="shared" ca="1" si="111"/>
        <v>2023</v>
      </c>
      <c r="P136" s="129"/>
      <c r="Q136" s="129"/>
      <c r="R136" s="129"/>
      <c r="S136" s="129"/>
      <c r="T136" s="129"/>
      <c r="U136" s="129"/>
      <c r="V136" s="129"/>
      <c r="W136" s="129"/>
      <c r="X136" s="129"/>
      <c r="Y136" s="132"/>
      <c r="Z136" s="133"/>
      <c r="AA136" s="133"/>
      <c r="AB136" s="134"/>
      <c r="AE136" s="15" t="str">
        <f t="shared" si="77"/>
        <v>A</v>
      </c>
      <c r="AF136" s="8">
        <f t="shared" si="78"/>
        <v>0</v>
      </c>
      <c r="AG136" s="9">
        <f t="shared" si="86"/>
        <v>0</v>
      </c>
      <c r="AH136" s="9" t="str">
        <f t="shared" si="87"/>
        <v/>
      </c>
      <c r="AI136" s="8">
        <f t="shared" si="79"/>
        <v>0</v>
      </c>
      <c r="AJ136" s="45">
        <f t="shared" si="88"/>
        <v>0</v>
      </c>
      <c r="AK136" s="45">
        <f t="shared" si="89"/>
        <v>0</v>
      </c>
      <c r="AL136" s="45">
        <f t="shared" si="90"/>
        <v>0</v>
      </c>
      <c r="AM136" s="8" t="str">
        <f t="shared" si="91"/>
        <v>--</v>
      </c>
      <c r="AN136" s="10">
        <f t="shared" si="92"/>
        <v>0</v>
      </c>
      <c r="AO136" s="10">
        <f t="shared" si="93"/>
        <v>0</v>
      </c>
      <c r="AP136" s="10">
        <f t="shared" si="94"/>
        <v>0</v>
      </c>
      <c r="AQ136" s="10">
        <f t="shared" si="95"/>
        <v>0</v>
      </c>
      <c r="AR136" s="10">
        <f t="shared" si="96"/>
        <v>0</v>
      </c>
      <c r="AS136" s="8">
        <v>23</v>
      </c>
      <c r="AT136" s="9">
        <f t="shared" si="97"/>
        <v>0</v>
      </c>
      <c r="AU136" s="11">
        <f t="shared" si="98"/>
        <v>0</v>
      </c>
      <c r="AV136" s="6"/>
      <c r="AW136" s="6"/>
      <c r="AX136" s="6"/>
      <c r="AZ136" t="str">
        <f t="shared" si="99"/>
        <v>{"group":"A",</v>
      </c>
      <c r="BA136" t="str">
        <f t="shared" si="80"/>
        <v>"lot":0,</v>
      </c>
      <c r="BB136" t="str">
        <f t="shared" si="100"/>
        <v>"name":"0",</v>
      </c>
      <c r="BC136" t="str">
        <f t="shared" si="101"/>
        <v>"team":"",</v>
      </c>
      <c r="BD136" t="str">
        <f t="shared" si="102"/>
        <v>"year":"0",</v>
      </c>
      <c r="BE136" t="str">
        <f t="shared" si="103"/>
        <v>"gender":"0",</v>
      </c>
      <c r="BF136" t="str">
        <f t="shared" si="104"/>
        <v>"gear":"0",</v>
      </c>
      <c r="BG136" t="str">
        <f t="shared" si="105"/>
        <v>"lifts":"0",</v>
      </c>
      <c r="BH136" t="str">
        <f t="shared" si="106"/>
        <v>"division":"--",</v>
      </c>
      <c r="BI136" t="str">
        <f t="shared" si="107"/>
        <v>"wc":"0",</v>
      </c>
      <c r="BJ136" t="str">
        <f t="shared" si="108"/>
        <v>"bw":"",</v>
      </c>
      <c r="BK136" t="str">
        <f t="shared" si="109"/>
        <v>"pb":[0,0,0,0],</v>
      </c>
      <c r="BL136" t="str">
        <f t="shared" si="81"/>
        <v>"idx":"23",</v>
      </c>
      <c r="BM136" t="str">
        <f t="shared" si="82"/>
        <v>"sr":"0",</v>
      </c>
      <c r="BN136" t="str">
        <f t="shared" si="83"/>
        <v>"br":"0",</v>
      </c>
      <c r="BO136" t="str">
        <f t="shared" si="84"/>
        <v>"row":0,</v>
      </c>
      <c r="BP136" t="s">
        <v>55</v>
      </c>
      <c r="BQ136" t="str">
        <f t="shared" si="85"/>
        <v>"sq":{"a1":0,"a2":"","a3":"","s1":0,"s2":0,"s3":0},"bp":{"a1":0,"a2":"","a3":"","s1":0,"s2":0,"s3":0},"dl":{"a1":0,"a2":"","a3":"","s1":0,"s2":0,"s3":0},"sortOrder":0,"act":{}}</v>
      </c>
      <c r="BR136" t="str">
        <f t="shared" si="110"/>
        <v>{"group":"A","lot":0,"name":"0","team":"","year":"0","gender":"0","gear":"0","lifts":"0","division":"--","wc":"0","bw":"","pb":[0,0,0,0],"idx":"23","sr":"0","br":"0","row":0,"sq":{"a1":0,"a2":"","a3":"","s1":0,"s2":0,"s3":0},"bp":{"a1":0,"a2":"","a3":"","s1":0,"s2":0,"s3":0},"dl":{"a1":0,"a2":"","a3":"","s1":0,"s2":0,"s3":0},"sortOrder":0,"act":{}}</v>
      </c>
    </row>
    <row r="137" spans="5:70" x14ac:dyDescent="0.25">
      <c r="E137" s="128"/>
      <c r="F137" s="129"/>
      <c r="G137" s="129"/>
      <c r="H137" s="129"/>
      <c r="I137" s="129"/>
      <c r="J137" s="129"/>
      <c r="K137" s="129"/>
      <c r="L137" s="130"/>
      <c r="M137" s="131"/>
      <c r="N137" s="130"/>
      <c r="O137" s="148">
        <f t="shared" ca="1" si="111"/>
        <v>2023</v>
      </c>
      <c r="P137" s="129"/>
      <c r="Q137" s="129"/>
      <c r="R137" s="129"/>
      <c r="S137" s="129"/>
      <c r="T137" s="129"/>
      <c r="U137" s="129"/>
      <c r="V137" s="129"/>
      <c r="W137" s="129"/>
      <c r="X137" s="129"/>
      <c r="Y137" s="132"/>
      <c r="Z137" s="133"/>
      <c r="AA137" s="133"/>
      <c r="AB137" s="134"/>
      <c r="AE137" s="15" t="str">
        <f t="shared" si="77"/>
        <v>A</v>
      </c>
      <c r="AF137" s="8">
        <f t="shared" si="78"/>
        <v>0</v>
      </c>
      <c r="AG137" s="9">
        <f t="shared" si="86"/>
        <v>0</v>
      </c>
      <c r="AH137" s="9" t="str">
        <f t="shared" si="87"/>
        <v/>
      </c>
      <c r="AI137" s="8">
        <f t="shared" si="79"/>
        <v>0</v>
      </c>
      <c r="AJ137" s="45">
        <f t="shared" si="88"/>
        <v>0</v>
      </c>
      <c r="AK137" s="45">
        <f t="shared" si="89"/>
        <v>0</v>
      </c>
      <c r="AL137" s="45">
        <f t="shared" si="90"/>
        <v>0</v>
      </c>
      <c r="AM137" s="8" t="str">
        <f t="shared" si="91"/>
        <v>--</v>
      </c>
      <c r="AN137" s="10">
        <f t="shared" si="92"/>
        <v>0</v>
      </c>
      <c r="AO137" s="10">
        <f t="shared" si="93"/>
        <v>0</v>
      </c>
      <c r="AP137" s="10">
        <f t="shared" si="94"/>
        <v>0</v>
      </c>
      <c r="AQ137" s="10">
        <f t="shared" si="95"/>
        <v>0</v>
      </c>
      <c r="AR137" s="10">
        <f t="shared" si="96"/>
        <v>0</v>
      </c>
      <c r="AS137" s="8">
        <v>23</v>
      </c>
      <c r="AT137" s="9">
        <f t="shared" si="97"/>
        <v>0</v>
      </c>
      <c r="AU137" s="11">
        <f t="shared" si="98"/>
        <v>0</v>
      </c>
      <c r="AV137" s="6"/>
      <c r="AW137" s="6"/>
      <c r="AX137" s="6"/>
      <c r="AZ137" t="str">
        <f t="shared" si="99"/>
        <v>{"group":"A",</v>
      </c>
      <c r="BA137" t="str">
        <f t="shared" si="80"/>
        <v>"lot":0,</v>
      </c>
      <c r="BB137" t="str">
        <f t="shared" si="100"/>
        <v>"name":"0",</v>
      </c>
      <c r="BC137" t="str">
        <f t="shared" si="101"/>
        <v>"team":"",</v>
      </c>
      <c r="BD137" t="str">
        <f t="shared" si="102"/>
        <v>"year":"0",</v>
      </c>
      <c r="BE137" t="str">
        <f t="shared" si="103"/>
        <v>"gender":"0",</v>
      </c>
      <c r="BF137" t="str">
        <f t="shared" si="104"/>
        <v>"gear":"0",</v>
      </c>
      <c r="BG137" t="str">
        <f t="shared" si="105"/>
        <v>"lifts":"0",</v>
      </c>
      <c r="BH137" t="str">
        <f t="shared" si="106"/>
        <v>"division":"--",</v>
      </c>
      <c r="BI137" t="str">
        <f t="shared" si="107"/>
        <v>"wc":"0",</v>
      </c>
      <c r="BJ137" t="str">
        <f t="shared" si="108"/>
        <v>"bw":"",</v>
      </c>
      <c r="BK137" t="str">
        <f t="shared" si="109"/>
        <v>"pb":[0,0,0,0],</v>
      </c>
      <c r="BL137" t="str">
        <f t="shared" si="81"/>
        <v>"idx":"23",</v>
      </c>
      <c r="BM137" t="str">
        <f t="shared" si="82"/>
        <v>"sr":"0",</v>
      </c>
      <c r="BN137" t="str">
        <f t="shared" si="83"/>
        <v>"br":"0",</v>
      </c>
      <c r="BO137" t="str">
        <f t="shared" si="84"/>
        <v>"row":0,</v>
      </c>
      <c r="BP137" t="s">
        <v>55</v>
      </c>
      <c r="BQ137" t="str">
        <f t="shared" si="85"/>
        <v>"sq":{"a1":0,"a2":"","a3":"","s1":0,"s2":0,"s3":0},"bp":{"a1":0,"a2":"","a3":"","s1":0,"s2":0,"s3":0},"dl":{"a1":0,"a2":"","a3":"","s1":0,"s2":0,"s3":0},"sortOrder":0,"act":{}}</v>
      </c>
      <c r="BR137" t="str">
        <f t="shared" si="110"/>
        <v>{"group":"A","lot":0,"name":"0","team":"","year":"0","gender":"0","gear":"0","lifts":"0","division":"--","wc":"0","bw":"","pb":[0,0,0,0],"idx":"23","sr":"0","br":"0","row":0,"sq":{"a1":0,"a2":"","a3":"","s1":0,"s2":0,"s3":0},"bp":{"a1":0,"a2":"","a3":"","s1":0,"s2":0,"s3":0},"dl":{"a1":0,"a2":"","a3":"","s1":0,"s2":0,"s3":0},"sortOrder":0,"act":{}}</v>
      </c>
    </row>
    <row r="138" spans="5:70" x14ac:dyDescent="0.25">
      <c r="E138" s="128"/>
      <c r="F138" s="129"/>
      <c r="G138" s="129"/>
      <c r="H138" s="129"/>
      <c r="I138" s="129"/>
      <c r="J138" s="129"/>
      <c r="K138" s="129"/>
      <c r="L138" s="130"/>
      <c r="M138" s="131"/>
      <c r="N138" s="130"/>
      <c r="O138" s="148">
        <f t="shared" ca="1" si="111"/>
        <v>2023</v>
      </c>
      <c r="P138" s="129"/>
      <c r="Q138" s="129"/>
      <c r="R138" s="129"/>
      <c r="S138" s="129"/>
      <c r="T138" s="129"/>
      <c r="U138" s="129"/>
      <c r="V138" s="129"/>
      <c r="W138" s="129"/>
      <c r="X138" s="129"/>
      <c r="Y138" s="132"/>
      <c r="Z138" s="133"/>
      <c r="AA138" s="133"/>
      <c r="AB138" s="134"/>
      <c r="AE138" s="15" t="str">
        <f t="shared" si="77"/>
        <v>A</v>
      </c>
      <c r="AF138" s="8">
        <f t="shared" si="78"/>
        <v>0</v>
      </c>
      <c r="AG138" s="9">
        <f t="shared" si="86"/>
        <v>0</v>
      </c>
      <c r="AH138" s="9" t="str">
        <f t="shared" si="87"/>
        <v/>
      </c>
      <c r="AI138" s="8">
        <f t="shared" si="79"/>
        <v>0</v>
      </c>
      <c r="AJ138" s="45">
        <f t="shared" si="88"/>
        <v>0</v>
      </c>
      <c r="AK138" s="45">
        <f t="shared" si="89"/>
        <v>0</v>
      </c>
      <c r="AL138" s="45">
        <f t="shared" si="90"/>
        <v>0</v>
      </c>
      <c r="AM138" s="8" t="str">
        <f t="shared" si="91"/>
        <v>--</v>
      </c>
      <c r="AN138" s="10">
        <f t="shared" si="92"/>
        <v>0</v>
      </c>
      <c r="AO138" s="10">
        <f t="shared" si="93"/>
        <v>0</v>
      </c>
      <c r="AP138" s="10">
        <f t="shared" si="94"/>
        <v>0</v>
      </c>
      <c r="AQ138" s="10">
        <f t="shared" si="95"/>
        <v>0</v>
      </c>
      <c r="AR138" s="10">
        <f t="shared" si="96"/>
        <v>0</v>
      </c>
      <c r="AS138" s="8">
        <v>23</v>
      </c>
      <c r="AT138" s="9">
        <f t="shared" si="97"/>
        <v>0</v>
      </c>
      <c r="AU138" s="11">
        <f t="shared" si="98"/>
        <v>0</v>
      </c>
      <c r="AV138" s="6"/>
      <c r="AW138" s="6"/>
      <c r="AX138" s="6"/>
      <c r="AZ138" t="str">
        <f t="shared" si="99"/>
        <v>{"group":"A",</v>
      </c>
      <c r="BA138" t="str">
        <f t="shared" si="80"/>
        <v>"lot":0,</v>
      </c>
      <c r="BB138" t="str">
        <f t="shared" si="100"/>
        <v>"name":"0",</v>
      </c>
      <c r="BC138" t="str">
        <f t="shared" si="101"/>
        <v>"team":"",</v>
      </c>
      <c r="BD138" t="str">
        <f t="shared" si="102"/>
        <v>"year":"0",</v>
      </c>
      <c r="BE138" t="str">
        <f t="shared" si="103"/>
        <v>"gender":"0",</v>
      </c>
      <c r="BF138" t="str">
        <f t="shared" si="104"/>
        <v>"gear":"0",</v>
      </c>
      <c r="BG138" t="str">
        <f t="shared" si="105"/>
        <v>"lifts":"0",</v>
      </c>
      <c r="BH138" t="str">
        <f t="shared" si="106"/>
        <v>"division":"--",</v>
      </c>
      <c r="BI138" t="str">
        <f t="shared" si="107"/>
        <v>"wc":"0",</v>
      </c>
      <c r="BJ138" t="str">
        <f t="shared" si="108"/>
        <v>"bw":"",</v>
      </c>
      <c r="BK138" t="str">
        <f t="shared" si="109"/>
        <v>"pb":[0,0,0,0],</v>
      </c>
      <c r="BL138" t="str">
        <f t="shared" si="81"/>
        <v>"idx":"23",</v>
      </c>
      <c r="BM138" t="str">
        <f t="shared" si="82"/>
        <v>"sr":"0",</v>
      </c>
      <c r="BN138" t="str">
        <f t="shared" si="83"/>
        <v>"br":"0",</v>
      </c>
      <c r="BO138" t="str">
        <f t="shared" si="84"/>
        <v>"row":0,</v>
      </c>
      <c r="BP138" t="s">
        <v>55</v>
      </c>
      <c r="BQ138" t="str">
        <f t="shared" si="85"/>
        <v>"sq":{"a1":0,"a2":"","a3":"","s1":0,"s2":0,"s3":0},"bp":{"a1":0,"a2":"","a3":"","s1":0,"s2":0,"s3":0},"dl":{"a1":0,"a2":"","a3":"","s1":0,"s2":0,"s3":0},"sortOrder":0,"act":{}}</v>
      </c>
      <c r="BR138" t="str">
        <f t="shared" si="110"/>
        <v>{"group":"A","lot":0,"name":"0","team":"","year":"0","gender":"0","gear":"0","lifts":"0","division":"--","wc":"0","bw":"","pb":[0,0,0,0],"idx":"23","sr":"0","br":"0","row":0,"sq":{"a1":0,"a2":"","a3":"","s1":0,"s2":0,"s3":0},"bp":{"a1":0,"a2":"","a3":"","s1":0,"s2":0,"s3":0},"dl":{"a1":0,"a2":"","a3":"","s1":0,"s2":0,"s3":0},"sortOrder":0,"act":{}}</v>
      </c>
    </row>
    <row r="139" spans="5:70" x14ac:dyDescent="0.25">
      <c r="E139" s="128"/>
      <c r="F139" s="129"/>
      <c r="G139" s="129"/>
      <c r="H139" s="129"/>
      <c r="I139" s="129"/>
      <c r="J139" s="129"/>
      <c r="K139" s="129"/>
      <c r="L139" s="130"/>
      <c r="M139" s="131"/>
      <c r="N139" s="130"/>
      <c r="O139" s="148">
        <f t="shared" ca="1" si="111"/>
        <v>2023</v>
      </c>
      <c r="P139" s="129"/>
      <c r="Q139" s="129"/>
      <c r="R139" s="129"/>
      <c r="S139" s="129"/>
      <c r="T139" s="129"/>
      <c r="U139" s="129"/>
      <c r="V139" s="129"/>
      <c r="W139" s="129"/>
      <c r="X139" s="129"/>
      <c r="Y139" s="132"/>
      <c r="Z139" s="133"/>
      <c r="AA139" s="133"/>
      <c r="AB139" s="134"/>
      <c r="AE139" s="15" t="str">
        <f t="shared" si="77"/>
        <v>A</v>
      </c>
      <c r="AF139" s="8">
        <f t="shared" si="78"/>
        <v>0</v>
      </c>
      <c r="AG139" s="9">
        <f t="shared" si="86"/>
        <v>0</v>
      </c>
      <c r="AH139" s="9" t="str">
        <f t="shared" si="87"/>
        <v/>
      </c>
      <c r="AI139" s="8">
        <f t="shared" si="79"/>
        <v>0</v>
      </c>
      <c r="AJ139" s="45">
        <f t="shared" si="88"/>
        <v>0</v>
      </c>
      <c r="AK139" s="45">
        <f t="shared" si="89"/>
        <v>0</v>
      </c>
      <c r="AL139" s="45">
        <f t="shared" si="90"/>
        <v>0</v>
      </c>
      <c r="AM139" s="8" t="str">
        <f t="shared" si="91"/>
        <v>--</v>
      </c>
      <c r="AN139" s="10">
        <f t="shared" si="92"/>
        <v>0</v>
      </c>
      <c r="AO139" s="10">
        <f t="shared" si="93"/>
        <v>0</v>
      </c>
      <c r="AP139" s="10">
        <f t="shared" si="94"/>
        <v>0</v>
      </c>
      <c r="AQ139" s="10">
        <f t="shared" si="95"/>
        <v>0</v>
      </c>
      <c r="AR139" s="10">
        <f t="shared" si="96"/>
        <v>0</v>
      </c>
      <c r="AS139" s="8">
        <v>23</v>
      </c>
      <c r="AT139" s="9">
        <f t="shared" si="97"/>
        <v>0</v>
      </c>
      <c r="AU139" s="11">
        <f t="shared" si="98"/>
        <v>0</v>
      </c>
      <c r="AV139" s="6"/>
      <c r="AW139" s="6"/>
      <c r="AX139" s="6"/>
      <c r="AZ139" t="str">
        <f t="shared" si="99"/>
        <v>{"group":"A",</v>
      </c>
      <c r="BA139" t="str">
        <f t="shared" si="80"/>
        <v>"lot":0,</v>
      </c>
      <c r="BB139" t="str">
        <f t="shared" si="100"/>
        <v>"name":"0",</v>
      </c>
      <c r="BC139" t="str">
        <f t="shared" si="101"/>
        <v>"team":"",</v>
      </c>
      <c r="BD139" t="str">
        <f t="shared" si="102"/>
        <v>"year":"0",</v>
      </c>
      <c r="BE139" t="str">
        <f t="shared" si="103"/>
        <v>"gender":"0",</v>
      </c>
      <c r="BF139" t="str">
        <f t="shared" si="104"/>
        <v>"gear":"0",</v>
      </c>
      <c r="BG139" t="str">
        <f t="shared" si="105"/>
        <v>"lifts":"0",</v>
      </c>
      <c r="BH139" t="str">
        <f t="shared" si="106"/>
        <v>"division":"--",</v>
      </c>
      <c r="BI139" t="str">
        <f t="shared" si="107"/>
        <v>"wc":"0",</v>
      </c>
      <c r="BJ139" t="str">
        <f t="shared" si="108"/>
        <v>"bw":"",</v>
      </c>
      <c r="BK139" t="str">
        <f t="shared" si="109"/>
        <v>"pb":[0,0,0,0],</v>
      </c>
      <c r="BL139" t="str">
        <f t="shared" si="81"/>
        <v>"idx":"23",</v>
      </c>
      <c r="BM139" t="str">
        <f t="shared" si="82"/>
        <v>"sr":"0",</v>
      </c>
      <c r="BN139" t="str">
        <f t="shared" si="83"/>
        <v>"br":"0",</v>
      </c>
      <c r="BO139" t="str">
        <f t="shared" si="84"/>
        <v>"row":0,</v>
      </c>
      <c r="BP139" t="s">
        <v>55</v>
      </c>
      <c r="BQ139" t="str">
        <f t="shared" si="85"/>
        <v>"sq":{"a1":0,"a2":"","a3":"","s1":0,"s2":0,"s3":0},"bp":{"a1":0,"a2":"","a3":"","s1":0,"s2":0,"s3":0},"dl":{"a1":0,"a2":"","a3":"","s1":0,"s2":0,"s3":0},"sortOrder":0,"act":{}}</v>
      </c>
      <c r="BR139" t="str">
        <f t="shared" si="110"/>
        <v>{"group":"A","lot":0,"name":"0","team":"","year":"0","gender":"0","gear":"0","lifts":"0","division":"--","wc":"0","bw":"","pb":[0,0,0,0],"idx":"23","sr":"0","br":"0","row":0,"sq":{"a1":0,"a2":"","a3":"","s1":0,"s2":0,"s3":0},"bp":{"a1":0,"a2":"","a3":"","s1":0,"s2":0,"s3":0},"dl":{"a1":0,"a2":"","a3":"","s1":0,"s2":0,"s3":0},"sortOrder":0,"act":{}}</v>
      </c>
    </row>
    <row r="140" spans="5:70" x14ac:dyDescent="0.25">
      <c r="E140" s="128"/>
      <c r="F140" s="129"/>
      <c r="G140" s="129"/>
      <c r="H140" s="129"/>
      <c r="I140" s="129"/>
      <c r="J140" s="129"/>
      <c r="K140" s="129"/>
      <c r="L140" s="130"/>
      <c r="M140" s="131"/>
      <c r="N140" s="130"/>
      <c r="O140" s="148">
        <f t="shared" ca="1" si="111"/>
        <v>2023</v>
      </c>
      <c r="P140" s="129"/>
      <c r="Q140" s="129"/>
      <c r="R140" s="129"/>
      <c r="S140" s="129"/>
      <c r="T140" s="129"/>
      <c r="U140" s="129"/>
      <c r="V140" s="129"/>
      <c r="W140" s="129"/>
      <c r="X140" s="129"/>
      <c r="Y140" s="132"/>
      <c r="Z140" s="133"/>
      <c r="AA140" s="133"/>
      <c r="AB140" s="134"/>
      <c r="AE140" s="15" t="str">
        <f t="shared" si="77"/>
        <v>A</v>
      </c>
      <c r="AF140" s="8">
        <f t="shared" si="78"/>
        <v>0</v>
      </c>
      <c r="AG140" s="9">
        <f t="shared" si="86"/>
        <v>0</v>
      </c>
      <c r="AH140" s="9" t="str">
        <f t="shared" si="87"/>
        <v/>
      </c>
      <c r="AI140" s="8">
        <f t="shared" si="79"/>
        <v>0</v>
      </c>
      <c r="AJ140" s="45">
        <f t="shared" si="88"/>
        <v>0</v>
      </c>
      <c r="AK140" s="45">
        <f t="shared" si="89"/>
        <v>0</v>
      </c>
      <c r="AL140" s="45">
        <f t="shared" si="90"/>
        <v>0</v>
      </c>
      <c r="AM140" s="8" t="str">
        <f t="shared" si="91"/>
        <v>--</v>
      </c>
      <c r="AN140" s="10">
        <f t="shared" si="92"/>
        <v>0</v>
      </c>
      <c r="AO140" s="10">
        <f t="shared" si="93"/>
        <v>0</v>
      </c>
      <c r="AP140" s="10">
        <f t="shared" si="94"/>
        <v>0</v>
      </c>
      <c r="AQ140" s="10">
        <f t="shared" si="95"/>
        <v>0</v>
      </c>
      <c r="AR140" s="10">
        <f t="shared" si="96"/>
        <v>0</v>
      </c>
      <c r="AS140" s="8">
        <v>23</v>
      </c>
      <c r="AT140" s="9">
        <f t="shared" si="97"/>
        <v>0</v>
      </c>
      <c r="AU140" s="11">
        <f t="shared" si="98"/>
        <v>0</v>
      </c>
      <c r="AV140" s="6"/>
      <c r="AW140" s="6"/>
      <c r="AX140" s="6"/>
      <c r="AZ140" t="str">
        <f t="shared" si="99"/>
        <v>{"group":"A",</v>
      </c>
      <c r="BA140" t="str">
        <f t="shared" si="80"/>
        <v>"lot":0,</v>
      </c>
      <c r="BB140" t="str">
        <f t="shared" si="100"/>
        <v>"name":"0",</v>
      </c>
      <c r="BC140" t="str">
        <f t="shared" si="101"/>
        <v>"team":"",</v>
      </c>
      <c r="BD140" t="str">
        <f t="shared" si="102"/>
        <v>"year":"0",</v>
      </c>
      <c r="BE140" t="str">
        <f t="shared" si="103"/>
        <v>"gender":"0",</v>
      </c>
      <c r="BF140" t="str">
        <f t="shared" si="104"/>
        <v>"gear":"0",</v>
      </c>
      <c r="BG140" t="str">
        <f t="shared" si="105"/>
        <v>"lifts":"0",</v>
      </c>
      <c r="BH140" t="str">
        <f t="shared" si="106"/>
        <v>"division":"--",</v>
      </c>
      <c r="BI140" t="str">
        <f t="shared" si="107"/>
        <v>"wc":"0",</v>
      </c>
      <c r="BJ140" t="str">
        <f t="shared" si="108"/>
        <v>"bw":"",</v>
      </c>
      <c r="BK140" t="str">
        <f t="shared" si="109"/>
        <v>"pb":[0,0,0,0],</v>
      </c>
      <c r="BL140" t="str">
        <f t="shared" si="81"/>
        <v>"idx":"23",</v>
      </c>
      <c r="BM140" t="str">
        <f t="shared" si="82"/>
        <v>"sr":"0",</v>
      </c>
      <c r="BN140" t="str">
        <f t="shared" si="83"/>
        <v>"br":"0",</v>
      </c>
      <c r="BO140" t="str">
        <f t="shared" si="84"/>
        <v>"row":0,</v>
      </c>
      <c r="BP140" t="s">
        <v>55</v>
      </c>
      <c r="BQ140" t="str">
        <f t="shared" si="85"/>
        <v>"sq":{"a1":0,"a2":"","a3":"","s1":0,"s2":0,"s3":0},"bp":{"a1":0,"a2":"","a3":"","s1":0,"s2":0,"s3":0},"dl":{"a1":0,"a2":"","a3":"","s1":0,"s2":0,"s3":0},"sortOrder":0,"act":{}}</v>
      </c>
      <c r="BR140" t="str">
        <f t="shared" si="110"/>
        <v>{"group":"A","lot":0,"name":"0","team":"","year":"0","gender":"0","gear":"0","lifts":"0","division":"--","wc":"0","bw":"","pb":[0,0,0,0],"idx":"23","sr":"0","br":"0","row":0,"sq":{"a1":0,"a2":"","a3":"","s1":0,"s2":0,"s3":0},"bp":{"a1":0,"a2":"","a3":"","s1":0,"s2":0,"s3":0},"dl":{"a1":0,"a2":"","a3":"","s1":0,"s2":0,"s3":0},"sortOrder":0,"act":{}}</v>
      </c>
    </row>
    <row r="141" spans="5:70" x14ac:dyDescent="0.25">
      <c r="E141" s="128"/>
      <c r="F141" s="129"/>
      <c r="G141" s="129"/>
      <c r="H141" s="129"/>
      <c r="I141" s="129"/>
      <c r="J141" s="129"/>
      <c r="K141" s="129"/>
      <c r="L141" s="130"/>
      <c r="M141" s="131"/>
      <c r="N141" s="130"/>
      <c r="O141" s="148">
        <f t="shared" ca="1" si="111"/>
        <v>2023</v>
      </c>
      <c r="P141" s="129"/>
      <c r="Q141" s="129"/>
      <c r="R141" s="129"/>
      <c r="S141" s="129"/>
      <c r="T141" s="129"/>
      <c r="U141" s="129"/>
      <c r="V141" s="129"/>
      <c r="W141" s="129"/>
      <c r="X141" s="129"/>
      <c r="Y141" s="132"/>
      <c r="Z141" s="133"/>
      <c r="AA141" s="133"/>
      <c r="AB141" s="134"/>
      <c r="AE141" s="15" t="str">
        <f t="shared" si="77"/>
        <v>A</v>
      </c>
      <c r="AF141" s="8">
        <f t="shared" si="78"/>
        <v>0</v>
      </c>
      <c r="AG141" s="9">
        <f t="shared" si="86"/>
        <v>0</v>
      </c>
      <c r="AH141" s="9" t="str">
        <f t="shared" si="87"/>
        <v/>
      </c>
      <c r="AI141" s="8">
        <f t="shared" si="79"/>
        <v>0</v>
      </c>
      <c r="AJ141" s="45">
        <f t="shared" si="88"/>
        <v>0</v>
      </c>
      <c r="AK141" s="45">
        <f t="shared" si="89"/>
        <v>0</v>
      </c>
      <c r="AL141" s="45">
        <f t="shared" si="90"/>
        <v>0</v>
      </c>
      <c r="AM141" s="8" t="str">
        <f t="shared" si="91"/>
        <v>--</v>
      </c>
      <c r="AN141" s="10">
        <f t="shared" si="92"/>
        <v>0</v>
      </c>
      <c r="AO141" s="10">
        <f t="shared" si="93"/>
        <v>0</v>
      </c>
      <c r="AP141" s="10">
        <f t="shared" si="94"/>
        <v>0</v>
      </c>
      <c r="AQ141" s="10">
        <f t="shared" si="95"/>
        <v>0</v>
      </c>
      <c r="AR141" s="10">
        <f t="shared" si="96"/>
        <v>0</v>
      </c>
      <c r="AS141" s="8">
        <v>23</v>
      </c>
      <c r="AT141" s="9">
        <f t="shared" si="97"/>
        <v>0</v>
      </c>
      <c r="AU141" s="11">
        <f t="shared" si="98"/>
        <v>0</v>
      </c>
      <c r="AV141" s="6"/>
      <c r="AW141" s="6"/>
      <c r="AX141" s="6"/>
      <c r="AZ141" t="str">
        <f t="shared" si="99"/>
        <v>{"group":"A",</v>
      </c>
      <c r="BA141" t="str">
        <f t="shared" si="80"/>
        <v>"lot":0,</v>
      </c>
      <c r="BB141" t="str">
        <f t="shared" si="100"/>
        <v>"name":"0",</v>
      </c>
      <c r="BC141" t="str">
        <f t="shared" si="101"/>
        <v>"team":"",</v>
      </c>
      <c r="BD141" t="str">
        <f t="shared" si="102"/>
        <v>"year":"0",</v>
      </c>
      <c r="BE141" t="str">
        <f t="shared" si="103"/>
        <v>"gender":"0",</v>
      </c>
      <c r="BF141" t="str">
        <f t="shared" si="104"/>
        <v>"gear":"0",</v>
      </c>
      <c r="BG141" t="str">
        <f t="shared" si="105"/>
        <v>"lifts":"0",</v>
      </c>
      <c r="BH141" t="str">
        <f t="shared" si="106"/>
        <v>"division":"--",</v>
      </c>
      <c r="BI141" t="str">
        <f t="shared" si="107"/>
        <v>"wc":"0",</v>
      </c>
      <c r="BJ141" t="str">
        <f t="shared" si="108"/>
        <v>"bw":"",</v>
      </c>
      <c r="BK141" t="str">
        <f t="shared" si="109"/>
        <v>"pb":[0,0,0,0],</v>
      </c>
      <c r="BL141" t="str">
        <f t="shared" si="81"/>
        <v>"idx":"23",</v>
      </c>
      <c r="BM141" t="str">
        <f t="shared" si="82"/>
        <v>"sr":"0",</v>
      </c>
      <c r="BN141" t="str">
        <f t="shared" si="83"/>
        <v>"br":"0",</v>
      </c>
      <c r="BO141" t="str">
        <f t="shared" si="84"/>
        <v>"row":0,</v>
      </c>
      <c r="BP141" t="s">
        <v>55</v>
      </c>
      <c r="BQ141" t="str">
        <f t="shared" si="85"/>
        <v>"sq":{"a1":0,"a2":"","a3":"","s1":0,"s2":0,"s3":0},"bp":{"a1":0,"a2":"","a3":"","s1":0,"s2":0,"s3":0},"dl":{"a1":0,"a2":"","a3":"","s1":0,"s2":0,"s3":0},"sortOrder":0,"act":{}}</v>
      </c>
      <c r="BR141" t="str">
        <f t="shared" si="110"/>
        <v>{"group":"A","lot":0,"name":"0","team":"","year":"0","gender":"0","gear":"0","lifts":"0","division":"--","wc":"0","bw":"","pb":[0,0,0,0],"idx":"23","sr":"0","br":"0","row":0,"sq":{"a1":0,"a2":"","a3":"","s1":0,"s2":0,"s3":0},"bp":{"a1":0,"a2":"","a3":"","s1":0,"s2":0,"s3":0},"dl":{"a1":0,"a2":"","a3":"","s1":0,"s2":0,"s3":0},"sortOrder":0,"act":{}}</v>
      </c>
    </row>
    <row r="142" spans="5:70" x14ac:dyDescent="0.25">
      <c r="E142" s="128"/>
      <c r="F142" s="129"/>
      <c r="G142" s="129"/>
      <c r="H142" s="129"/>
      <c r="I142" s="129"/>
      <c r="J142" s="129"/>
      <c r="K142" s="129"/>
      <c r="L142" s="130"/>
      <c r="M142" s="131"/>
      <c r="N142" s="130"/>
      <c r="O142" s="148">
        <f t="shared" ca="1" si="111"/>
        <v>2023</v>
      </c>
      <c r="P142" s="129"/>
      <c r="Q142" s="129"/>
      <c r="R142" s="129"/>
      <c r="S142" s="129"/>
      <c r="T142" s="129"/>
      <c r="U142" s="129"/>
      <c r="V142" s="129"/>
      <c r="W142" s="129"/>
      <c r="X142" s="129"/>
      <c r="Y142" s="132"/>
      <c r="Z142" s="133"/>
      <c r="AA142" s="133"/>
      <c r="AB142" s="134"/>
      <c r="AE142" s="15" t="str">
        <f t="shared" si="77"/>
        <v>A</v>
      </c>
      <c r="AF142" s="8">
        <f t="shared" si="78"/>
        <v>0</v>
      </c>
      <c r="AG142" s="9">
        <f t="shared" si="86"/>
        <v>0</v>
      </c>
      <c r="AH142" s="9" t="str">
        <f t="shared" si="87"/>
        <v/>
      </c>
      <c r="AI142" s="8">
        <f t="shared" si="79"/>
        <v>0</v>
      </c>
      <c r="AJ142" s="45">
        <f t="shared" si="88"/>
        <v>0</v>
      </c>
      <c r="AK142" s="45">
        <f t="shared" si="89"/>
        <v>0</v>
      </c>
      <c r="AL142" s="45">
        <f t="shared" si="90"/>
        <v>0</v>
      </c>
      <c r="AM142" s="8" t="str">
        <f t="shared" si="91"/>
        <v>--</v>
      </c>
      <c r="AN142" s="10">
        <f t="shared" si="92"/>
        <v>0</v>
      </c>
      <c r="AO142" s="10">
        <f t="shared" si="93"/>
        <v>0</v>
      </c>
      <c r="AP142" s="10">
        <f t="shared" si="94"/>
        <v>0</v>
      </c>
      <c r="AQ142" s="10">
        <f t="shared" si="95"/>
        <v>0</v>
      </c>
      <c r="AR142" s="10">
        <f t="shared" si="96"/>
        <v>0</v>
      </c>
      <c r="AS142" s="8">
        <v>23</v>
      </c>
      <c r="AT142" s="9">
        <f t="shared" si="97"/>
        <v>0</v>
      </c>
      <c r="AU142" s="11">
        <f t="shared" si="98"/>
        <v>0</v>
      </c>
      <c r="AV142" s="6"/>
      <c r="AW142" s="6"/>
      <c r="AX142" s="6"/>
      <c r="AZ142" t="str">
        <f t="shared" si="99"/>
        <v>{"group":"A",</v>
      </c>
      <c r="BA142" t="str">
        <f t="shared" si="80"/>
        <v>"lot":0,</v>
      </c>
      <c r="BB142" t="str">
        <f t="shared" si="100"/>
        <v>"name":"0",</v>
      </c>
      <c r="BC142" t="str">
        <f t="shared" si="101"/>
        <v>"team":"",</v>
      </c>
      <c r="BD142" t="str">
        <f t="shared" si="102"/>
        <v>"year":"0",</v>
      </c>
      <c r="BE142" t="str">
        <f t="shared" si="103"/>
        <v>"gender":"0",</v>
      </c>
      <c r="BF142" t="str">
        <f t="shared" si="104"/>
        <v>"gear":"0",</v>
      </c>
      <c r="BG142" t="str">
        <f t="shared" si="105"/>
        <v>"lifts":"0",</v>
      </c>
      <c r="BH142" t="str">
        <f t="shared" si="106"/>
        <v>"division":"--",</v>
      </c>
      <c r="BI142" t="str">
        <f t="shared" si="107"/>
        <v>"wc":"0",</v>
      </c>
      <c r="BJ142" t="str">
        <f t="shared" si="108"/>
        <v>"bw":"",</v>
      </c>
      <c r="BK142" t="str">
        <f t="shared" si="109"/>
        <v>"pb":[0,0,0,0],</v>
      </c>
      <c r="BL142" t="str">
        <f t="shared" si="81"/>
        <v>"idx":"23",</v>
      </c>
      <c r="BM142" t="str">
        <f t="shared" si="82"/>
        <v>"sr":"0",</v>
      </c>
      <c r="BN142" t="str">
        <f t="shared" si="83"/>
        <v>"br":"0",</v>
      </c>
      <c r="BO142" t="str">
        <f t="shared" si="84"/>
        <v>"row":0,</v>
      </c>
      <c r="BP142" t="s">
        <v>55</v>
      </c>
      <c r="BQ142" t="str">
        <f t="shared" si="85"/>
        <v>"sq":{"a1":0,"a2":"","a3":"","s1":0,"s2":0,"s3":0},"bp":{"a1":0,"a2":"","a3":"","s1":0,"s2":0,"s3":0},"dl":{"a1":0,"a2":"","a3":"","s1":0,"s2":0,"s3":0},"sortOrder":0,"act":{}}</v>
      </c>
      <c r="BR142" t="str">
        <f t="shared" si="110"/>
        <v>{"group":"A","lot":0,"name":"0","team":"","year":"0","gender":"0","gear":"0","lifts":"0","division":"--","wc":"0","bw":"","pb":[0,0,0,0],"idx":"23","sr":"0","br":"0","row":0,"sq":{"a1":0,"a2":"","a3":"","s1":0,"s2":0,"s3":0},"bp":{"a1":0,"a2":"","a3":"","s1":0,"s2":0,"s3":0},"dl":{"a1":0,"a2":"","a3":"","s1":0,"s2":0,"s3":0},"sortOrder":0,"act":{}}</v>
      </c>
    </row>
    <row r="143" spans="5:70" x14ac:dyDescent="0.25">
      <c r="E143" s="128"/>
      <c r="F143" s="129"/>
      <c r="G143" s="129"/>
      <c r="H143" s="129"/>
      <c r="I143" s="129"/>
      <c r="J143" s="129"/>
      <c r="K143" s="129"/>
      <c r="L143" s="130"/>
      <c r="M143" s="131"/>
      <c r="N143" s="130"/>
      <c r="O143" s="148">
        <f t="shared" ca="1" si="111"/>
        <v>2023</v>
      </c>
      <c r="P143" s="129"/>
      <c r="Q143" s="129"/>
      <c r="R143" s="129"/>
      <c r="S143" s="129"/>
      <c r="T143" s="129"/>
      <c r="U143" s="129"/>
      <c r="V143" s="129"/>
      <c r="W143" s="129"/>
      <c r="X143" s="129"/>
      <c r="Y143" s="132"/>
      <c r="Z143" s="133"/>
      <c r="AA143" s="133"/>
      <c r="AB143" s="134"/>
      <c r="AE143" s="15" t="str">
        <f t="shared" si="77"/>
        <v>A</v>
      </c>
      <c r="AF143" s="8">
        <f t="shared" si="78"/>
        <v>0</v>
      </c>
      <c r="AG143" s="9">
        <f t="shared" si="86"/>
        <v>0</v>
      </c>
      <c r="AH143" s="9" t="str">
        <f t="shared" si="87"/>
        <v/>
      </c>
      <c r="AI143" s="8">
        <f t="shared" si="79"/>
        <v>0</v>
      </c>
      <c r="AJ143" s="45">
        <f t="shared" si="88"/>
        <v>0</v>
      </c>
      <c r="AK143" s="45">
        <f t="shared" si="89"/>
        <v>0</v>
      </c>
      <c r="AL143" s="45">
        <f t="shared" si="90"/>
        <v>0</v>
      </c>
      <c r="AM143" s="8" t="str">
        <f t="shared" si="91"/>
        <v>--</v>
      </c>
      <c r="AN143" s="10">
        <f t="shared" si="92"/>
        <v>0</v>
      </c>
      <c r="AO143" s="10">
        <f t="shared" si="93"/>
        <v>0</v>
      </c>
      <c r="AP143" s="10">
        <f t="shared" si="94"/>
        <v>0</v>
      </c>
      <c r="AQ143" s="10">
        <f t="shared" si="95"/>
        <v>0</v>
      </c>
      <c r="AR143" s="10">
        <f t="shared" si="96"/>
        <v>0</v>
      </c>
      <c r="AS143" s="8">
        <v>23</v>
      </c>
      <c r="AT143" s="9">
        <f t="shared" si="97"/>
        <v>0</v>
      </c>
      <c r="AU143" s="11">
        <f t="shared" si="98"/>
        <v>0</v>
      </c>
      <c r="AV143" s="6"/>
      <c r="AW143" s="6"/>
      <c r="AX143" s="6"/>
      <c r="AZ143" t="str">
        <f t="shared" si="99"/>
        <v>{"group":"A",</v>
      </c>
      <c r="BA143" t="str">
        <f t="shared" si="80"/>
        <v>"lot":0,</v>
      </c>
      <c r="BB143" t="str">
        <f t="shared" si="100"/>
        <v>"name":"0",</v>
      </c>
      <c r="BC143" t="str">
        <f t="shared" si="101"/>
        <v>"team":"",</v>
      </c>
      <c r="BD143" t="str">
        <f t="shared" si="102"/>
        <v>"year":"0",</v>
      </c>
      <c r="BE143" t="str">
        <f t="shared" si="103"/>
        <v>"gender":"0",</v>
      </c>
      <c r="BF143" t="str">
        <f t="shared" si="104"/>
        <v>"gear":"0",</v>
      </c>
      <c r="BG143" t="str">
        <f t="shared" si="105"/>
        <v>"lifts":"0",</v>
      </c>
      <c r="BH143" t="str">
        <f t="shared" si="106"/>
        <v>"division":"--",</v>
      </c>
      <c r="BI143" t="str">
        <f t="shared" si="107"/>
        <v>"wc":"0",</v>
      </c>
      <c r="BJ143" t="str">
        <f t="shared" si="108"/>
        <v>"bw":"",</v>
      </c>
      <c r="BK143" t="str">
        <f t="shared" si="109"/>
        <v>"pb":[0,0,0,0],</v>
      </c>
      <c r="BL143" t="str">
        <f t="shared" si="81"/>
        <v>"idx":"23",</v>
      </c>
      <c r="BM143" t="str">
        <f t="shared" si="82"/>
        <v>"sr":"0",</v>
      </c>
      <c r="BN143" t="str">
        <f t="shared" si="83"/>
        <v>"br":"0",</v>
      </c>
      <c r="BO143" t="str">
        <f t="shared" si="84"/>
        <v>"row":0,</v>
      </c>
      <c r="BP143" t="s">
        <v>55</v>
      </c>
      <c r="BQ143" t="str">
        <f t="shared" si="85"/>
        <v>"sq":{"a1":0,"a2":"","a3":"","s1":0,"s2":0,"s3":0},"bp":{"a1":0,"a2":"","a3":"","s1":0,"s2":0,"s3":0},"dl":{"a1":0,"a2":"","a3":"","s1":0,"s2":0,"s3":0},"sortOrder":0,"act":{}}</v>
      </c>
      <c r="BR143" t="str">
        <f t="shared" si="110"/>
        <v>{"group":"A","lot":0,"name":"0","team":"","year":"0","gender":"0","gear":"0","lifts":"0","division":"--","wc":"0","bw":"","pb":[0,0,0,0],"idx":"23","sr":"0","br":"0","row":0,"sq":{"a1":0,"a2":"","a3":"","s1":0,"s2":0,"s3":0},"bp":{"a1":0,"a2":"","a3":"","s1":0,"s2":0,"s3":0},"dl":{"a1":0,"a2":"","a3":"","s1":0,"s2":0,"s3":0},"sortOrder":0,"act":{}}</v>
      </c>
    </row>
    <row r="144" spans="5:70" x14ac:dyDescent="0.25">
      <c r="E144" s="128"/>
      <c r="F144" s="129"/>
      <c r="G144" s="129"/>
      <c r="H144" s="129"/>
      <c r="I144" s="129"/>
      <c r="J144" s="129"/>
      <c r="K144" s="129"/>
      <c r="L144" s="130"/>
      <c r="M144" s="131"/>
      <c r="N144" s="130"/>
      <c r="O144" s="148">
        <f t="shared" ca="1" si="111"/>
        <v>2023</v>
      </c>
      <c r="P144" s="129"/>
      <c r="Q144" s="129"/>
      <c r="R144" s="129"/>
      <c r="S144" s="129"/>
      <c r="T144" s="129"/>
      <c r="U144" s="129"/>
      <c r="V144" s="129"/>
      <c r="W144" s="129"/>
      <c r="X144" s="129"/>
      <c r="Y144" s="132"/>
      <c r="Z144" s="133"/>
      <c r="AA144" s="133"/>
      <c r="AB144" s="134"/>
      <c r="AE144" s="15" t="str">
        <f t="shared" si="77"/>
        <v>A</v>
      </c>
      <c r="AF144" s="8">
        <f t="shared" si="78"/>
        <v>0</v>
      </c>
      <c r="AG144" s="9">
        <f t="shared" si="86"/>
        <v>0</v>
      </c>
      <c r="AH144" s="9" t="str">
        <f t="shared" si="87"/>
        <v/>
      </c>
      <c r="AI144" s="8">
        <f t="shared" si="79"/>
        <v>0</v>
      </c>
      <c r="AJ144" s="45">
        <f t="shared" si="88"/>
        <v>0</v>
      </c>
      <c r="AK144" s="45">
        <f t="shared" si="89"/>
        <v>0</v>
      </c>
      <c r="AL144" s="45">
        <f t="shared" si="90"/>
        <v>0</v>
      </c>
      <c r="AM144" s="8" t="str">
        <f t="shared" si="91"/>
        <v>--</v>
      </c>
      <c r="AN144" s="10">
        <f t="shared" si="92"/>
        <v>0</v>
      </c>
      <c r="AO144" s="10">
        <f t="shared" si="93"/>
        <v>0</v>
      </c>
      <c r="AP144" s="10">
        <f t="shared" si="94"/>
        <v>0</v>
      </c>
      <c r="AQ144" s="10">
        <f t="shared" si="95"/>
        <v>0</v>
      </c>
      <c r="AR144" s="10">
        <f t="shared" si="96"/>
        <v>0</v>
      </c>
      <c r="AS144" s="8">
        <v>23</v>
      </c>
      <c r="AT144" s="9">
        <f t="shared" si="97"/>
        <v>0</v>
      </c>
      <c r="AU144" s="11">
        <f t="shared" si="98"/>
        <v>0</v>
      </c>
      <c r="AV144" s="6"/>
      <c r="AW144" s="6"/>
      <c r="AX144" s="6"/>
      <c r="AZ144" t="str">
        <f t="shared" si="99"/>
        <v>{"group":"A",</v>
      </c>
      <c r="BA144" t="str">
        <f t="shared" si="80"/>
        <v>"lot":0,</v>
      </c>
      <c r="BB144" t="str">
        <f t="shared" si="100"/>
        <v>"name":"0",</v>
      </c>
      <c r="BC144" t="str">
        <f t="shared" si="101"/>
        <v>"team":"",</v>
      </c>
      <c r="BD144" t="str">
        <f t="shared" si="102"/>
        <v>"year":"0",</v>
      </c>
      <c r="BE144" t="str">
        <f t="shared" si="103"/>
        <v>"gender":"0",</v>
      </c>
      <c r="BF144" t="str">
        <f t="shared" si="104"/>
        <v>"gear":"0",</v>
      </c>
      <c r="BG144" t="str">
        <f t="shared" si="105"/>
        <v>"lifts":"0",</v>
      </c>
      <c r="BH144" t="str">
        <f t="shared" si="106"/>
        <v>"division":"--",</v>
      </c>
      <c r="BI144" t="str">
        <f t="shared" si="107"/>
        <v>"wc":"0",</v>
      </c>
      <c r="BJ144" t="str">
        <f t="shared" si="108"/>
        <v>"bw":"",</v>
      </c>
      <c r="BK144" t="str">
        <f t="shared" si="109"/>
        <v>"pb":[0,0,0,0],</v>
      </c>
      <c r="BL144" t="str">
        <f t="shared" si="81"/>
        <v>"idx":"23",</v>
      </c>
      <c r="BM144" t="str">
        <f t="shared" si="82"/>
        <v>"sr":"0",</v>
      </c>
      <c r="BN144" t="str">
        <f t="shared" si="83"/>
        <v>"br":"0",</v>
      </c>
      <c r="BO144" t="str">
        <f t="shared" si="84"/>
        <v>"row":0,</v>
      </c>
      <c r="BP144" t="s">
        <v>55</v>
      </c>
      <c r="BQ144" t="str">
        <f t="shared" si="85"/>
        <v>"sq":{"a1":0,"a2":"","a3":"","s1":0,"s2":0,"s3":0},"bp":{"a1":0,"a2":"","a3":"","s1":0,"s2":0,"s3":0},"dl":{"a1":0,"a2":"","a3":"","s1":0,"s2":0,"s3":0},"sortOrder":0,"act":{}}</v>
      </c>
      <c r="BR144" t="str">
        <f t="shared" si="110"/>
        <v>{"group":"A","lot":0,"name":"0","team":"","year":"0","gender":"0","gear":"0","lifts":"0","division":"--","wc":"0","bw":"","pb":[0,0,0,0],"idx":"23","sr":"0","br":"0","row":0,"sq":{"a1":0,"a2":"","a3":"","s1":0,"s2":0,"s3":0},"bp":{"a1":0,"a2":"","a3":"","s1":0,"s2":0,"s3":0},"dl":{"a1":0,"a2":"","a3":"","s1":0,"s2":0,"s3":0},"sortOrder":0,"act":{}}</v>
      </c>
    </row>
    <row r="145" spans="5:70" x14ac:dyDescent="0.25">
      <c r="E145" s="128"/>
      <c r="F145" s="129"/>
      <c r="G145" s="129"/>
      <c r="H145" s="129"/>
      <c r="I145" s="129"/>
      <c r="J145" s="129"/>
      <c r="K145" s="129"/>
      <c r="L145" s="130"/>
      <c r="M145" s="131"/>
      <c r="N145" s="130"/>
      <c r="O145" s="148">
        <f t="shared" ca="1" si="111"/>
        <v>2023</v>
      </c>
      <c r="P145" s="129"/>
      <c r="Q145" s="129"/>
      <c r="R145" s="129"/>
      <c r="S145" s="129"/>
      <c r="T145" s="129"/>
      <c r="U145" s="129"/>
      <c r="V145" s="129"/>
      <c r="W145" s="129"/>
      <c r="X145" s="129"/>
      <c r="Y145" s="132"/>
      <c r="Z145" s="133"/>
      <c r="AA145" s="133"/>
      <c r="AB145" s="134"/>
      <c r="AE145" s="15" t="str">
        <f t="shared" si="77"/>
        <v>A</v>
      </c>
      <c r="AF145" s="8">
        <f t="shared" si="78"/>
        <v>0</v>
      </c>
      <c r="AG145" s="9">
        <f t="shared" si="86"/>
        <v>0</v>
      </c>
      <c r="AH145" s="9" t="str">
        <f t="shared" si="87"/>
        <v/>
      </c>
      <c r="AI145" s="8">
        <f t="shared" si="79"/>
        <v>0</v>
      </c>
      <c r="AJ145" s="45">
        <f t="shared" si="88"/>
        <v>0</v>
      </c>
      <c r="AK145" s="45">
        <f t="shared" si="89"/>
        <v>0</v>
      </c>
      <c r="AL145" s="45">
        <f t="shared" si="90"/>
        <v>0</v>
      </c>
      <c r="AM145" s="8" t="str">
        <f t="shared" si="91"/>
        <v>--</v>
      </c>
      <c r="AN145" s="10">
        <f t="shared" si="92"/>
        <v>0</v>
      </c>
      <c r="AO145" s="10">
        <f t="shared" si="93"/>
        <v>0</v>
      </c>
      <c r="AP145" s="10">
        <f t="shared" si="94"/>
        <v>0</v>
      </c>
      <c r="AQ145" s="10">
        <f t="shared" si="95"/>
        <v>0</v>
      </c>
      <c r="AR145" s="10">
        <f t="shared" si="96"/>
        <v>0</v>
      </c>
      <c r="AS145" s="8">
        <v>23</v>
      </c>
      <c r="AT145" s="9">
        <f t="shared" si="97"/>
        <v>0</v>
      </c>
      <c r="AU145" s="11">
        <f t="shared" si="98"/>
        <v>0</v>
      </c>
      <c r="AV145" s="6"/>
      <c r="AW145" s="6"/>
      <c r="AX145" s="6"/>
      <c r="AZ145" t="str">
        <f t="shared" si="99"/>
        <v>{"group":"A",</v>
      </c>
      <c r="BA145" t="str">
        <f t="shared" si="80"/>
        <v>"lot":0,</v>
      </c>
      <c r="BB145" t="str">
        <f t="shared" si="100"/>
        <v>"name":"0",</v>
      </c>
      <c r="BC145" t="str">
        <f t="shared" si="101"/>
        <v>"team":"",</v>
      </c>
      <c r="BD145" t="str">
        <f t="shared" si="102"/>
        <v>"year":"0",</v>
      </c>
      <c r="BE145" t="str">
        <f t="shared" si="103"/>
        <v>"gender":"0",</v>
      </c>
      <c r="BF145" t="str">
        <f t="shared" si="104"/>
        <v>"gear":"0",</v>
      </c>
      <c r="BG145" t="str">
        <f t="shared" si="105"/>
        <v>"lifts":"0",</v>
      </c>
      <c r="BH145" t="str">
        <f t="shared" si="106"/>
        <v>"division":"--",</v>
      </c>
      <c r="BI145" t="str">
        <f t="shared" si="107"/>
        <v>"wc":"0",</v>
      </c>
      <c r="BJ145" t="str">
        <f t="shared" si="108"/>
        <v>"bw":"",</v>
      </c>
      <c r="BK145" t="str">
        <f t="shared" si="109"/>
        <v>"pb":[0,0,0,0],</v>
      </c>
      <c r="BL145" t="str">
        <f t="shared" si="81"/>
        <v>"idx":"23",</v>
      </c>
      <c r="BM145" t="str">
        <f t="shared" si="82"/>
        <v>"sr":"0",</v>
      </c>
      <c r="BN145" t="str">
        <f t="shared" si="83"/>
        <v>"br":"0",</v>
      </c>
      <c r="BO145" t="str">
        <f t="shared" si="84"/>
        <v>"row":0,</v>
      </c>
      <c r="BP145" t="s">
        <v>55</v>
      </c>
      <c r="BQ145" t="str">
        <f t="shared" si="85"/>
        <v>"sq":{"a1":0,"a2":"","a3":"","s1":0,"s2":0,"s3":0},"bp":{"a1":0,"a2":"","a3":"","s1":0,"s2":0,"s3":0},"dl":{"a1":0,"a2":"","a3":"","s1":0,"s2":0,"s3":0},"sortOrder":0,"act":{}}</v>
      </c>
      <c r="BR145" t="str">
        <f t="shared" si="110"/>
        <v>{"group":"A","lot":0,"name":"0","team":"","year":"0","gender":"0","gear":"0","lifts":"0","division":"--","wc":"0","bw":"","pb":[0,0,0,0],"idx":"23","sr":"0","br":"0","row":0,"sq":{"a1":0,"a2":"","a3":"","s1":0,"s2":0,"s3":0},"bp":{"a1":0,"a2":"","a3":"","s1":0,"s2":0,"s3":0},"dl":{"a1":0,"a2":"","a3":"","s1":0,"s2":0,"s3":0},"sortOrder":0,"act":{}}</v>
      </c>
    </row>
    <row r="146" spans="5:70" x14ac:dyDescent="0.25">
      <c r="E146" s="128"/>
      <c r="F146" s="129"/>
      <c r="G146" s="129"/>
      <c r="H146" s="129"/>
      <c r="I146" s="129"/>
      <c r="J146" s="129"/>
      <c r="K146" s="129"/>
      <c r="L146" s="130"/>
      <c r="M146" s="131"/>
      <c r="N146" s="130"/>
      <c r="O146" s="148">
        <f t="shared" ca="1" si="111"/>
        <v>2023</v>
      </c>
      <c r="P146" s="129"/>
      <c r="Q146" s="129"/>
      <c r="R146" s="129"/>
      <c r="S146" s="129"/>
      <c r="T146" s="129"/>
      <c r="U146" s="129"/>
      <c r="V146" s="129"/>
      <c r="W146" s="129"/>
      <c r="X146" s="129"/>
      <c r="Y146" s="132"/>
      <c r="Z146" s="133"/>
      <c r="AA146" s="133"/>
      <c r="AB146" s="134"/>
      <c r="AE146" s="15" t="str">
        <f t="shared" si="77"/>
        <v>A</v>
      </c>
      <c r="AF146" s="8">
        <f t="shared" si="78"/>
        <v>0</v>
      </c>
      <c r="AG146" s="9">
        <f t="shared" si="86"/>
        <v>0</v>
      </c>
      <c r="AH146" s="9" t="str">
        <f t="shared" si="87"/>
        <v/>
      </c>
      <c r="AI146" s="8">
        <f t="shared" si="79"/>
        <v>0</v>
      </c>
      <c r="AJ146" s="45">
        <f t="shared" si="88"/>
        <v>0</v>
      </c>
      <c r="AK146" s="45">
        <f t="shared" si="89"/>
        <v>0</v>
      </c>
      <c r="AL146" s="45">
        <f t="shared" si="90"/>
        <v>0</v>
      </c>
      <c r="AM146" s="8" t="str">
        <f t="shared" si="91"/>
        <v>--</v>
      </c>
      <c r="AN146" s="10">
        <f t="shared" si="92"/>
        <v>0</v>
      </c>
      <c r="AO146" s="10">
        <f t="shared" si="93"/>
        <v>0</v>
      </c>
      <c r="AP146" s="10">
        <f t="shared" si="94"/>
        <v>0</v>
      </c>
      <c r="AQ146" s="10">
        <f t="shared" si="95"/>
        <v>0</v>
      </c>
      <c r="AR146" s="10">
        <f t="shared" si="96"/>
        <v>0</v>
      </c>
      <c r="AS146" s="8">
        <v>23</v>
      </c>
      <c r="AT146" s="9">
        <f t="shared" si="97"/>
        <v>0</v>
      </c>
      <c r="AU146" s="11">
        <f t="shared" si="98"/>
        <v>0</v>
      </c>
      <c r="AV146" s="6"/>
      <c r="AW146" s="6"/>
      <c r="AX146" s="6"/>
      <c r="AZ146" t="str">
        <f t="shared" si="99"/>
        <v>{"group":"A",</v>
      </c>
      <c r="BA146" t="str">
        <f t="shared" si="80"/>
        <v>"lot":0,</v>
      </c>
      <c r="BB146" t="str">
        <f t="shared" si="100"/>
        <v>"name":"0",</v>
      </c>
      <c r="BC146" t="str">
        <f t="shared" si="101"/>
        <v>"team":"",</v>
      </c>
      <c r="BD146" t="str">
        <f t="shared" si="102"/>
        <v>"year":"0",</v>
      </c>
      <c r="BE146" t="str">
        <f t="shared" si="103"/>
        <v>"gender":"0",</v>
      </c>
      <c r="BF146" t="str">
        <f t="shared" si="104"/>
        <v>"gear":"0",</v>
      </c>
      <c r="BG146" t="str">
        <f t="shared" si="105"/>
        <v>"lifts":"0",</v>
      </c>
      <c r="BH146" t="str">
        <f t="shared" si="106"/>
        <v>"division":"--",</v>
      </c>
      <c r="BI146" t="str">
        <f t="shared" si="107"/>
        <v>"wc":"0",</v>
      </c>
      <c r="BJ146" t="str">
        <f t="shared" si="108"/>
        <v>"bw":"",</v>
      </c>
      <c r="BK146" t="str">
        <f t="shared" si="109"/>
        <v>"pb":[0,0,0,0],</v>
      </c>
      <c r="BL146" t="str">
        <f t="shared" si="81"/>
        <v>"idx":"23",</v>
      </c>
      <c r="BM146" t="str">
        <f t="shared" si="82"/>
        <v>"sr":"0",</v>
      </c>
      <c r="BN146" t="str">
        <f t="shared" si="83"/>
        <v>"br":"0",</v>
      </c>
      <c r="BO146" t="str">
        <f t="shared" si="84"/>
        <v>"row":0,</v>
      </c>
      <c r="BP146" t="s">
        <v>55</v>
      </c>
      <c r="BQ146" t="str">
        <f t="shared" si="85"/>
        <v>"sq":{"a1":0,"a2":"","a3":"","s1":0,"s2":0,"s3":0},"bp":{"a1":0,"a2":"","a3":"","s1":0,"s2":0,"s3":0},"dl":{"a1":0,"a2":"","a3":"","s1":0,"s2":0,"s3":0},"sortOrder":0,"act":{}}</v>
      </c>
      <c r="BR146" t="str">
        <f t="shared" si="110"/>
        <v>{"group":"A","lot":0,"name":"0","team":"","year":"0","gender":"0","gear":"0","lifts":"0","division":"--","wc":"0","bw":"","pb":[0,0,0,0],"idx":"23","sr":"0","br":"0","row":0,"sq":{"a1":0,"a2":"","a3":"","s1":0,"s2":0,"s3":0},"bp":{"a1":0,"a2":"","a3":"","s1":0,"s2":0,"s3":0},"dl":{"a1":0,"a2":"","a3":"","s1":0,"s2":0,"s3":0},"sortOrder":0,"act":{}}</v>
      </c>
    </row>
    <row r="147" spans="5:70" x14ac:dyDescent="0.25">
      <c r="E147" s="128"/>
      <c r="F147" s="129"/>
      <c r="G147" s="129"/>
      <c r="H147" s="129"/>
      <c r="I147" s="129"/>
      <c r="J147" s="129"/>
      <c r="K147" s="129"/>
      <c r="L147" s="130"/>
      <c r="M147" s="131"/>
      <c r="N147" s="130"/>
      <c r="O147" s="148">
        <f t="shared" ca="1" si="111"/>
        <v>2023</v>
      </c>
      <c r="P147" s="129"/>
      <c r="Q147" s="129"/>
      <c r="R147" s="129"/>
      <c r="S147" s="129"/>
      <c r="T147" s="129"/>
      <c r="U147" s="129"/>
      <c r="V147" s="129"/>
      <c r="W147" s="129"/>
      <c r="X147" s="129"/>
      <c r="Y147" s="132"/>
      <c r="Z147" s="133"/>
      <c r="AA147" s="133"/>
      <c r="AB147" s="134"/>
      <c r="AE147" s="15" t="str">
        <f t="shared" si="77"/>
        <v>A</v>
      </c>
      <c r="AF147" s="8">
        <f t="shared" si="78"/>
        <v>0</v>
      </c>
      <c r="AG147" s="9">
        <f t="shared" si="86"/>
        <v>0</v>
      </c>
      <c r="AH147" s="9" t="str">
        <f t="shared" si="87"/>
        <v/>
      </c>
      <c r="AI147" s="8">
        <f t="shared" si="79"/>
        <v>0</v>
      </c>
      <c r="AJ147" s="45">
        <f t="shared" si="88"/>
        <v>0</v>
      </c>
      <c r="AK147" s="45">
        <f t="shared" si="89"/>
        <v>0</v>
      </c>
      <c r="AL147" s="45">
        <f t="shared" si="90"/>
        <v>0</v>
      </c>
      <c r="AM147" s="8" t="str">
        <f t="shared" si="91"/>
        <v>--</v>
      </c>
      <c r="AN147" s="10">
        <f t="shared" si="92"/>
        <v>0</v>
      </c>
      <c r="AO147" s="10">
        <f t="shared" si="93"/>
        <v>0</v>
      </c>
      <c r="AP147" s="10">
        <f t="shared" si="94"/>
        <v>0</v>
      </c>
      <c r="AQ147" s="10">
        <f t="shared" si="95"/>
        <v>0</v>
      </c>
      <c r="AR147" s="10">
        <f t="shared" si="96"/>
        <v>0</v>
      </c>
      <c r="AS147" s="8">
        <v>23</v>
      </c>
      <c r="AT147" s="9">
        <f t="shared" si="97"/>
        <v>0</v>
      </c>
      <c r="AU147" s="11">
        <f t="shared" si="98"/>
        <v>0</v>
      </c>
      <c r="AV147" s="6"/>
      <c r="AW147" s="6"/>
      <c r="AX147" s="6"/>
      <c r="AZ147" t="str">
        <f t="shared" si="99"/>
        <v>{"group":"A",</v>
      </c>
      <c r="BA147" t="str">
        <f t="shared" si="80"/>
        <v>"lot":0,</v>
      </c>
      <c r="BB147" t="str">
        <f t="shared" si="100"/>
        <v>"name":"0",</v>
      </c>
      <c r="BC147" t="str">
        <f t="shared" si="101"/>
        <v>"team":"",</v>
      </c>
      <c r="BD147" t="str">
        <f t="shared" si="102"/>
        <v>"year":"0",</v>
      </c>
      <c r="BE147" t="str">
        <f t="shared" si="103"/>
        <v>"gender":"0",</v>
      </c>
      <c r="BF147" t="str">
        <f t="shared" si="104"/>
        <v>"gear":"0",</v>
      </c>
      <c r="BG147" t="str">
        <f t="shared" si="105"/>
        <v>"lifts":"0",</v>
      </c>
      <c r="BH147" t="str">
        <f t="shared" si="106"/>
        <v>"division":"--",</v>
      </c>
      <c r="BI147" t="str">
        <f t="shared" si="107"/>
        <v>"wc":"0",</v>
      </c>
      <c r="BJ147" t="str">
        <f t="shared" si="108"/>
        <v>"bw":"",</v>
      </c>
      <c r="BK147" t="str">
        <f t="shared" si="109"/>
        <v>"pb":[0,0,0,0],</v>
      </c>
      <c r="BL147" t="str">
        <f t="shared" si="81"/>
        <v>"idx":"23",</v>
      </c>
      <c r="BM147" t="str">
        <f t="shared" si="82"/>
        <v>"sr":"0",</v>
      </c>
      <c r="BN147" t="str">
        <f t="shared" si="83"/>
        <v>"br":"0",</v>
      </c>
      <c r="BO147" t="str">
        <f t="shared" si="84"/>
        <v>"row":0,</v>
      </c>
      <c r="BP147" t="s">
        <v>55</v>
      </c>
      <c r="BQ147" t="str">
        <f t="shared" si="85"/>
        <v>"sq":{"a1":0,"a2":"","a3":"","s1":0,"s2":0,"s3":0},"bp":{"a1":0,"a2":"","a3":"","s1":0,"s2":0,"s3":0},"dl":{"a1":0,"a2":"","a3":"","s1":0,"s2":0,"s3":0},"sortOrder":0,"act":{}}</v>
      </c>
      <c r="BR147" t="str">
        <f t="shared" si="110"/>
        <v>{"group":"A","lot":0,"name":"0","team":"","year":"0","gender":"0","gear":"0","lifts":"0","division":"--","wc":"0","bw":"","pb":[0,0,0,0],"idx":"23","sr":"0","br":"0","row":0,"sq":{"a1":0,"a2":"","a3":"","s1":0,"s2":0,"s3":0},"bp":{"a1":0,"a2":"","a3":"","s1":0,"s2":0,"s3":0},"dl":{"a1":0,"a2":"","a3":"","s1":0,"s2":0,"s3":0},"sortOrder":0,"act":{}}</v>
      </c>
    </row>
    <row r="148" spans="5:70" x14ac:dyDescent="0.25">
      <c r="E148" s="128"/>
      <c r="F148" s="129"/>
      <c r="G148" s="129"/>
      <c r="H148" s="129"/>
      <c r="I148" s="129"/>
      <c r="J148" s="129"/>
      <c r="K148" s="129"/>
      <c r="L148" s="130"/>
      <c r="M148" s="131"/>
      <c r="N148" s="130"/>
      <c r="O148" s="148">
        <f t="shared" ca="1" si="111"/>
        <v>2023</v>
      </c>
      <c r="P148" s="129"/>
      <c r="Q148" s="129"/>
      <c r="R148" s="129"/>
      <c r="S148" s="129"/>
      <c r="T148" s="129"/>
      <c r="U148" s="129"/>
      <c r="V148" s="129"/>
      <c r="W148" s="129"/>
      <c r="X148" s="129"/>
      <c r="Y148" s="132"/>
      <c r="Z148" s="133"/>
      <c r="AA148" s="133"/>
      <c r="AB148" s="134"/>
      <c r="AE148" s="15" t="str">
        <f t="shared" si="77"/>
        <v>A</v>
      </c>
      <c r="AF148" s="8">
        <f t="shared" si="78"/>
        <v>0</v>
      </c>
      <c r="AG148" s="9">
        <f t="shared" si="86"/>
        <v>0</v>
      </c>
      <c r="AH148" s="9" t="str">
        <f t="shared" si="87"/>
        <v/>
      </c>
      <c r="AI148" s="8">
        <f t="shared" si="79"/>
        <v>0</v>
      </c>
      <c r="AJ148" s="45">
        <f t="shared" si="88"/>
        <v>0</v>
      </c>
      <c r="AK148" s="45">
        <f t="shared" si="89"/>
        <v>0</v>
      </c>
      <c r="AL148" s="45">
        <f t="shared" si="90"/>
        <v>0</v>
      </c>
      <c r="AM148" s="8" t="str">
        <f t="shared" si="91"/>
        <v>--</v>
      </c>
      <c r="AN148" s="10">
        <f t="shared" si="92"/>
        <v>0</v>
      </c>
      <c r="AO148" s="10">
        <f t="shared" si="93"/>
        <v>0</v>
      </c>
      <c r="AP148" s="10">
        <f t="shared" si="94"/>
        <v>0</v>
      </c>
      <c r="AQ148" s="10">
        <f t="shared" si="95"/>
        <v>0</v>
      </c>
      <c r="AR148" s="10">
        <f t="shared" si="96"/>
        <v>0</v>
      </c>
      <c r="AS148" s="8">
        <v>23</v>
      </c>
      <c r="AT148" s="9">
        <f t="shared" si="97"/>
        <v>0</v>
      </c>
      <c r="AU148" s="11">
        <f t="shared" si="98"/>
        <v>0</v>
      </c>
      <c r="AV148" s="6"/>
      <c r="AW148" s="6"/>
      <c r="AX148" s="6"/>
      <c r="AZ148" t="str">
        <f t="shared" si="99"/>
        <v>{"group":"A",</v>
      </c>
      <c r="BA148" t="str">
        <f t="shared" si="80"/>
        <v>"lot":0,</v>
      </c>
      <c r="BB148" t="str">
        <f t="shared" si="100"/>
        <v>"name":"0",</v>
      </c>
      <c r="BC148" t="str">
        <f t="shared" si="101"/>
        <v>"team":"",</v>
      </c>
      <c r="BD148" t="str">
        <f t="shared" si="102"/>
        <v>"year":"0",</v>
      </c>
      <c r="BE148" t="str">
        <f t="shared" si="103"/>
        <v>"gender":"0",</v>
      </c>
      <c r="BF148" t="str">
        <f t="shared" si="104"/>
        <v>"gear":"0",</v>
      </c>
      <c r="BG148" t="str">
        <f t="shared" si="105"/>
        <v>"lifts":"0",</v>
      </c>
      <c r="BH148" t="str">
        <f t="shared" si="106"/>
        <v>"division":"--",</v>
      </c>
      <c r="BI148" t="str">
        <f t="shared" si="107"/>
        <v>"wc":"0",</v>
      </c>
      <c r="BJ148" t="str">
        <f t="shared" si="108"/>
        <v>"bw":"",</v>
      </c>
      <c r="BK148" t="str">
        <f t="shared" si="109"/>
        <v>"pb":[0,0,0,0],</v>
      </c>
      <c r="BL148" t="str">
        <f t="shared" si="81"/>
        <v>"idx":"23",</v>
      </c>
      <c r="BM148" t="str">
        <f t="shared" si="82"/>
        <v>"sr":"0",</v>
      </c>
      <c r="BN148" t="str">
        <f t="shared" si="83"/>
        <v>"br":"0",</v>
      </c>
      <c r="BO148" t="str">
        <f t="shared" si="84"/>
        <v>"row":0,</v>
      </c>
      <c r="BP148" t="s">
        <v>55</v>
      </c>
      <c r="BQ148" t="str">
        <f t="shared" si="85"/>
        <v>"sq":{"a1":0,"a2":"","a3":"","s1":0,"s2":0,"s3":0},"bp":{"a1":0,"a2":"","a3":"","s1":0,"s2":0,"s3":0},"dl":{"a1":0,"a2":"","a3":"","s1":0,"s2":0,"s3":0},"sortOrder":0,"act":{}}</v>
      </c>
      <c r="BR148" t="str">
        <f t="shared" si="110"/>
        <v>{"group":"A","lot":0,"name":"0","team":"","year":"0","gender":"0","gear":"0","lifts":"0","division":"--","wc":"0","bw":"","pb":[0,0,0,0],"idx":"23","sr":"0","br":"0","row":0,"sq":{"a1":0,"a2":"","a3":"","s1":0,"s2":0,"s3":0},"bp":{"a1":0,"a2":"","a3":"","s1":0,"s2":0,"s3":0},"dl":{"a1":0,"a2":"","a3":"","s1":0,"s2":0,"s3":0},"sortOrder":0,"act":{}}</v>
      </c>
    </row>
    <row r="149" spans="5:70" x14ac:dyDescent="0.25">
      <c r="E149" s="128"/>
      <c r="F149" s="129"/>
      <c r="G149" s="129"/>
      <c r="H149" s="129"/>
      <c r="I149" s="129"/>
      <c r="J149" s="129"/>
      <c r="K149" s="129"/>
      <c r="L149" s="130"/>
      <c r="M149" s="131"/>
      <c r="N149" s="130"/>
      <c r="O149" s="148">
        <f t="shared" ca="1" si="111"/>
        <v>2023</v>
      </c>
      <c r="P149" s="129"/>
      <c r="Q149" s="129"/>
      <c r="R149" s="129"/>
      <c r="S149" s="129"/>
      <c r="T149" s="129"/>
      <c r="U149" s="129"/>
      <c r="V149" s="129"/>
      <c r="W149" s="129"/>
      <c r="X149" s="129"/>
      <c r="Y149" s="132"/>
      <c r="Z149" s="133"/>
      <c r="AA149" s="133"/>
      <c r="AB149" s="134"/>
      <c r="AE149" s="15" t="str">
        <f t="shared" si="77"/>
        <v>A</v>
      </c>
      <c r="AF149" s="8">
        <f t="shared" si="78"/>
        <v>0</v>
      </c>
      <c r="AG149" s="9">
        <f t="shared" si="86"/>
        <v>0</v>
      </c>
      <c r="AH149" s="9" t="str">
        <f t="shared" si="87"/>
        <v/>
      </c>
      <c r="AI149" s="8">
        <f t="shared" si="79"/>
        <v>0</v>
      </c>
      <c r="AJ149" s="45">
        <f t="shared" si="88"/>
        <v>0</v>
      </c>
      <c r="AK149" s="45">
        <f t="shared" si="89"/>
        <v>0</v>
      </c>
      <c r="AL149" s="45">
        <f t="shared" si="90"/>
        <v>0</v>
      </c>
      <c r="AM149" s="8" t="str">
        <f t="shared" si="91"/>
        <v>--</v>
      </c>
      <c r="AN149" s="10">
        <f t="shared" si="92"/>
        <v>0</v>
      </c>
      <c r="AO149" s="10">
        <f t="shared" si="93"/>
        <v>0</v>
      </c>
      <c r="AP149" s="10">
        <f t="shared" si="94"/>
        <v>0</v>
      </c>
      <c r="AQ149" s="10">
        <f t="shared" si="95"/>
        <v>0</v>
      </c>
      <c r="AR149" s="10">
        <f t="shared" si="96"/>
        <v>0</v>
      </c>
      <c r="AS149" s="8">
        <v>23</v>
      </c>
      <c r="AT149" s="9">
        <f t="shared" si="97"/>
        <v>0</v>
      </c>
      <c r="AU149" s="11">
        <f t="shared" si="98"/>
        <v>0</v>
      </c>
      <c r="AV149" s="6"/>
      <c r="AW149" s="6"/>
      <c r="AX149" s="6"/>
      <c r="AZ149" t="str">
        <f t="shared" si="99"/>
        <v>{"group":"A",</v>
      </c>
      <c r="BA149" t="str">
        <f t="shared" si="80"/>
        <v>"lot":0,</v>
      </c>
      <c r="BB149" t="str">
        <f t="shared" si="100"/>
        <v>"name":"0",</v>
      </c>
      <c r="BC149" t="str">
        <f t="shared" si="101"/>
        <v>"team":"",</v>
      </c>
      <c r="BD149" t="str">
        <f t="shared" si="102"/>
        <v>"year":"0",</v>
      </c>
      <c r="BE149" t="str">
        <f t="shared" si="103"/>
        <v>"gender":"0",</v>
      </c>
      <c r="BF149" t="str">
        <f t="shared" si="104"/>
        <v>"gear":"0",</v>
      </c>
      <c r="BG149" t="str">
        <f t="shared" si="105"/>
        <v>"lifts":"0",</v>
      </c>
      <c r="BH149" t="str">
        <f t="shared" si="106"/>
        <v>"division":"--",</v>
      </c>
      <c r="BI149" t="str">
        <f t="shared" si="107"/>
        <v>"wc":"0",</v>
      </c>
      <c r="BJ149" t="str">
        <f t="shared" si="108"/>
        <v>"bw":"",</v>
      </c>
      <c r="BK149" t="str">
        <f t="shared" si="109"/>
        <v>"pb":[0,0,0,0],</v>
      </c>
      <c r="BL149" t="str">
        <f t="shared" si="81"/>
        <v>"idx":"23",</v>
      </c>
      <c r="BM149" t="str">
        <f t="shared" si="82"/>
        <v>"sr":"0",</v>
      </c>
      <c r="BN149" t="str">
        <f t="shared" si="83"/>
        <v>"br":"0",</v>
      </c>
      <c r="BO149" t="str">
        <f t="shared" si="84"/>
        <v>"row":0,</v>
      </c>
      <c r="BP149" t="s">
        <v>55</v>
      </c>
      <c r="BQ149" t="str">
        <f t="shared" si="85"/>
        <v>"sq":{"a1":0,"a2":"","a3":"","s1":0,"s2":0,"s3":0},"bp":{"a1":0,"a2":"","a3":"","s1":0,"s2":0,"s3":0},"dl":{"a1":0,"a2":"","a3":"","s1":0,"s2":0,"s3":0},"sortOrder":0,"act":{}}</v>
      </c>
      <c r="BR149" t="str">
        <f t="shared" si="110"/>
        <v>{"group":"A","lot":0,"name":"0","team":"","year":"0","gender":"0","gear":"0","lifts":"0","division":"--","wc":"0","bw":"","pb":[0,0,0,0],"idx":"23","sr":"0","br":"0","row":0,"sq":{"a1":0,"a2":"","a3":"","s1":0,"s2":0,"s3":0},"bp":{"a1":0,"a2":"","a3":"","s1":0,"s2":0,"s3":0},"dl":{"a1":0,"a2":"","a3":"","s1":0,"s2":0,"s3":0},"sortOrder":0,"act":{}}</v>
      </c>
    </row>
    <row r="150" spans="5:70" x14ac:dyDescent="0.25">
      <c r="E150" s="128"/>
      <c r="F150" s="129"/>
      <c r="G150" s="129"/>
      <c r="H150" s="129"/>
      <c r="I150" s="129"/>
      <c r="J150" s="129"/>
      <c r="K150" s="129"/>
      <c r="L150" s="130"/>
      <c r="M150" s="131"/>
      <c r="N150" s="130"/>
      <c r="O150" s="148">
        <f t="shared" ca="1" si="111"/>
        <v>2023</v>
      </c>
      <c r="P150" s="129"/>
      <c r="Q150" s="129"/>
      <c r="R150" s="129"/>
      <c r="S150" s="129"/>
      <c r="T150" s="129"/>
      <c r="U150" s="129"/>
      <c r="V150" s="129"/>
      <c r="W150" s="129"/>
      <c r="X150" s="129"/>
      <c r="Y150" s="132"/>
      <c r="Z150" s="133"/>
      <c r="AA150" s="133"/>
      <c r="AB150" s="134"/>
      <c r="AE150" s="15" t="str">
        <f t="shared" si="77"/>
        <v>A</v>
      </c>
      <c r="AF150" s="8">
        <f t="shared" si="78"/>
        <v>0</v>
      </c>
      <c r="AG150" s="9">
        <f t="shared" si="86"/>
        <v>0</v>
      </c>
      <c r="AH150" s="9" t="str">
        <f t="shared" si="87"/>
        <v/>
      </c>
      <c r="AI150" s="8">
        <f t="shared" si="79"/>
        <v>0</v>
      </c>
      <c r="AJ150" s="45">
        <f t="shared" si="88"/>
        <v>0</v>
      </c>
      <c r="AK150" s="45">
        <f t="shared" si="89"/>
        <v>0</v>
      </c>
      <c r="AL150" s="45">
        <f t="shared" si="90"/>
        <v>0</v>
      </c>
      <c r="AM150" s="8" t="str">
        <f t="shared" si="91"/>
        <v>--</v>
      </c>
      <c r="AN150" s="10">
        <f t="shared" si="92"/>
        <v>0</v>
      </c>
      <c r="AO150" s="10">
        <f t="shared" si="93"/>
        <v>0</v>
      </c>
      <c r="AP150" s="10">
        <f t="shared" si="94"/>
        <v>0</v>
      </c>
      <c r="AQ150" s="10">
        <f t="shared" si="95"/>
        <v>0</v>
      </c>
      <c r="AR150" s="10">
        <f t="shared" si="96"/>
        <v>0</v>
      </c>
      <c r="AS150" s="8">
        <v>23</v>
      </c>
      <c r="AT150" s="9">
        <f t="shared" si="97"/>
        <v>0</v>
      </c>
      <c r="AU150" s="11">
        <f t="shared" si="98"/>
        <v>0</v>
      </c>
      <c r="AV150" s="6"/>
      <c r="AW150" s="6"/>
      <c r="AX150" s="6"/>
      <c r="AZ150" t="str">
        <f t="shared" si="99"/>
        <v>{"group":"A",</v>
      </c>
      <c r="BA150" t="str">
        <f t="shared" si="80"/>
        <v>"lot":0,</v>
      </c>
      <c r="BB150" t="str">
        <f t="shared" si="100"/>
        <v>"name":"0",</v>
      </c>
      <c r="BC150" t="str">
        <f t="shared" si="101"/>
        <v>"team":"",</v>
      </c>
      <c r="BD150" t="str">
        <f t="shared" si="102"/>
        <v>"year":"0",</v>
      </c>
      <c r="BE150" t="str">
        <f t="shared" si="103"/>
        <v>"gender":"0",</v>
      </c>
      <c r="BF150" t="str">
        <f t="shared" si="104"/>
        <v>"gear":"0",</v>
      </c>
      <c r="BG150" t="str">
        <f t="shared" si="105"/>
        <v>"lifts":"0",</v>
      </c>
      <c r="BH150" t="str">
        <f t="shared" si="106"/>
        <v>"division":"--",</v>
      </c>
      <c r="BI150" t="str">
        <f t="shared" si="107"/>
        <v>"wc":"0",</v>
      </c>
      <c r="BJ150" t="str">
        <f t="shared" si="108"/>
        <v>"bw":"",</v>
      </c>
      <c r="BK150" t="str">
        <f t="shared" si="109"/>
        <v>"pb":[0,0,0,0],</v>
      </c>
      <c r="BL150" t="str">
        <f t="shared" si="81"/>
        <v>"idx":"23",</v>
      </c>
      <c r="BM150" t="str">
        <f t="shared" si="82"/>
        <v>"sr":"0",</v>
      </c>
      <c r="BN150" t="str">
        <f t="shared" si="83"/>
        <v>"br":"0",</v>
      </c>
      <c r="BO150" t="str">
        <f t="shared" si="84"/>
        <v>"row":0,</v>
      </c>
      <c r="BP150" t="s">
        <v>55</v>
      </c>
      <c r="BQ150" t="str">
        <f t="shared" si="85"/>
        <v>"sq":{"a1":0,"a2":"","a3":"","s1":0,"s2":0,"s3":0},"bp":{"a1":0,"a2":"","a3":"","s1":0,"s2":0,"s3":0},"dl":{"a1":0,"a2":"","a3":"","s1":0,"s2":0,"s3":0},"sortOrder":0,"act":{}}</v>
      </c>
      <c r="BR150" t="str">
        <f t="shared" si="110"/>
        <v>{"group":"A","lot":0,"name":"0","team":"","year":"0","gender":"0","gear":"0","lifts":"0","division":"--","wc":"0","bw":"","pb":[0,0,0,0],"idx":"23","sr":"0","br":"0","row":0,"sq":{"a1":0,"a2":"","a3":"","s1":0,"s2":0,"s3":0},"bp":{"a1":0,"a2":"","a3":"","s1":0,"s2":0,"s3":0},"dl":{"a1":0,"a2":"","a3":"","s1":0,"s2":0,"s3":0},"sortOrder":0,"act":{}}</v>
      </c>
    </row>
    <row r="151" spans="5:70" x14ac:dyDescent="0.25">
      <c r="E151" s="128"/>
      <c r="F151" s="129"/>
      <c r="G151" s="129"/>
      <c r="H151" s="129"/>
      <c r="I151" s="129"/>
      <c r="J151" s="129"/>
      <c r="K151" s="129"/>
      <c r="L151" s="130"/>
      <c r="M151" s="131"/>
      <c r="N151" s="130"/>
      <c r="O151" s="148">
        <f t="shared" ca="1" si="111"/>
        <v>2023</v>
      </c>
      <c r="P151" s="129"/>
      <c r="Q151" s="129"/>
      <c r="R151" s="129"/>
      <c r="S151" s="129"/>
      <c r="T151" s="129"/>
      <c r="U151" s="129"/>
      <c r="V151" s="129"/>
      <c r="W151" s="129"/>
      <c r="X151" s="129"/>
      <c r="Y151" s="132"/>
      <c r="Z151" s="133"/>
      <c r="AA151" s="133"/>
      <c r="AB151" s="134"/>
      <c r="AE151" s="15" t="str">
        <f t="shared" si="77"/>
        <v>A</v>
      </c>
      <c r="AF151" s="8">
        <f t="shared" si="78"/>
        <v>0</v>
      </c>
      <c r="AG151" s="9">
        <f t="shared" si="86"/>
        <v>0</v>
      </c>
      <c r="AH151" s="9" t="str">
        <f t="shared" si="87"/>
        <v/>
      </c>
      <c r="AI151" s="8">
        <f t="shared" si="79"/>
        <v>0</v>
      </c>
      <c r="AJ151" s="45">
        <f t="shared" si="88"/>
        <v>0</v>
      </c>
      <c r="AK151" s="45">
        <f t="shared" si="89"/>
        <v>0</v>
      </c>
      <c r="AL151" s="45">
        <f t="shared" si="90"/>
        <v>0</v>
      </c>
      <c r="AM151" s="8" t="str">
        <f t="shared" si="91"/>
        <v>--</v>
      </c>
      <c r="AN151" s="10">
        <f t="shared" si="92"/>
        <v>0</v>
      </c>
      <c r="AO151" s="10">
        <f t="shared" si="93"/>
        <v>0</v>
      </c>
      <c r="AP151" s="10">
        <f t="shared" si="94"/>
        <v>0</v>
      </c>
      <c r="AQ151" s="10">
        <f t="shared" si="95"/>
        <v>0</v>
      </c>
      <c r="AR151" s="10">
        <f t="shared" si="96"/>
        <v>0</v>
      </c>
      <c r="AS151" s="8">
        <v>23</v>
      </c>
      <c r="AT151" s="9">
        <f t="shared" si="97"/>
        <v>0</v>
      </c>
      <c r="AU151" s="11">
        <f t="shared" si="98"/>
        <v>0</v>
      </c>
      <c r="AV151" s="6"/>
      <c r="AW151" s="6"/>
      <c r="AX151" s="6"/>
      <c r="AZ151" t="str">
        <f t="shared" si="99"/>
        <v>{"group":"A",</v>
      </c>
      <c r="BA151" t="str">
        <f t="shared" si="80"/>
        <v>"lot":0,</v>
      </c>
      <c r="BB151" t="str">
        <f t="shared" si="100"/>
        <v>"name":"0",</v>
      </c>
      <c r="BC151" t="str">
        <f t="shared" si="101"/>
        <v>"team":"",</v>
      </c>
      <c r="BD151" t="str">
        <f t="shared" si="102"/>
        <v>"year":"0",</v>
      </c>
      <c r="BE151" t="str">
        <f t="shared" si="103"/>
        <v>"gender":"0",</v>
      </c>
      <c r="BF151" t="str">
        <f t="shared" si="104"/>
        <v>"gear":"0",</v>
      </c>
      <c r="BG151" t="str">
        <f t="shared" si="105"/>
        <v>"lifts":"0",</v>
      </c>
      <c r="BH151" t="str">
        <f t="shared" si="106"/>
        <v>"division":"--",</v>
      </c>
      <c r="BI151" t="str">
        <f t="shared" si="107"/>
        <v>"wc":"0",</v>
      </c>
      <c r="BJ151" t="str">
        <f t="shared" si="108"/>
        <v>"bw":"",</v>
      </c>
      <c r="BK151" t="str">
        <f t="shared" si="109"/>
        <v>"pb":[0,0,0,0],</v>
      </c>
      <c r="BL151" t="str">
        <f t="shared" si="81"/>
        <v>"idx":"23",</v>
      </c>
      <c r="BM151" t="str">
        <f t="shared" si="82"/>
        <v>"sr":"0",</v>
      </c>
      <c r="BN151" t="str">
        <f t="shared" si="83"/>
        <v>"br":"0",</v>
      </c>
      <c r="BO151" t="str">
        <f t="shared" si="84"/>
        <v>"row":0,</v>
      </c>
      <c r="BP151" t="s">
        <v>55</v>
      </c>
      <c r="BQ151" t="str">
        <f t="shared" si="85"/>
        <v>"sq":{"a1":0,"a2":"","a3":"","s1":0,"s2":0,"s3":0},"bp":{"a1":0,"a2":"","a3":"","s1":0,"s2":0,"s3":0},"dl":{"a1":0,"a2":"","a3":"","s1":0,"s2":0,"s3":0},"sortOrder":0,"act":{}}</v>
      </c>
      <c r="BR151" t="str">
        <f t="shared" si="110"/>
        <v>{"group":"A","lot":0,"name":"0","team":"","year":"0","gender":"0","gear":"0","lifts":"0","division":"--","wc":"0","bw":"","pb":[0,0,0,0],"idx":"23","sr":"0","br":"0","row":0,"sq":{"a1":0,"a2":"","a3":"","s1":0,"s2":0,"s3":0},"bp":{"a1":0,"a2":"","a3":"","s1":0,"s2":0,"s3":0},"dl":{"a1":0,"a2":"","a3":"","s1":0,"s2":0,"s3":0},"sortOrder":0,"act":{}}</v>
      </c>
    </row>
    <row r="152" spans="5:70" x14ac:dyDescent="0.25">
      <c r="E152" s="128"/>
      <c r="F152" s="129"/>
      <c r="G152" s="129"/>
      <c r="H152" s="129"/>
      <c r="I152" s="129"/>
      <c r="J152" s="129"/>
      <c r="K152" s="129"/>
      <c r="L152" s="130"/>
      <c r="M152" s="131"/>
      <c r="N152" s="130"/>
      <c r="O152" s="148">
        <f t="shared" ca="1" si="111"/>
        <v>2023</v>
      </c>
      <c r="P152" s="129"/>
      <c r="Q152" s="129"/>
      <c r="R152" s="129"/>
      <c r="S152" s="129"/>
      <c r="T152" s="129"/>
      <c r="U152" s="129"/>
      <c r="V152" s="129"/>
      <c r="W152" s="129"/>
      <c r="X152" s="129"/>
      <c r="Y152" s="132"/>
      <c r="Z152" s="133"/>
      <c r="AA152" s="133"/>
      <c r="AB152" s="134"/>
      <c r="AE152" s="15" t="str">
        <f t="shared" si="77"/>
        <v>A</v>
      </c>
      <c r="AF152" s="8">
        <f t="shared" si="78"/>
        <v>0</v>
      </c>
      <c r="AG152" s="9">
        <f t="shared" si="86"/>
        <v>0</v>
      </c>
      <c r="AH152" s="9" t="str">
        <f t="shared" si="87"/>
        <v/>
      </c>
      <c r="AI152" s="8">
        <f t="shared" si="79"/>
        <v>0</v>
      </c>
      <c r="AJ152" s="45">
        <f t="shared" si="88"/>
        <v>0</v>
      </c>
      <c r="AK152" s="45">
        <f t="shared" si="89"/>
        <v>0</v>
      </c>
      <c r="AL152" s="45">
        <f t="shared" si="90"/>
        <v>0</v>
      </c>
      <c r="AM152" s="8" t="str">
        <f t="shared" si="91"/>
        <v>--</v>
      </c>
      <c r="AN152" s="10">
        <f t="shared" si="92"/>
        <v>0</v>
      </c>
      <c r="AO152" s="10">
        <f t="shared" si="93"/>
        <v>0</v>
      </c>
      <c r="AP152" s="10">
        <f t="shared" si="94"/>
        <v>0</v>
      </c>
      <c r="AQ152" s="10">
        <f t="shared" si="95"/>
        <v>0</v>
      </c>
      <c r="AR152" s="10">
        <f t="shared" si="96"/>
        <v>0</v>
      </c>
      <c r="AS152" s="8">
        <v>23</v>
      </c>
      <c r="AT152" s="9">
        <f t="shared" si="97"/>
        <v>0</v>
      </c>
      <c r="AU152" s="11">
        <f t="shared" si="98"/>
        <v>0</v>
      </c>
      <c r="AV152" s="6"/>
      <c r="AW152" s="6"/>
      <c r="AX152" s="6"/>
      <c r="AZ152" t="str">
        <f t="shared" si="99"/>
        <v>{"group":"A",</v>
      </c>
      <c r="BA152" t="str">
        <f t="shared" si="80"/>
        <v>"lot":0,</v>
      </c>
      <c r="BB152" t="str">
        <f t="shared" si="100"/>
        <v>"name":"0",</v>
      </c>
      <c r="BC152" t="str">
        <f t="shared" si="101"/>
        <v>"team":"",</v>
      </c>
      <c r="BD152" t="str">
        <f t="shared" si="102"/>
        <v>"year":"0",</v>
      </c>
      <c r="BE152" t="str">
        <f t="shared" si="103"/>
        <v>"gender":"0",</v>
      </c>
      <c r="BF152" t="str">
        <f t="shared" si="104"/>
        <v>"gear":"0",</v>
      </c>
      <c r="BG152" t="str">
        <f t="shared" si="105"/>
        <v>"lifts":"0",</v>
      </c>
      <c r="BH152" t="str">
        <f t="shared" si="106"/>
        <v>"division":"--",</v>
      </c>
      <c r="BI152" t="str">
        <f t="shared" si="107"/>
        <v>"wc":"0",</v>
      </c>
      <c r="BJ152" t="str">
        <f t="shared" si="108"/>
        <v>"bw":"",</v>
      </c>
      <c r="BK152" t="str">
        <f t="shared" si="109"/>
        <v>"pb":[0,0,0,0],</v>
      </c>
      <c r="BL152" t="str">
        <f t="shared" si="81"/>
        <v>"idx":"23",</v>
      </c>
      <c r="BM152" t="str">
        <f t="shared" si="82"/>
        <v>"sr":"0",</v>
      </c>
      <c r="BN152" t="str">
        <f t="shared" si="83"/>
        <v>"br":"0",</v>
      </c>
      <c r="BO152" t="str">
        <f t="shared" si="84"/>
        <v>"row":0,</v>
      </c>
      <c r="BP152" t="s">
        <v>55</v>
      </c>
      <c r="BQ152" t="str">
        <f t="shared" si="85"/>
        <v>"sq":{"a1":0,"a2":"","a3":"","s1":0,"s2":0,"s3":0},"bp":{"a1":0,"a2":"","a3":"","s1":0,"s2":0,"s3":0},"dl":{"a1":0,"a2":"","a3":"","s1":0,"s2":0,"s3":0},"sortOrder":0,"act":{}}</v>
      </c>
      <c r="BR152" t="str">
        <f t="shared" si="110"/>
        <v>{"group":"A","lot":0,"name":"0","team":"","year":"0","gender":"0","gear":"0","lifts":"0","division":"--","wc":"0","bw":"","pb":[0,0,0,0],"idx":"23","sr":"0","br":"0","row":0,"sq":{"a1":0,"a2":"","a3":"","s1":0,"s2":0,"s3":0},"bp":{"a1":0,"a2":"","a3":"","s1":0,"s2":0,"s3":0},"dl":{"a1":0,"a2":"","a3":"","s1":0,"s2":0,"s3":0},"sortOrder":0,"act":{}}</v>
      </c>
    </row>
    <row r="153" spans="5:70" x14ac:dyDescent="0.25">
      <c r="E153" s="128"/>
      <c r="F153" s="129"/>
      <c r="G153" s="129"/>
      <c r="H153" s="129"/>
      <c r="I153" s="129"/>
      <c r="J153" s="129"/>
      <c r="K153" s="129"/>
      <c r="L153" s="130"/>
      <c r="M153" s="131"/>
      <c r="N153" s="130"/>
      <c r="O153" s="148">
        <f t="shared" ca="1" si="111"/>
        <v>2023</v>
      </c>
      <c r="P153" s="129"/>
      <c r="Q153" s="129"/>
      <c r="R153" s="129"/>
      <c r="S153" s="129"/>
      <c r="T153" s="129"/>
      <c r="U153" s="129"/>
      <c r="V153" s="129"/>
      <c r="W153" s="129"/>
      <c r="X153" s="129"/>
      <c r="Y153" s="132"/>
      <c r="Z153" s="133"/>
      <c r="AA153" s="133"/>
      <c r="AB153" s="134"/>
      <c r="AE153" s="15" t="str">
        <f t="shared" si="77"/>
        <v>A</v>
      </c>
      <c r="AF153" s="8">
        <f t="shared" si="78"/>
        <v>0</v>
      </c>
      <c r="AG153" s="9">
        <f t="shared" si="86"/>
        <v>0</v>
      </c>
      <c r="AH153" s="9" t="str">
        <f t="shared" si="87"/>
        <v/>
      </c>
      <c r="AI153" s="8">
        <f t="shared" si="79"/>
        <v>0</v>
      </c>
      <c r="AJ153" s="45">
        <f t="shared" si="88"/>
        <v>0</v>
      </c>
      <c r="AK153" s="45">
        <f t="shared" si="89"/>
        <v>0</v>
      </c>
      <c r="AL153" s="45">
        <f t="shared" si="90"/>
        <v>0</v>
      </c>
      <c r="AM153" s="8" t="str">
        <f t="shared" si="91"/>
        <v>--</v>
      </c>
      <c r="AN153" s="10">
        <f t="shared" si="92"/>
        <v>0</v>
      </c>
      <c r="AO153" s="10">
        <f t="shared" si="93"/>
        <v>0</v>
      </c>
      <c r="AP153" s="10">
        <f t="shared" si="94"/>
        <v>0</v>
      </c>
      <c r="AQ153" s="10">
        <f t="shared" si="95"/>
        <v>0</v>
      </c>
      <c r="AR153" s="10">
        <f t="shared" si="96"/>
        <v>0</v>
      </c>
      <c r="AS153" s="8">
        <v>23</v>
      </c>
      <c r="AT153" s="9">
        <f t="shared" si="97"/>
        <v>0</v>
      </c>
      <c r="AU153" s="11">
        <f t="shared" si="98"/>
        <v>0</v>
      </c>
      <c r="AV153" s="6"/>
      <c r="AW153" s="6"/>
      <c r="AX153" s="6"/>
      <c r="AZ153" t="str">
        <f t="shared" si="99"/>
        <v>{"group":"A",</v>
      </c>
      <c r="BA153" t="str">
        <f t="shared" si="80"/>
        <v>"lot":0,</v>
      </c>
      <c r="BB153" t="str">
        <f t="shared" si="100"/>
        <v>"name":"0",</v>
      </c>
      <c r="BC153" t="str">
        <f t="shared" si="101"/>
        <v>"team":"",</v>
      </c>
      <c r="BD153" t="str">
        <f t="shared" si="102"/>
        <v>"year":"0",</v>
      </c>
      <c r="BE153" t="str">
        <f t="shared" si="103"/>
        <v>"gender":"0",</v>
      </c>
      <c r="BF153" t="str">
        <f t="shared" si="104"/>
        <v>"gear":"0",</v>
      </c>
      <c r="BG153" t="str">
        <f t="shared" si="105"/>
        <v>"lifts":"0",</v>
      </c>
      <c r="BH153" t="str">
        <f t="shared" si="106"/>
        <v>"division":"--",</v>
      </c>
      <c r="BI153" t="str">
        <f t="shared" si="107"/>
        <v>"wc":"0",</v>
      </c>
      <c r="BJ153" t="str">
        <f t="shared" si="108"/>
        <v>"bw":"",</v>
      </c>
      <c r="BK153" t="str">
        <f t="shared" si="109"/>
        <v>"pb":[0,0,0,0],</v>
      </c>
      <c r="BL153" t="str">
        <f t="shared" si="81"/>
        <v>"idx":"23",</v>
      </c>
      <c r="BM153" t="str">
        <f t="shared" si="82"/>
        <v>"sr":"0",</v>
      </c>
      <c r="BN153" t="str">
        <f t="shared" si="83"/>
        <v>"br":"0",</v>
      </c>
      <c r="BO153" t="str">
        <f t="shared" si="84"/>
        <v>"row":0,</v>
      </c>
      <c r="BP153" t="s">
        <v>55</v>
      </c>
      <c r="BQ153" t="str">
        <f t="shared" si="85"/>
        <v>"sq":{"a1":0,"a2":"","a3":"","s1":0,"s2":0,"s3":0},"bp":{"a1":0,"a2":"","a3":"","s1":0,"s2":0,"s3":0},"dl":{"a1":0,"a2":"","a3":"","s1":0,"s2":0,"s3":0},"sortOrder":0,"act":{}}</v>
      </c>
      <c r="BR153" t="str">
        <f t="shared" si="110"/>
        <v>{"group":"A","lot":0,"name":"0","team":"","year":"0","gender":"0","gear":"0","lifts":"0","division":"--","wc":"0","bw":"","pb":[0,0,0,0],"idx":"23","sr":"0","br":"0","row":0,"sq":{"a1":0,"a2":"","a3":"","s1":0,"s2":0,"s3":0},"bp":{"a1":0,"a2":"","a3":"","s1":0,"s2":0,"s3":0},"dl":{"a1":0,"a2":"","a3":"","s1":0,"s2":0,"s3":0},"sortOrder":0,"act":{}}</v>
      </c>
    </row>
    <row r="154" spans="5:70" x14ac:dyDescent="0.25">
      <c r="E154" s="128"/>
      <c r="F154" s="129"/>
      <c r="G154" s="129"/>
      <c r="H154" s="129"/>
      <c r="I154" s="129"/>
      <c r="J154" s="129"/>
      <c r="K154" s="129"/>
      <c r="L154" s="130"/>
      <c r="M154" s="131"/>
      <c r="N154" s="130"/>
      <c r="O154" s="148">
        <f t="shared" ca="1" si="111"/>
        <v>2023</v>
      </c>
      <c r="P154" s="129"/>
      <c r="Q154" s="129"/>
      <c r="R154" s="129"/>
      <c r="S154" s="129"/>
      <c r="T154" s="129"/>
      <c r="U154" s="129"/>
      <c r="V154" s="129"/>
      <c r="W154" s="129"/>
      <c r="X154" s="129"/>
      <c r="Y154" s="132"/>
      <c r="Z154" s="133"/>
      <c r="AA154" s="133"/>
      <c r="AB154" s="134"/>
      <c r="AE154" s="15" t="str">
        <f t="shared" si="77"/>
        <v>A</v>
      </c>
      <c r="AF154" s="8">
        <f t="shared" si="78"/>
        <v>0</v>
      </c>
      <c r="AG154" s="9">
        <f t="shared" si="86"/>
        <v>0</v>
      </c>
      <c r="AH154" s="9" t="str">
        <f t="shared" si="87"/>
        <v/>
      </c>
      <c r="AI154" s="8">
        <f t="shared" si="79"/>
        <v>0</v>
      </c>
      <c r="AJ154" s="45">
        <f t="shared" si="88"/>
        <v>0</v>
      </c>
      <c r="AK154" s="45">
        <f t="shared" si="89"/>
        <v>0</v>
      </c>
      <c r="AL154" s="45">
        <f t="shared" si="90"/>
        <v>0</v>
      </c>
      <c r="AM154" s="8" t="str">
        <f t="shared" si="91"/>
        <v>--</v>
      </c>
      <c r="AN154" s="10">
        <f t="shared" si="92"/>
        <v>0</v>
      </c>
      <c r="AO154" s="10">
        <f t="shared" si="93"/>
        <v>0</v>
      </c>
      <c r="AP154" s="10">
        <f t="shared" si="94"/>
        <v>0</v>
      </c>
      <c r="AQ154" s="10">
        <f t="shared" si="95"/>
        <v>0</v>
      </c>
      <c r="AR154" s="10">
        <f t="shared" si="96"/>
        <v>0</v>
      </c>
      <c r="AS154" s="8">
        <v>23</v>
      </c>
      <c r="AT154" s="9">
        <f t="shared" si="97"/>
        <v>0</v>
      </c>
      <c r="AU154" s="11">
        <f t="shared" si="98"/>
        <v>0</v>
      </c>
      <c r="AV154" s="6"/>
      <c r="AW154" s="6"/>
      <c r="AX154" s="6"/>
      <c r="AZ154" t="str">
        <f t="shared" si="99"/>
        <v>{"group":"A",</v>
      </c>
      <c r="BA154" t="str">
        <f t="shared" si="80"/>
        <v>"lot":0,</v>
      </c>
      <c r="BB154" t="str">
        <f t="shared" si="100"/>
        <v>"name":"0",</v>
      </c>
      <c r="BC154" t="str">
        <f t="shared" si="101"/>
        <v>"team":"",</v>
      </c>
      <c r="BD154" t="str">
        <f t="shared" si="102"/>
        <v>"year":"0",</v>
      </c>
      <c r="BE154" t="str">
        <f t="shared" si="103"/>
        <v>"gender":"0",</v>
      </c>
      <c r="BF154" t="str">
        <f t="shared" si="104"/>
        <v>"gear":"0",</v>
      </c>
      <c r="BG154" t="str">
        <f t="shared" si="105"/>
        <v>"lifts":"0",</v>
      </c>
      <c r="BH154" t="str">
        <f t="shared" si="106"/>
        <v>"division":"--",</v>
      </c>
      <c r="BI154" t="str">
        <f t="shared" si="107"/>
        <v>"wc":"0",</v>
      </c>
      <c r="BJ154" t="str">
        <f t="shared" si="108"/>
        <v>"bw":"",</v>
      </c>
      <c r="BK154" t="str">
        <f t="shared" si="109"/>
        <v>"pb":[0,0,0,0],</v>
      </c>
      <c r="BL154" t="str">
        <f t="shared" si="81"/>
        <v>"idx":"23",</v>
      </c>
      <c r="BM154" t="str">
        <f t="shared" si="82"/>
        <v>"sr":"0",</v>
      </c>
      <c r="BN154" t="str">
        <f t="shared" si="83"/>
        <v>"br":"0",</v>
      </c>
      <c r="BO154" t="str">
        <f t="shared" si="84"/>
        <v>"row":0,</v>
      </c>
      <c r="BP154" t="s">
        <v>55</v>
      </c>
      <c r="BQ154" t="str">
        <f t="shared" si="85"/>
        <v>"sq":{"a1":0,"a2":"","a3":"","s1":0,"s2":0,"s3":0},"bp":{"a1":0,"a2":"","a3":"","s1":0,"s2":0,"s3":0},"dl":{"a1":0,"a2":"","a3":"","s1":0,"s2":0,"s3":0},"sortOrder":0,"act":{}}</v>
      </c>
      <c r="BR154" t="str">
        <f t="shared" si="110"/>
        <v>{"group":"A","lot":0,"name":"0","team":"","year":"0","gender":"0","gear":"0","lifts":"0","division":"--","wc":"0","bw":"","pb":[0,0,0,0],"idx":"23","sr":"0","br":"0","row":0,"sq":{"a1":0,"a2":"","a3":"","s1":0,"s2":0,"s3":0},"bp":{"a1":0,"a2":"","a3":"","s1":0,"s2":0,"s3":0},"dl":{"a1":0,"a2":"","a3":"","s1":0,"s2":0,"s3":0},"sortOrder":0,"act":{}}</v>
      </c>
    </row>
    <row r="155" spans="5:70" x14ac:dyDescent="0.25">
      <c r="E155" s="128"/>
      <c r="F155" s="129"/>
      <c r="G155" s="129"/>
      <c r="H155" s="129"/>
      <c r="I155" s="129"/>
      <c r="J155" s="129"/>
      <c r="K155" s="129"/>
      <c r="L155" s="130"/>
      <c r="M155" s="131"/>
      <c r="N155" s="130"/>
      <c r="O155" s="148">
        <f t="shared" ca="1" si="111"/>
        <v>2023</v>
      </c>
      <c r="P155" s="129"/>
      <c r="Q155" s="129"/>
      <c r="R155" s="129"/>
      <c r="S155" s="129"/>
      <c r="T155" s="129"/>
      <c r="U155" s="129"/>
      <c r="V155" s="129"/>
      <c r="W155" s="129"/>
      <c r="X155" s="129"/>
      <c r="Y155" s="132"/>
      <c r="Z155" s="133"/>
      <c r="AA155" s="133"/>
      <c r="AB155" s="134"/>
      <c r="AE155" s="15" t="str">
        <f t="shared" si="77"/>
        <v>A</v>
      </c>
      <c r="AF155" s="8">
        <f t="shared" si="78"/>
        <v>0</v>
      </c>
      <c r="AG155" s="9">
        <f t="shared" si="86"/>
        <v>0</v>
      </c>
      <c r="AH155" s="9" t="str">
        <f t="shared" si="87"/>
        <v/>
      </c>
      <c r="AI155" s="8">
        <f t="shared" si="79"/>
        <v>0</v>
      </c>
      <c r="AJ155" s="45">
        <f t="shared" si="88"/>
        <v>0</v>
      </c>
      <c r="AK155" s="45">
        <f t="shared" si="89"/>
        <v>0</v>
      </c>
      <c r="AL155" s="45">
        <f t="shared" si="90"/>
        <v>0</v>
      </c>
      <c r="AM155" s="8" t="str">
        <f t="shared" si="91"/>
        <v>--</v>
      </c>
      <c r="AN155" s="10">
        <f t="shared" si="92"/>
        <v>0</v>
      </c>
      <c r="AO155" s="10">
        <f t="shared" si="93"/>
        <v>0</v>
      </c>
      <c r="AP155" s="10">
        <f t="shared" si="94"/>
        <v>0</v>
      </c>
      <c r="AQ155" s="10">
        <f t="shared" si="95"/>
        <v>0</v>
      </c>
      <c r="AR155" s="10">
        <f t="shared" si="96"/>
        <v>0</v>
      </c>
      <c r="AS155" s="8">
        <v>23</v>
      </c>
      <c r="AT155" s="9">
        <f t="shared" si="97"/>
        <v>0</v>
      </c>
      <c r="AU155" s="11">
        <f t="shared" si="98"/>
        <v>0</v>
      </c>
      <c r="AV155" s="6"/>
      <c r="AW155" s="6"/>
      <c r="AX155" s="6"/>
      <c r="AZ155" t="str">
        <f t="shared" si="99"/>
        <v>{"group":"A",</v>
      </c>
      <c r="BA155" t="str">
        <f t="shared" si="80"/>
        <v>"lot":0,</v>
      </c>
      <c r="BB155" t="str">
        <f t="shared" si="100"/>
        <v>"name":"0",</v>
      </c>
      <c r="BC155" t="str">
        <f t="shared" si="101"/>
        <v>"team":"",</v>
      </c>
      <c r="BD155" t="str">
        <f t="shared" si="102"/>
        <v>"year":"0",</v>
      </c>
      <c r="BE155" t="str">
        <f t="shared" si="103"/>
        <v>"gender":"0",</v>
      </c>
      <c r="BF155" t="str">
        <f t="shared" si="104"/>
        <v>"gear":"0",</v>
      </c>
      <c r="BG155" t="str">
        <f t="shared" si="105"/>
        <v>"lifts":"0",</v>
      </c>
      <c r="BH155" t="str">
        <f t="shared" si="106"/>
        <v>"division":"--",</v>
      </c>
      <c r="BI155" t="str">
        <f t="shared" si="107"/>
        <v>"wc":"0",</v>
      </c>
      <c r="BJ155" t="str">
        <f t="shared" si="108"/>
        <v>"bw":"",</v>
      </c>
      <c r="BK155" t="str">
        <f t="shared" si="109"/>
        <v>"pb":[0,0,0,0],</v>
      </c>
      <c r="BL155" t="str">
        <f t="shared" si="81"/>
        <v>"idx":"23",</v>
      </c>
      <c r="BM155" t="str">
        <f t="shared" si="82"/>
        <v>"sr":"0",</v>
      </c>
      <c r="BN155" t="str">
        <f t="shared" si="83"/>
        <v>"br":"0",</v>
      </c>
      <c r="BO155" t="str">
        <f t="shared" si="84"/>
        <v>"row":0,</v>
      </c>
      <c r="BP155" t="s">
        <v>55</v>
      </c>
      <c r="BQ155" t="str">
        <f t="shared" si="85"/>
        <v>"sq":{"a1":0,"a2":"","a3":"","s1":0,"s2":0,"s3":0},"bp":{"a1":0,"a2":"","a3":"","s1":0,"s2":0,"s3":0},"dl":{"a1":0,"a2":"","a3":"","s1":0,"s2":0,"s3":0},"sortOrder":0,"act":{}}</v>
      </c>
      <c r="BR155" t="str">
        <f t="shared" si="110"/>
        <v>{"group":"A","lot":0,"name":"0","team":"","year":"0","gender":"0","gear":"0","lifts":"0","division":"--","wc":"0","bw":"","pb":[0,0,0,0],"idx":"23","sr":"0","br":"0","row":0,"sq":{"a1":0,"a2":"","a3":"","s1":0,"s2":0,"s3":0},"bp":{"a1":0,"a2":"","a3":"","s1":0,"s2":0,"s3":0},"dl":{"a1":0,"a2":"","a3":"","s1":0,"s2":0,"s3":0},"sortOrder":0,"act":{}}</v>
      </c>
    </row>
    <row r="156" spans="5:70" x14ac:dyDescent="0.25">
      <c r="E156" s="128"/>
      <c r="F156" s="129"/>
      <c r="G156" s="129"/>
      <c r="H156" s="129"/>
      <c r="I156" s="129"/>
      <c r="J156" s="129"/>
      <c r="K156" s="129"/>
      <c r="L156" s="130"/>
      <c r="M156" s="131"/>
      <c r="N156" s="130"/>
      <c r="O156" s="148">
        <f t="shared" ca="1" si="111"/>
        <v>2023</v>
      </c>
      <c r="P156" s="129"/>
      <c r="Q156" s="129"/>
      <c r="R156" s="129"/>
      <c r="S156" s="129"/>
      <c r="T156" s="129"/>
      <c r="U156" s="129"/>
      <c r="V156" s="129"/>
      <c r="W156" s="129"/>
      <c r="X156" s="129"/>
      <c r="Y156" s="132"/>
      <c r="Z156" s="133"/>
      <c r="AA156" s="133"/>
      <c r="AB156" s="134"/>
      <c r="AE156" s="15" t="str">
        <f t="shared" si="77"/>
        <v>A</v>
      </c>
      <c r="AF156" s="8">
        <f t="shared" si="78"/>
        <v>0</v>
      </c>
      <c r="AG156" s="9">
        <f t="shared" si="86"/>
        <v>0</v>
      </c>
      <c r="AH156" s="9" t="str">
        <f t="shared" si="87"/>
        <v/>
      </c>
      <c r="AI156" s="8">
        <f t="shared" si="79"/>
        <v>0</v>
      </c>
      <c r="AJ156" s="45">
        <f t="shared" si="88"/>
        <v>0</v>
      </c>
      <c r="AK156" s="45">
        <f t="shared" si="89"/>
        <v>0</v>
      </c>
      <c r="AL156" s="45">
        <f t="shared" si="90"/>
        <v>0</v>
      </c>
      <c r="AM156" s="8" t="str">
        <f t="shared" si="91"/>
        <v>--</v>
      </c>
      <c r="AN156" s="10">
        <f t="shared" si="92"/>
        <v>0</v>
      </c>
      <c r="AO156" s="10">
        <f t="shared" si="93"/>
        <v>0</v>
      </c>
      <c r="AP156" s="10">
        <f t="shared" si="94"/>
        <v>0</v>
      </c>
      <c r="AQ156" s="10">
        <f t="shared" si="95"/>
        <v>0</v>
      </c>
      <c r="AR156" s="10">
        <f t="shared" si="96"/>
        <v>0</v>
      </c>
      <c r="AS156" s="8">
        <v>23</v>
      </c>
      <c r="AT156" s="9">
        <f t="shared" si="97"/>
        <v>0</v>
      </c>
      <c r="AU156" s="11">
        <f t="shared" si="98"/>
        <v>0</v>
      </c>
      <c r="AV156" s="6"/>
      <c r="AW156" s="6"/>
      <c r="AX156" s="6"/>
      <c r="AZ156" t="str">
        <f t="shared" si="99"/>
        <v>{"group":"A",</v>
      </c>
      <c r="BA156" t="str">
        <f t="shared" si="80"/>
        <v>"lot":0,</v>
      </c>
      <c r="BB156" t="str">
        <f t="shared" si="100"/>
        <v>"name":"0",</v>
      </c>
      <c r="BC156" t="str">
        <f t="shared" si="101"/>
        <v>"team":"",</v>
      </c>
      <c r="BD156" t="str">
        <f t="shared" si="102"/>
        <v>"year":"0",</v>
      </c>
      <c r="BE156" t="str">
        <f t="shared" si="103"/>
        <v>"gender":"0",</v>
      </c>
      <c r="BF156" t="str">
        <f t="shared" si="104"/>
        <v>"gear":"0",</v>
      </c>
      <c r="BG156" t="str">
        <f t="shared" si="105"/>
        <v>"lifts":"0",</v>
      </c>
      <c r="BH156" t="str">
        <f t="shared" si="106"/>
        <v>"division":"--",</v>
      </c>
      <c r="BI156" t="str">
        <f t="shared" si="107"/>
        <v>"wc":"0",</v>
      </c>
      <c r="BJ156" t="str">
        <f t="shared" si="108"/>
        <v>"bw":"",</v>
      </c>
      <c r="BK156" t="str">
        <f t="shared" si="109"/>
        <v>"pb":[0,0,0,0],</v>
      </c>
      <c r="BL156" t="str">
        <f t="shared" si="81"/>
        <v>"idx":"23",</v>
      </c>
      <c r="BM156" t="str">
        <f t="shared" si="82"/>
        <v>"sr":"0",</v>
      </c>
      <c r="BN156" t="str">
        <f t="shared" si="83"/>
        <v>"br":"0",</v>
      </c>
      <c r="BO156" t="str">
        <f t="shared" si="84"/>
        <v>"row":0,</v>
      </c>
      <c r="BP156" t="s">
        <v>55</v>
      </c>
      <c r="BQ156" t="str">
        <f t="shared" si="85"/>
        <v>"sq":{"a1":0,"a2":"","a3":"","s1":0,"s2":0,"s3":0},"bp":{"a1":0,"a2":"","a3":"","s1":0,"s2":0,"s3":0},"dl":{"a1":0,"a2":"","a3":"","s1":0,"s2":0,"s3":0},"sortOrder":0,"act":{}}</v>
      </c>
      <c r="BR156" t="str">
        <f t="shared" si="110"/>
        <v>{"group":"A","lot":0,"name":"0","team":"","year":"0","gender":"0","gear":"0","lifts":"0","division":"--","wc":"0","bw":"","pb":[0,0,0,0],"idx":"23","sr":"0","br":"0","row":0,"sq":{"a1":0,"a2":"","a3":"","s1":0,"s2":0,"s3":0},"bp":{"a1":0,"a2":"","a3":"","s1":0,"s2":0,"s3":0},"dl":{"a1":0,"a2":"","a3":"","s1":0,"s2":0,"s3":0},"sortOrder":0,"act":{}}</v>
      </c>
    </row>
    <row r="157" spans="5:70" x14ac:dyDescent="0.25">
      <c r="E157" s="128"/>
      <c r="F157" s="129"/>
      <c r="G157" s="129"/>
      <c r="H157" s="129"/>
      <c r="I157" s="129"/>
      <c r="J157" s="129"/>
      <c r="K157" s="129"/>
      <c r="L157" s="130"/>
      <c r="M157" s="131"/>
      <c r="N157" s="130"/>
      <c r="O157" s="148">
        <f t="shared" ca="1" si="111"/>
        <v>2023</v>
      </c>
      <c r="P157" s="129"/>
      <c r="Q157" s="129"/>
      <c r="R157" s="129"/>
      <c r="S157" s="129"/>
      <c r="T157" s="129"/>
      <c r="U157" s="129"/>
      <c r="V157" s="129"/>
      <c r="W157" s="129"/>
      <c r="X157" s="129"/>
      <c r="Y157" s="132"/>
      <c r="Z157" s="133"/>
      <c r="AA157" s="133"/>
      <c r="AB157" s="134"/>
      <c r="AE157" s="15" t="str">
        <f t="shared" si="77"/>
        <v>A</v>
      </c>
      <c r="AF157" s="8">
        <f t="shared" si="78"/>
        <v>0</v>
      </c>
      <c r="AG157" s="9">
        <f t="shared" si="86"/>
        <v>0</v>
      </c>
      <c r="AH157" s="9" t="str">
        <f t="shared" si="87"/>
        <v/>
      </c>
      <c r="AI157" s="8">
        <f t="shared" si="79"/>
        <v>0</v>
      </c>
      <c r="AJ157" s="45">
        <f t="shared" si="88"/>
        <v>0</v>
      </c>
      <c r="AK157" s="45">
        <f t="shared" si="89"/>
        <v>0</v>
      </c>
      <c r="AL157" s="45">
        <f t="shared" si="90"/>
        <v>0</v>
      </c>
      <c r="AM157" s="8" t="str">
        <f t="shared" si="91"/>
        <v>--</v>
      </c>
      <c r="AN157" s="10">
        <f t="shared" si="92"/>
        <v>0</v>
      </c>
      <c r="AO157" s="10">
        <f t="shared" si="93"/>
        <v>0</v>
      </c>
      <c r="AP157" s="10">
        <f t="shared" si="94"/>
        <v>0</v>
      </c>
      <c r="AQ157" s="10">
        <f t="shared" si="95"/>
        <v>0</v>
      </c>
      <c r="AR157" s="10">
        <f t="shared" si="96"/>
        <v>0</v>
      </c>
      <c r="AS157" s="8">
        <v>23</v>
      </c>
      <c r="AT157" s="9">
        <f t="shared" si="97"/>
        <v>0</v>
      </c>
      <c r="AU157" s="11">
        <f t="shared" si="98"/>
        <v>0</v>
      </c>
      <c r="AV157" s="6"/>
      <c r="AW157" s="6"/>
      <c r="AX157" s="6"/>
      <c r="AZ157" t="str">
        <f t="shared" si="99"/>
        <v>{"group":"A",</v>
      </c>
      <c r="BA157" t="str">
        <f t="shared" si="80"/>
        <v>"lot":0,</v>
      </c>
      <c r="BB157" t="str">
        <f t="shared" si="100"/>
        <v>"name":"0",</v>
      </c>
      <c r="BC157" t="str">
        <f t="shared" si="101"/>
        <v>"team":"",</v>
      </c>
      <c r="BD157" t="str">
        <f t="shared" si="102"/>
        <v>"year":"0",</v>
      </c>
      <c r="BE157" t="str">
        <f t="shared" si="103"/>
        <v>"gender":"0",</v>
      </c>
      <c r="BF157" t="str">
        <f t="shared" si="104"/>
        <v>"gear":"0",</v>
      </c>
      <c r="BG157" t="str">
        <f t="shared" si="105"/>
        <v>"lifts":"0",</v>
      </c>
      <c r="BH157" t="str">
        <f t="shared" si="106"/>
        <v>"division":"--",</v>
      </c>
      <c r="BI157" t="str">
        <f t="shared" si="107"/>
        <v>"wc":"0",</v>
      </c>
      <c r="BJ157" t="str">
        <f t="shared" si="108"/>
        <v>"bw":"",</v>
      </c>
      <c r="BK157" t="str">
        <f t="shared" si="109"/>
        <v>"pb":[0,0,0,0],</v>
      </c>
      <c r="BL157" t="str">
        <f t="shared" si="81"/>
        <v>"idx":"23",</v>
      </c>
      <c r="BM157" t="str">
        <f t="shared" si="82"/>
        <v>"sr":"0",</v>
      </c>
      <c r="BN157" t="str">
        <f t="shared" si="83"/>
        <v>"br":"0",</v>
      </c>
      <c r="BO157" t="str">
        <f t="shared" si="84"/>
        <v>"row":0,</v>
      </c>
      <c r="BP157" t="s">
        <v>55</v>
      </c>
      <c r="BQ157" t="str">
        <f t="shared" si="85"/>
        <v>"sq":{"a1":0,"a2":"","a3":"","s1":0,"s2":0,"s3":0},"bp":{"a1":0,"a2":"","a3":"","s1":0,"s2":0,"s3":0},"dl":{"a1":0,"a2":"","a3":"","s1":0,"s2":0,"s3":0},"sortOrder":0,"act":{}}</v>
      </c>
      <c r="BR157" t="str">
        <f t="shared" si="110"/>
        <v>{"group":"A","lot":0,"name":"0","team":"","year":"0","gender":"0","gear":"0","lifts":"0","division":"--","wc":"0","bw":"","pb":[0,0,0,0],"idx":"23","sr":"0","br":"0","row":0,"sq":{"a1":0,"a2":"","a3":"","s1":0,"s2":0,"s3":0},"bp":{"a1":0,"a2":"","a3":"","s1":0,"s2":0,"s3":0},"dl":{"a1":0,"a2":"","a3":"","s1":0,"s2":0,"s3":0},"sortOrder":0,"act":{}}</v>
      </c>
    </row>
    <row r="158" spans="5:70" x14ac:dyDescent="0.25">
      <c r="E158" s="128"/>
      <c r="F158" s="129"/>
      <c r="G158" s="129"/>
      <c r="H158" s="129"/>
      <c r="I158" s="129"/>
      <c r="J158" s="129"/>
      <c r="K158" s="129"/>
      <c r="L158" s="130"/>
      <c r="M158" s="131"/>
      <c r="N158" s="130"/>
      <c r="O158" s="148">
        <f t="shared" ca="1" si="111"/>
        <v>2023</v>
      </c>
      <c r="P158" s="129"/>
      <c r="Q158" s="129"/>
      <c r="R158" s="129"/>
      <c r="S158" s="129"/>
      <c r="T158" s="129"/>
      <c r="U158" s="129"/>
      <c r="V158" s="129"/>
      <c r="W158" s="129"/>
      <c r="X158" s="129"/>
      <c r="Y158" s="132"/>
      <c r="Z158" s="133"/>
      <c r="AA158" s="133"/>
      <c r="AB158" s="134"/>
      <c r="AE158" s="15" t="str">
        <f t="shared" si="77"/>
        <v>A</v>
      </c>
      <c r="AF158" s="8">
        <f t="shared" si="78"/>
        <v>0</v>
      </c>
      <c r="AG158" s="9">
        <f t="shared" si="86"/>
        <v>0</v>
      </c>
      <c r="AH158" s="9" t="str">
        <f t="shared" si="87"/>
        <v/>
      </c>
      <c r="AI158" s="8">
        <f t="shared" si="79"/>
        <v>0</v>
      </c>
      <c r="AJ158" s="45">
        <f t="shared" si="88"/>
        <v>0</v>
      </c>
      <c r="AK158" s="45">
        <f t="shared" si="89"/>
        <v>0</v>
      </c>
      <c r="AL158" s="45">
        <f t="shared" si="90"/>
        <v>0</v>
      </c>
      <c r="AM158" s="8" t="str">
        <f t="shared" si="91"/>
        <v>--</v>
      </c>
      <c r="AN158" s="10">
        <f t="shared" si="92"/>
        <v>0</v>
      </c>
      <c r="AO158" s="10">
        <f t="shared" si="93"/>
        <v>0</v>
      </c>
      <c r="AP158" s="10">
        <f t="shared" si="94"/>
        <v>0</v>
      </c>
      <c r="AQ158" s="10">
        <f t="shared" si="95"/>
        <v>0</v>
      </c>
      <c r="AR158" s="10">
        <f t="shared" si="96"/>
        <v>0</v>
      </c>
      <c r="AS158" s="8">
        <v>23</v>
      </c>
      <c r="AT158" s="9">
        <f t="shared" si="97"/>
        <v>0</v>
      </c>
      <c r="AU158" s="11">
        <f t="shared" si="98"/>
        <v>0</v>
      </c>
      <c r="AV158" s="6"/>
      <c r="AW158" s="6"/>
      <c r="AX158" s="6"/>
      <c r="AZ158" t="str">
        <f t="shared" si="99"/>
        <v>{"group":"A",</v>
      </c>
      <c r="BA158" t="str">
        <f t="shared" si="80"/>
        <v>"lot":0,</v>
      </c>
      <c r="BB158" t="str">
        <f t="shared" si="100"/>
        <v>"name":"0",</v>
      </c>
      <c r="BC158" t="str">
        <f t="shared" si="101"/>
        <v>"team":"",</v>
      </c>
      <c r="BD158" t="str">
        <f t="shared" si="102"/>
        <v>"year":"0",</v>
      </c>
      <c r="BE158" t="str">
        <f t="shared" si="103"/>
        <v>"gender":"0",</v>
      </c>
      <c r="BF158" t="str">
        <f t="shared" si="104"/>
        <v>"gear":"0",</v>
      </c>
      <c r="BG158" t="str">
        <f t="shared" si="105"/>
        <v>"lifts":"0",</v>
      </c>
      <c r="BH158" t="str">
        <f t="shared" si="106"/>
        <v>"division":"--",</v>
      </c>
      <c r="BI158" t="str">
        <f t="shared" si="107"/>
        <v>"wc":"0",</v>
      </c>
      <c r="BJ158" t="str">
        <f t="shared" si="108"/>
        <v>"bw":"",</v>
      </c>
      <c r="BK158" t="str">
        <f t="shared" si="109"/>
        <v>"pb":[0,0,0,0],</v>
      </c>
      <c r="BL158" t="str">
        <f t="shared" si="81"/>
        <v>"idx":"23",</v>
      </c>
      <c r="BM158" t="str">
        <f t="shared" si="82"/>
        <v>"sr":"0",</v>
      </c>
      <c r="BN158" t="str">
        <f t="shared" si="83"/>
        <v>"br":"0",</v>
      </c>
      <c r="BO158" t="str">
        <f t="shared" si="84"/>
        <v>"row":0,</v>
      </c>
      <c r="BP158" t="s">
        <v>55</v>
      </c>
      <c r="BQ158" t="str">
        <f t="shared" si="85"/>
        <v>"sq":{"a1":0,"a2":"","a3":"","s1":0,"s2":0,"s3":0},"bp":{"a1":0,"a2":"","a3":"","s1":0,"s2":0,"s3":0},"dl":{"a1":0,"a2":"","a3":"","s1":0,"s2":0,"s3":0},"sortOrder":0,"act":{}}</v>
      </c>
      <c r="BR158" t="str">
        <f t="shared" si="110"/>
        <v>{"group":"A","lot":0,"name":"0","team":"","year":"0","gender":"0","gear":"0","lifts":"0","division":"--","wc":"0","bw":"","pb":[0,0,0,0],"idx":"23","sr":"0","br":"0","row":0,"sq":{"a1":0,"a2":"","a3":"","s1":0,"s2":0,"s3":0},"bp":{"a1":0,"a2":"","a3":"","s1":0,"s2":0,"s3":0},"dl":{"a1":0,"a2":"","a3":"","s1":0,"s2":0,"s3":0},"sortOrder":0,"act":{}}</v>
      </c>
    </row>
    <row r="159" spans="5:70" x14ac:dyDescent="0.25">
      <c r="E159" s="128"/>
      <c r="F159" s="129"/>
      <c r="G159" s="129"/>
      <c r="H159" s="129"/>
      <c r="I159" s="129"/>
      <c r="J159" s="129"/>
      <c r="K159" s="129"/>
      <c r="L159" s="130"/>
      <c r="M159" s="131"/>
      <c r="N159" s="130"/>
      <c r="O159" s="148">
        <f t="shared" ca="1" si="111"/>
        <v>2023</v>
      </c>
      <c r="P159" s="129"/>
      <c r="Q159" s="129"/>
      <c r="R159" s="129"/>
      <c r="S159" s="129"/>
      <c r="T159" s="129"/>
      <c r="U159" s="129"/>
      <c r="V159" s="129"/>
      <c r="W159" s="129"/>
      <c r="X159" s="129"/>
      <c r="Y159" s="132"/>
      <c r="Z159" s="133"/>
      <c r="AA159" s="133"/>
      <c r="AB159" s="134"/>
      <c r="AE159" s="15" t="str">
        <f t="shared" si="77"/>
        <v>A</v>
      </c>
      <c r="AF159" s="8">
        <f t="shared" si="78"/>
        <v>0</v>
      </c>
      <c r="AG159" s="9">
        <f t="shared" si="86"/>
        <v>0</v>
      </c>
      <c r="AH159" s="9" t="str">
        <f t="shared" si="87"/>
        <v/>
      </c>
      <c r="AI159" s="8">
        <f t="shared" si="79"/>
        <v>0</v>
      </c>
      <c r="AJ159" s="45">
        <f t="shared" si="88"/>
        <v>0</v>
      </c>
      <c r="AK159" s="45">
        <f t="shared" si="89"/>
        <v>0</v>
      </c>
      <c r="AL159" s="45">
        <f t="shared" si="90"/>
        <v>0</v>
      </c>
      <c r="AM159" s="8" t="str">
        <f t="shared" si="91"/>
        <v>--</v>
      </c>
      <c r="AN159" s="10">
        <f t="shared" si="92"/>
        <v>0</v>
      </c>
      <c r="AO159" s="10">
        <f t="shared" si="93"/>
        <v>0</v>
      </c>
      <c r="AP159" s="10">
        <f t="shared" si="94"/>
        <v>0</v>
      </c>
      <c r="AQ159" s="10">
        <f t="shared" si="95"/>
        <v>0</v>
      </c>
      <c r="AR159" s="10">
        <f t="shared" si="96"/>
        <v>0</v>
      </c>
      <c r="AS159" s="8">
        <v>23</v>
      </c>
      <c r="AT159" s="9">
        <f t="shared" si="97"/>
        <v>0</v>
      </c>
      <c r="AU159" s="11">
        <f t="shared" si="98"/>
        <v>0</v>
      </c>
      <c r="AV159" s="6"/>
      <c r="AW159" s="6"/>
      <c r="AX159" s="6"/>
      <c r="AZ159" t="str">
        <f t="shared" si="99"/>
        <v>{"group":"A",</v>
      </c>
      <c r="BA159" t="str">
        <f t="shared" si="80"/>
        <v>"lot":0,</v>
      </c>
      <c r="BB159" t="str">
        <f t="shared" si="100"/>
        <v>"name":"0",</v>
      </c>
      <c r="BC159" t="str">
        <f t="shared" si="101"/>
        <v>"team":"",</v>
      </c>
      <c r="BD159" t="str">
        <f t="shared" si="102"/>
        <v>"year":"0",</v>
      </c>
      <c r="BE159" t="str">
        <f t="shared" si="103"/>
        <v>"gender":"0",</v>
      </c>
      <c r="BF159" t="str">
        <f t="shared" si="104"/>
        <v>"gear":"0",</v>
      </c>
      <c r="BG159" t="str">
        <f t="shared" si="105"/>
        <v>"lifts":"0",</v>
      </c>
      <c r="BH159" t="str">
        <f t="shared" si="106"/>
        <v>"division":"--",</v>
      </c>
      <c r="BI159" t="str">
        <f t="shared" si="107"/>
        <v>"wc":"0",</v>
      </c>
      <c r="BJ159" t="str">
        <f t="shared" si="108"/>
        <v>"bw":"",</v>
      </c>
      <c r="BK159" t="str">
        <f t="shared" si="109"/>
        <v>"pb":[0,0,0,0],</v>
      </c>
      <c r="BL159" t="str">
        <f t="shared" si="81"/>
        <v>"idx":"23",</v>
      </c>
      <c r="BM159" t="str">
        <f t="shared" si="82"/>
        <v>"sr":"0",</v>
      </c>
      <c r="BN159" t="str">
        <f t="shared" si="83"/>
        <v>"br":"0",</v>
      </c>
      <c r="BO159" t="str">
        <f t="shared" si="84"/>
        <v>"row":0,</v>
      </c>
      <c r="BP159" t="s">
        <v>55</v>
      </c>
      <c r="BQ159" t="str">
        <f t="shared" si="85"/>
        <v>"sq":{"a1":0,"a2":"","a3":"","s1":0,"s2":0,"s3":0},"bp":{"a1":0,"a2":"","a3":"","s1":0,"s2":0,"s3":0},"dl":{"a1":0,"a2":"","a3":"","s1":0,"s2":0,"s3":0},"sortOrder":0,"act":{}}</v>
      </c>
      <c r="BR159" t="str">
        <f t="shared" si="110"/>
        <v>{"group":"A","lot":0,"name":"0","team":"","year":"0","gender":"0","gear":"0","lifts":"0","division":"--","wc":"0","bw":"","pb":[0,0,0,0],"idx":"23","sr":"0","br":"0","row":0,"sq":{"a1":0,"a2":"","a3":"","s1":0,"s2":0,"s3":0},"bp":{"a1":0,"a2":"","a3":"","s1":0,"s2":0,"s3":0},"dl":{"a1":0,"a2":"","a3":"","s1":0,"s2":0,"s3":0},"sortOrder":0,"act":{}}</v>
      </c>
    </row>
    <row r="160" spans="5:70" x14ac:dyDescent="0.25">
      <c r="E160" s="128"/>
      <c r="F160" s="129"/>
      <c r="G160" s="129"/>
      <c r="H160" s="129"/>
      <c r="I160" s="129"/>
      <c r="J160" s="129"/>
      <c r="K160" s="129"/>
      <c r="L160" s="130"/>
      <c r="M160" s="131"/>
      <c r="N160" s="130"/>
      <c r="O160" s="148">
        <f t="shared" ca="1" si="111"/>
        <v>2023</v>
      </c>
      <c r="P160" s="129"/>
      <c r="Q160" s="129"/>
      <c r="R160" s="129"/>
      <c r="S160" s="129"/>
      <c r="T160" s="129"/>
      <c r="U160" s="129"/>
      <c r="V160" s="129"/>
      <c r="W160" s="129"/>
      <c r="X160" s="129"/>
      <c r="Y160" s="132"/>
      <c r="Z160" s="133"/>
      <c r="AA160" s="133"/>
      <c r="AB160" s="134"/>
      <c r="AE160" s="15" t="str">
        <f t="shared" si="77"/>
        <v>A</v>
      </c>
      <c r="AF160" s="8">
        <f t="shared" si="78"/>
        <v>0</v>
      </c>
      <c r="AG160" s="9">
        <f t="shared" si="86"/>
        <v>0</v>
      </c>
      <c r="AH160" s="9" t="str">
        <f t="shared" si="87"/>
        <v/>
      </c>
      <c r="AI160" s="8">
        <f t="shared" si="79"/>
        <v>0</v>
      </c>
      <c r="AJ160" s="45">
        <f t="shared" si="88"/>
        <v>0</v>
      </c>
      <c r="AK160" s="45">
        <f t="shared" si="89"/>
        <v>0</v>
      </c>
      <c r="AL160" s="45">
        <f t="shared" si="90"/>
        <v>0</v>
      </c>
      <c r="AM160" s="8" t="str">
        <f t="shared" si="91"/>
        <v>--</v>
      </c>
      <c r="AN160" s="10">
        <f t="shared" si="92"/>
        <v>0</v>
      </c>
      <c r="AO160" s="10">
        <f t="shared" si="93"/>
        <v>0</v>
      </c>
      <c r="AP160" s="10">
        <f t="shared" si="94"/>
        <v>0</v>
      </c>
      <c r="AQ160" s="10">
        <f t="shared" si="95"/>
        <v>0</v>
      </c>
      <c r="AR160" s="10">
        <f t="shared" si="96"/>
        <v>0</v>
      </c>
      <c r="AS160" s="8">
        <v>23</v>
      </c>
      <c r="AT160" s="9">
        <f t="shared" si="97"/>
        <v>0</v>
      </c>
      <c r="AU160" s="11">
        <f t="shared" si="98"/>
        <v>0</v>
      </c>
      <c r="AV160" s="6"/>
      <c r="AW160" s="6"/>
      <c r="AX160" s="6"/>
      <c r="AZ160" t="str">
        <f t="shared" si="99"/>
        <v>{"group":"A",</v>
      </c>
      <c r="BA160" t="str">
        <f t="shared" si="80"/>
        <v>"lot":0,</v>
      </c>
      <c r="BB160" t="str">
        <f t="shared" si="100"/>
        <v>"name":"0",</v>
      </c>
      <c r="BC160" t="str">
        <f t="shared" si="101"/>
        <v>"team":"",</v>
      </c>
      <c r="BD160" t="str">
        <f t="shared" si="102"/>
        <v>"year":"0",</v>
      </c>
      <c r="BE160" t="str">
        <f t="shared" si="103"/>
        <v>"gender":"0",</v>
      </c>
      <c r="BF160" t="str">
        <f t="shared" si="104"/>
        <v>"gear":"0",</v>
      </c>
      <c r="BG160" t="str">
        <f t="shared" si="105"/>
        <v>"lifts":"0",</v>
      </c>
      <c r="BH160" t="str">
        <f t="shared" si="106"/>
        <v>"division":"--",</v>
      </c>
      <c r="BI160" t="str">
        <f t="shared" si="107"/>
        <v>"wc":"0",</v>
      </c>
      <c r="BJ160" t="str">
        <f t="shared" si="108"/>
        <v>"bw":"",</v>
      </c>
      <c r="BK160" t="str">
        <f t="shared" si="109"/>
        <v>"pb":[0,0,0,0],</v>
      </c>
      <c r="BL160" t="str">
        <f t="shared" si="81"/>
        <v>"idx":"23",</v>
      </c>
      <c r="BM160" t="str">
        <f t="shared" si="82"/>
        <v>"sr":"0",</v>
      </c>
      <c r="BN160" t="str">
        <f t="shared" si="83"/>
        <v>"br":"0",</v>
      </c>
      <c r="BO160" t="str">
        <f t="shared" si="84"/>
        <v>"row":0,</v>
      </c>
      <c r="BP160" t="s">
        <v>55</v>
      </c>
      <c r="BQ160" t="str">
        <f t="shared" si="85"/>
        <v>"sq":{"a1":0,"a2":"","a3":"","s1":0,"s2":0,"s3":0},"bp":{"a1":0,"a2":"","a3":"","s1":0,"s2":0,"s3":0},"dl":{"a1":0,"a2":"","a3":"","s1":0,"s2":0,"s3":0},"sortOrder":0,"act":{}}</v>
      </c>
      <c r="BR160" t="str">
        <f t="shared" si="110"/>
        <v>{"group":"A","lot":0,"name":"0","team":"","year":"0","gender":"0","gear":"0","lifts":"0","division":"--","wc":"0","bw":"","pb":[0,0,0,0],"idx":"23","sr":"0","br":"0","row":0,"sq":{"a1":0,"a2":"","a3":"","s1":0,"s2":0,"s3":0},"bp":{"a1":0,"a2":"","a3":"","s1":0,"s2":0,"s3":0},"dl":{"a1":0,"a2":"","a3":"","s1":0,"s2":0,"s3":0},"sortOrder":0,"act":{}}</v>
      </c>
    </row>
    <row r="161" spans="5:70" x14ac:dyDescent="0.25">
      <c r="E161" s="128"/>
      <c r="F161" s="129"/>
      <c r="G161" s="129"/>
      <c r="H161" s="129"/>
      <c r="I161" s="129"/>
      <c r="J161" s="129"/>
      <c r="K161" s="129"/>
      <c r="L161" s="130"/>
      <c r="M161" s="131"/>
      <c r="N161" s="130"/>
      <c r="O161" s="148">
        <f t="shared" ca="1" si="111"/>
        <v>2023</v>
      </c>
      <c r="P161" s="129"/>
      <c r="Q161" s="129"/>
      <c r="R161" s="129"/>
      <c r="S161" s="129"/>
      <c r="T161" s="129"/>
      <c r="U161" s="129"/>
      <c r="V161" s="129"/>
      <c r="W161" s="129"/>
      <c r="X161" s="129"/>
      <c r="Y161" s="132"/>
      <c r="Z161" s="133"/>
      <c r="AA161" s="133"/>
      <c r="AB161" s="134"/>
      <c r="AE161" s="15" t="str">
        <f t="shared" si="77"/>
        <v>A</v>
      </c>
      <c r="AF161" s="8">
        <f t="shared" si="78"/>
        <v>0</v>
      </c>
      <c r="AG161" s="9">
        <f t="shared" si="86"/>
        <v>0</v>
      </c>
      <c r="AH161" s="9" t="str">
        <f t="shared" si="87"/>
        <v/>
      </c>
      <c r="AI161" s="8">
        <f t="shared" si="79"/>
        <v>0</v>
      </c>
      <c r="AJ161" s="45">
        <f t="shared" si="88"/>
        <v>0</v>
      </c>
      <c r="AK161" s="45">
        <f t="shared" si="89"/>
        <v>0</v>
      </c>
      <c r="AL161" s="45">
        <f t="shared" si="90"/>
        <v>0</v>
      </c>
      <c r="AM161" s="8" t="str">
        <f t="shared" si="91"/>
        <v>--</v>
      </c>
      <c r="AN161" s="10">
        <f t="shared" si="92"/>
        <v>0</v>
      </c>
      <c r="AO161" s="10">
        <f t="shared" si="93"/>
        <v>0</v>
      </c>
      <c r="AP161" s="10">
        <f t="shared" si="94"/>
        <v>0</v>
      </c>
      <c r="AQ161" s="10">
        <f t="shared" si="95"/>
        <v>0</v>
      </c>
      <c r="AR161" s="10">
        <f t="shared" si="96"/>
        <v>0</v>
      </c>
      <c r="AS161" s="8">
        <v>23</v>
      </c>
      <c r="AT161" s="9">
        <f t="shared" si="97"/>
        <v>0</v>
      </c>
      <c r="AU161" s="11">
        <f t="shared" si="98"/>
        <v>0</v>
      </c>
      <c r="AV161" s="6"/>
      <c r="AW161" s="6"/>
      <c r="AX161" s="6"/>
      <c r="AZ161" t="str">
        <f t="shared" si="99"/>
        <v>{"group":"A",</v>
      </c>
      <c r="BA161" t="str">
        <f t="shared" si="80"/>
        <v>"lot":0,</v>
      </c>
      <c r="BB161" t="str">
        <f t="shared" si="100"/>
        <v>"name":"0",</v>
      </c>
      <c r="BC161" t="str">
        <f t="shared" si="101"/>
        <v>"team":"",</v>
      </c>
      <c r="BD161" t="str">
        <f t="shared" si="102"/>
        <v>"year":"0",</v>
      </c>
      <c r="BE161" t="str">
        <f t="shared" si="103"/>
        <v>"gender":"0",</v>
      </c>
      <c r="BF161" t="str">
        <f t="shared" si="104"/>
        <v>"gear":"0",</v>
      </c>
      <c r="BG161" t="str">
        <f t="shared" si="105"/>
        <v>"lifts":"0",</v>
      </c>
      <c r="BH161" t="str">
        <f t="shared" si="106"/>
        <v>"division":"--",</v>
      </c>
      <c r="BI161" t="str">
        <f t="shared" si="107"/>
        <v>"wc":"0",</v>
      </c>
      <c r="BJ161" t="str">
        <f t="shared" si="108"/>
        <v>"bw":"",</v>
      </c>
      <c r="BK161" t="str">
        <f t="shared" si="109"/>
        <v>"pb":[0,0,0,0],</v>
      </c>
      <c r="BL161" t="str">
        <f t="shared" si="81"/>
        <v>"idx":"23",</v>
      </c>
      <c r="BM161" t="str">
        <f t="shared" si="82"/>
        <v>"sr":"0",</v>
      </c>
      <c r="BN161" t="str">
        <f t="shared" si="83"/>
        <v>"br":"0",</v>
      </c>
      <c r="BO161" t="str">
        <f t="shared" si="84"/>
        <v>"row":0,</v>
      </c>
      <c r="BP161" t="s">
        <v>55</v>
      </c>
      <c r="BQ161" t="str">
        <f t="shared" si="85"/>
        <v>"sq":{"a1":0,"a2":"","a3":"","s1":0,"s2":0,"s3":0},"bp":{"a1":0,"a2":"","a3":"","s1":0,"s2":0,"s3":0},"dl":{"a1":0,"a2":"","a3":"","s1":0,"s2":0,"s3":0},"sortOrder":0,"act":{}}</v>
      </c>
      <c r="BR161" t="str">
        <f t="shared" si="110"/>
        <v>{"group":"A","lot":0,"name":"0","team":"","year":"0","gender":"0","gear":"0","lifts":"0","division":"--","wc":"0","bw":"","pb":[0,0,0,0],"idx":"23","sr":"0","br":"0","row":0,"sq":{"a1":0,"a2":"","a3":"","s1":0,"s2":0,"s3":0},"bp":{"a1":0,"a2":"","a3":"","s1":0,"s2":0,"s3":0},"dl":{"a1":0,"a2":"","a3":"","s1":0,"s2":0,"s3":0},"sortOrder":0,"act":{}}</v>
      </c>
    </row>
    <row r="162" spans="5:70" x14ac:dyDescent="0.25">
      <c r="E162" s="128"/>
      <c r="F162" s="129"/>
      <c r="G162" s="129"/>
      <c r="H162" s="129"/>
      <c r="I162" s="129"/>
      <c r="J162" s="129"/>
      <c r="K162" s="129"/>
      <c r="L162" s="130"/>
      <c r="M162" s="131"/>
      <c r="N162" s="130"/>
      <c r="O162" s="148">
        <f t="shared" ca="1" si="111"/>
        <v>2023</v>
      </c>
      <c r="P162" s="129"/>
      <c r="Q162" s="129"/>
      <c r="R162" s="129"/>
      <c r="S162" s="129"/>
      <c r="T162" s="129"/>
      <c r="U162" s="129"/>
      <c r="V162" s="129"/>
      <c r="W162" s="129"/>
      <c r="X162" s="129"/>
      <c r="Y162" s="132"/>
      <c r="Z162" s="133"/>
      <c r="AA162" s="133"/>
      <c r="AB162" s="134"/>
      <c r="AE162" s="15" t="str">
        <f t="shared" si="77"/>
        <v>A</v>
      </c>
      <c r="AF162" s="8">
        <f t="shared" si="78"/>
        <v>0</v>
      </c>
      <c r="AG162" s="9">
        <f t="shared" si="86"/>
        <v>0</v>
      </c>
      <c r="AH162" s="9" t="str">
        <f t="shared" si="87"/>
        <v/>
      </c>
      <c r="AI162" s="8">
        <f t="shared" si="79"/>
        <v>0</v>
      </c>
      <c r="AJ162" s="45">
        <f t="shared" si="88"/>
        <v>0</v>
      </c>
      <c r="AK162" s="45">
        <f t="shared" si="89"/>
        <v>0</v>
      </c>
      <c r="AL162" s="45">
        <f t="shared" si="90"/>
        <v>0</v>
      </c>
      <c r="AM162" s="8" t="str">
        <f t="shared" si="91"/>
        <v>--</v>
      </c>
      <c r="AN162" s="10">
        <f t="shared" si="92"/>
        <v>0</v>
      </c>
      <c r="AO162" s="10">
        <f t="shared" si="93"/>
        <v>0</v>
      </c>
      <c r="AP162" s="10">
        <f t="shared" si="94"/>
        <v>0</v>
      </c>
      <c r="AQ162" s="10">
        <f t="shared" si="95"/>
        <v>0</v>
      </c>
      <c r="AR162" s="10">
        <f t="shared" si="96"/>
        <v>0</v>
      </c>
      <c r="AS162" s="8">
        <v>23</v>
      </c>
      <c r="AT162" s="9">
        <f t="shared" si="97"/>
        <v>0</v>
      </c>
      <c r="AU162" s="11">
        <f t="shared" si="98"/>
        <v>0</v>
      </c>
      <c r="AV162" s="6"/>
      <c r="AW162" s="6"/>
      <c r="AX162" s="6"/>
      <c r="AZ162" t="str">
        <f t="shared" si="99"/>
        <v>{"group":"A",</v>
      </c>
      <c r="BA162" t="str">
        <f t="shared" si="80"/>
        <v>"lot":0,</v>
      </c>
      <c r="BB162" t="str">
        <f t="shared" si="100"/>
        <v>"name":"0",</v>
      </c>
      <c r="BC162" t="str">
        <f t="shared" si="101"/>
        <v>"team":"",</v>
      </c>
      <c r="BD162" t="str">
        <f t="shared" si="102"/>
        <v>"year":"0",</v>
      </c>
      <c r="BE162" t="str">
        <f t="shared" si="103"/>
        <v>"gender":"0",</v>
      </c>
      <c r="BF162" t="str">
        <f t="shared" si="104"/>
        <v>"gear":"0",</v>
      </c>
      <c r="BG162" t="str">
        <f t="shared" si="105"/>
        <v>"lifts":"0",</v>
      </c>
      <c r="BH162" t="str">
        <f t="shared" si="106"/>
        <v>"division":"--",</v>
      </c>
      <c r="BI162" t="str">
        <f t="shared" si="107"/>
        <v>"wc":"0",</v>
      </c>
      <c r="BJ162" t="str">
        <f t="shared" si="108"/>
        <v>"bw":"",</v>
      </c>
      <c r="BK162" t="str">
        <f t="shared" si="109"/>
        <v>"pb":[0,0,0,0],</v>
      </c>
      <c r="BL162" t="str">
        <f t="shared" si="81"/>
        <v>"idx":"23",</v>
      </c>
      <c r="BM162" t="str">
        <f t="shared" si="82"/>
        <v>"sr":"0",</v>
      </c>
      <c r="BN162" t="str">
        <f t="shared" si="83"/>
        <v>"br":"0",</v>
      </c>
      <c r="BO162" t="str">
        <f t="shared" si="84"/>
        <v>"row":0,</v>
      </c>
      <c r="BP162" t="s">
        <v>55</v>
      </c>
      <c r="BQ162" t="str">
        <f t="shared" si="85"/>
        <v>"sq":{"a1":0,"a2":"","a3":"","s1":0,"s2":0,"s3":0},"bp":{"a1":0,"a2":"","a3":"","s1":0,"s2":0,"s3":0},"dl":{"a1":0,"a2":"","a3":"","s1":0,"s2":0,"s3":0},"sortOrder":0,"act":{}}</v>
      </c>
      <c r="BR162" t="str">
        <f t="shared" si="110"/>
        <v>{"group":"A","lot":0,"name":"0","team":"","year":"0","gender":"0","gear":"0","lifts":"0","division":"--","wc":"0","bw":"","pb":[0,0,0,0],"idx":"23","sr":"0","br":"0","row":0,"sq":{"a1":0,"a2":"","a3":"","s1":0,"s2":0,"s3":0},"bp":{"a1":0,"a2":"","a3":"","s1":0,"s2":0,"s3":0},"dl":{"a1":0,"a2":"","a3":"","s1":0,"s2":0,"s3":0},"sortOrder":0,"act":{}}</v>
      </c>
    </row>
    <row r="163" spans="5:70" x14ac:dyDescent="0.25">
      <c r="E163" s="128"/>
      <c r="F163" s="129"/>
      <c r="G163" s="129"/>
      <c r="H163" s="129"/>
      <c r="I163" s="129"/>
      <c r="J163" s="129"/>
      <c r="K163" s="129"/>
      <c r="L163" s="130"/>
      <c r="M163" s="131"/>
      <c r="N163" s="130"/>
      <c r="O163" s="148">
        <f t="shared" ca="1" si="111"/>
        <v>2023</v>
      </c>
      <c r="P163" s="129"/>
      <c r="Q163" s="129"/>
      <c r="R163" s="129"/>
      <c r="S163" s="129"/>
      <c r="T163" s="129"/>
      <c r="U163" s="129"/>
      <c r="V163" s="129"/>
      <c r="W163" s="129"/>
      <c r="X163" s="129"/>
      <c r="Y163" s="132"/>
      <c r="Z163" s="133"/>
      <c r="AA163" s="133"/>
      <c r="AB163" s="134"/>
      <c r="AE163" s="15" t="str">
        <f t="shared" si="77"/>
        <v>A</v>
      </c>
      <c r="AF163" s="8">
        <f t="shared" si="78"/>
        <v>0</v>
      </c>
      <c r="AG163" s="9">
        <f t="shared" si="86"/>
        <v>0</v>
      </c>
      <c r="AH163" s="9" t="str">
        <f t="shared" si="87"/>
        <v/>
      </c>
      <c r="AI163" s="8">
        <f t="shared" si="79"/>
        <v>0</v>
      </c>
      <c r="AJ163" s="45">
        <f t="shared" si="88"/>
        <v>0</v>
      </c>
      <c r="AK163" s="45">
        <f t="shared" si="89"/>
        <v>0</v>
      </c>
      <c r="AL163" s="45">
        <f t="shared" si="90"/>
        <v>0</v>
      </c>
      <c r="AM163" s="8" t="str">
        <f t="shared" si="91"/>
        <v>--</v>
      </c>
      <c r="AN163" s="10">
        <f t="shared" si="92"/>
        <v>0</v>
      </c>
      <c r="AO163" s="10">
        <f t="shared" si="93"/>
        <v>0</v>
      </c>
      <c r="AP163" s="10">
        <f t="shared" si="94"/>
        <v>0</v>
      </c>
      <c r="AQ163" s="10">
        <f t="shared" si="95"/>
        <v>0</v>
      </c>
      <c r="AR163" s="10">
        <f t="shared" si="96"/>
        <v>0</v>
      </c>
      <c r="AS163" s="8">
        <v>23</v>
      </c>
      <c r="AT163" s="9">
        <f t="shared" si="97"/>
        <v>0</v>
      </c>
      <c r="AU163" s="11">
        <f t="shared" si="98"/>
        <v>0</v>
      </c>
      <c r="AV163" s="6"/>
      <c r="AW163" s="6"/>
      <c r="AX163" s="6"/>
      <c r="AZ163" t="str">
        <f t="shared" si="99"/>
        <v>{"group":"A",</v>
      </c>
      <c r="BA163" t="str">
        <f t="shared" si="80"/>
        <v>"lot":0,</v>
      </c>
      <c r="BB163" t="str">
        <f t="shared" si="100"/>
        <v>"name":"0",</v>
      </c>
      <c r="BC163" t="str">
        <f t="shared" si="101"/>
        <v>"team":"",</v>
      </c>
      <c r="BD163" t="str">
        <f t="shared" si="102"/>
        <v>"year":"0",</v>
      </c>
      <c r="BE163" t="str">
        <f t="shared" si="103"/>
        <v>"gender":"0",</v>
      </c>
      <c r="BF163" t="str">
        <f t="shared" si="104"/>
        <v>"gear":"0",</v>
      </c>
      <c r="BG163" t="str">
        <f t="shared" si="105"/>
        <v>"lifts":"0",</v>
      </c>
      <c r="BH163" t="str">
        <f t="shared" si="106"/>
        <v>"division":"--",</v>
      </c>
      <c r="BI163" t="str">
        <f t="shared" si="107"/>
        <v>"wc":"0",</v>
      </c>
      <c r="BJ163" t="str">
        <f t="shared" si="108"/>
        <v>"bw":"",</v>
      </c>
      <c r="BK163" t="str">
        <f t="shared" si="109"/>
        <v>"pb":[0,0,0,0],</v>
      </c>
      <c r="BL163" t="str">
        <f t="shared" si="81"/>
        <v>"idx":"23",</v>
      </c>
      <c r="BM163" t="str">
        <f t="shared" si="82"/>
        <v>"sr":"0",</v>
      </c>
      <c r="BN163" t="str">
        <f t="shared" si="83"/>
        <v>"br":"0",</v>
      </c>
      <c r="BO163" t="str">
        <f t="shared" si="84"/>
        <v>"row":0,</v>
      </c>
      <c r="BP163" t="s">
        <v>55</v>
      </c>
      <c r="BQ163" t="str">
        <f t="shared" si="85"/>
        <v>"sq":{"a1":0,"a2":"","a3":"","s1":0,"s2":0,"s3":0},"bp":{"a1":0,"a2":"","a3":"","s1":0,"s2":0,"s3":0},"dl":{"a1":0,"a2":"","a3":"","s1":0,"s2":0,"s3":0},"sortOrder":0,"act":{}}</v>
      </c>
      <c r="BR163" t="str">
        <f t="shared" si="110"/>
        <v>{"group":"A","lot":0,"name":"0","team":"","year":"0","gender":"0","gear":"0","lifts":"0","division":"--","wc":"0","bw":"","pb":[0,0,0,0],"idx":"23","sr":"0","br":"0","row":0,"sq":{"a1":0,"a2":"","a3":"","s1":0,"s2":0,"s3":0},"bp":{"a1":0,"a2":"","a3":"","s1":0,"s2":0,"s3":0},"dl":{"a1":0,"a2":"","a3":"","s1":0,"s2":0,"s3":0},"sortOrder":0,"act":{}}</v>
      </c>
    </row>
    <row r="164" spans="5:70" x14ac:dyDescent="0.25">
      <c r="E164" s="128"/>
      <c r="F164" s="129"/>
      <c r="G164" s="129"/>
      <c r="H164" s="129"/>
      <c r="I164" s="129"/>
      <c r="J164" s="129"/>
      <c r="K164" s="129"/>
      <c r="L164" s="130"/>
      <c r="M164" s="131"/>
      <c r="N164" s="130"/>
      <c r="O164" s="148">
        <f t="shared" ca="1" si="111"/>
        <v>2023</v>
      </c>
      <c r="P164" s="129"/>
      <c r="Q164" s="129"/>
      <c r="R164" s="129"/>
      <c r="S164" s="129"/>
      <c r="T164" s="129"/>
      <c r="U164" s="129"/>
      <c r="V164" s="129"/>
      <c r="W164" s="129"/>
      <c r="X164" s="129"/>
      <c r="Y164" s="132"/>
      <c r="Z164" s="133"/>
      <c r="AA164" s="133"/>
      <c r="AB164" s="134"/>
      <c r="AE164" s="15" t="str">
        <f t="shared" si="77"/>
        <v>A</v>
      </c>
      <c r="AF164" s="8">
        <f t="shared" si="78"/>
        <v>0</v>
      </c>
      <c r="AG164" s="9">
        <f t="shared" si="86"/>
        <v>0</v>
      </c>
      <c r="AH164" s="9" t="str">
        <f t="shared" si="87"/>
        <v/>
      </c>
      <c r="AI164" s="8">
        <f t="shared" si="79"/>
        <v>0</v>
      </c>
      <c r="AJ164" s="45">
        <f t="shared" si="88"/>
        <v>0</v>
      </c>
      <c r="AK164" s="45">
        <f t="shared" si="89"/>
        <v>0</v>
      </c>
      <c r="AL164" s="45">
        <f t="shared" si="90"/>
        <v>0</v>
      </c>
      <c r="AM164" s="8" t="str">
        <f t="shared" si="91"/>
        <v>--</v>
      </c>
      <c r="AN164" s="10">
        <f t="shared" si="92"/>
        <v>0</v>
      </c>
      <c r="AO164" s="10">
        <f t="shared" si="93"/>
        <v>0</v>
      </c>
      <c r="AP164" s="10">
        <f t="shared" si="94"/>
        <v>0</v>
      </c>
      <c r="AQ164" s="10">
        <f t="shared" si="95"/>
        <v>0</v>
      </c>
      <c r="AR164" s="10">
        <f t="shared" si="96"/>
        <v>0</v>
      </c>
      <c r="AS164" s="8">
        <v>23</v>
      </c>
      <c r="AT164" s="9">
        <f t="shared" si="97"/>
        <v>0</v>
      </c>
      <c r="AU164" s="11">
        <f t="shared" si="98"/>
        <v>0</v>
      </c>
      <c r="AV164" s="6"/>
      <c r="AW164" s="6"/>
      <c r="AX164" s="6"/>
      <c r="AZ164" t="str">
        <f t="shared" si="99"/>
        <v>{"group":"A",</v>
      </c>
      <c r="BA164" t="str">
        <f t="shared" si="80"/>
        <v>"lot":0,</v>
      </c>
      <c r="BB164" t="str">
        <f t="shared" si="100"/>
        <v>"name":"0",</v>
      </c>
      <c r="BC164" t="str">
        <f t="shared" si="101"/>
        <v>"team":"",</v>
      </c>
      <c r="BD164" t="str">
        <f t="shared" si="102"/>
        <v>"year":"0",</v>
      </c>
      <c r="BE164" t="str">
        <f t="shared" si="103"/>
        <v>"gender":"0",</v>
      </c>
      <c r="BF164" t="str">
        <f t="shared" si="104"/>
        <v>"gear":"0",</v>
      </c>
      <c r="BG164" t="str">
        <f t="shared" si="105"/>
        <v>"lifts":"0",</v>
      </c>
      <c r="BH164" t="str">
        <f t="shared" si="106"/>
        <v>"division":"--",</v>
      </c>
      <c r="BI164" t="str">
        <f t="shared" si="107"/>
        <v>"wc":"0",</v>
      </c>
      <c r="BJ164" t="str">
        <f t="shared" si="108"/>
        <v>"bw":"",</v>
      </c>
      <c r="BK164" t="str">
        <f t="shared" si="109"/>
        <v>"pb":[0,0,0,0],</v>
      </c>
      <c r="BL164" t="str">
        <f t="shared" si="81"/>
        <v>"idx":"23",</v>
      </c>
      <c r="BM164" t="str">
        <f t="shared" si="82"/>
        <v>"sr":"0",</v>
      </c>
      <c r="BN164" t="str">
        <f t="shared" si="83"/>
        <v>"br":"0",</v>
      </c>
      <c r="BO164" t="str">
        <f t="shared" si="84"/>
        <v>"row":0,</v>
      </c>
      <c r="BP164" t="s">
        <v>55</v>
      </c>
      <c r="BQ164" t="str">
        <f t="shared" si="85"/>
        <v>"sq":{"a1":0,"a2":"","a3":"","s1":0,"s2":0,"s3":0},"bp":{"a1":0,"a2":"","a3":"","s1":0,"s2":0,"s3":0},"dl":{"a1":0,"a2":"","a3":"","s1":0,"s2":0,"s3":0},"sortOrder":0,"act":{}}</v>
      </c>
      <c r="BR164" t="str">
        <f t="shared" si="110"/>
        <v>{"group":"A","lot":0,"name":"0","team":"","year":"0","gender":"0","gear":"0","lifts":"0","division":"--","wc":"0","bw":"","pb":[0,0,0,0],"idx":"23","sr":"0","br":"0","row":0,"sq":{"a1":0,"a2":"","a3":"","s1":0,"s2":0,"s3":0},"bp":{"a1":0,"a2":"","a3":"","s1":0,"s2":0,"s3":0},"dl":{"a1":0,"a2":"","a3":"","s1":0,"s2":0,"s3":0},"sortOrder":0,"act":{}}</v>
      </c>
    </row>
    <row r="165" spans="5:70" x14ac:dyDescent="0.25">
      <c r="E165" s="128"/>
      <c r="F165" s="129"/>
      <c r="G165" s="129"/>
      <c r="H165" s="129"/>
      <c r="I165" s="129"/>
      <c r="J165" s="129"/>
      <c r="K165" s="129"/>
      <c r="L165" s="130"/>
      <c r="M165" s="131"/>
      <c r="N165" s="130"/>
      <c r="O165" s="148">
        <f t="shared" ca="1" si="111"/>
        <v>2023</v>
      </c>
      <c r="P165" s="129"/>
      <c r="Q165" s="129"/>
      <c r="R165" s="129"/>
      <c r="S165" s="129"/>
      <c r="T165" s="129"/>
      <c r="U165" s="129"/>
      <c r="V165" s="129"/>
      <c r="W165" s="129"/>
      <c r="X165" s="129"/>
      <c r="Y165" s="132"/>
      <c r="Z165" s="133"/>
      <c r="AA165" s="133"/>
      <c r="AB165" s="134"/>
      <c r="AE165" s="15" t="str">
        <f t="shared" si="77"/>
        <v>A</v>
      </c>
      <c r="AF165" s="8">
        <f t="shared" si="78"/>
        <v>0</v>
      </c>
      <c r="AG165" s="9">
        <f t="shared" si="86"/>
        <v>0</v>
      </c>
      <c r="AH165" s="9" t="str">
        <f t="shared" si="87"/>
        <v/>
      </c>
      <c r="AI165" s="8">
        <f t="shared" si="79"/>
        <v>0</v>
      </c>
      <c r="AJ165" s="45">
        <f t="shared" si="88"/>
        <v>0</v>
      </c>
      <c r="AK165" s="45">
        <f t="shared" si="89"/>
        <v>0</v>
      </c>
      <c r="AL165" s="45">
        <f t="shared" si="90"/>
        <v>0</v>
      </c>
      <c r="AM165" s="8" t="str">
        <f t="shared" si="91"/>
        <v>--</v>
      </c>
      <c r="AN165" s="10">
        <f t="shared" si="92"/>
        <v>0</v>
      </c>
      <c r="AO165" s="10">
        <f t="shared" si="93"/>
        <v>0</v>
      </c>
      <c r="AP165" s="10">
        <f t="shared" si="94"/>
        <v>0</v>
      </c>
      <c r="AQ165" s="10">
        <f t="shared" si="95"/>
        <v>0</v>
      </c>
      <c r="AR165" s="10">
        <f t="shared" si="96"/>
        <v>0</v>
      </c>
      <c r="AS165" s="8">
        <v>23</v>
      </c>
      <c r="AT165" s="9">
        <f t="shared" si="97"/>
        <v>0</v>
      </c>
      <c r="AU165" s="11">
        <f t="shared" si="98"/>
        <v>0</v>
      </c>
      <c r="AV165" s="6"/>
      <c r="AW165" s="6"/>
      <c r="AX165" s="6"/>
      <c r="AZ165" t="str">
        <f t="shared" si="99"/>
        <v>{"group":"A",</v>
      </c>
      <c r="BA165" t="str">
        <f t="shared" si="80"/>
        <v>"lot":0,</v>
      </c>
      <c r="BB165" t="str">
        <f t="shared" si="100"/>
        <v>"name":"0",</v>
      </c>
      <c r="BC165" t="str">
        <f t="shared" si="101"/>
        <v>"team":"",</v>
      </c>
      <c r="BD165" t="str">
        <f t="shared" si="102"/>
        <v>"year":"0",</v>
      </c>
      <c r="BE165" t="str">
        <f t="shared" si="103"/>
        <v>"gender":"0",</v>
      </c>
      <c r="BF165" t="str">
        <f t="shared" si="104"/>
        <v>"gear":"0",</v>
      </c>
      <c r="BG165" t="str">
        <f t="shared" si="105"/>
        <v>"lifts":"0",</v>
      </c>
      <c r="BH165" t="str">
        <f t="shared" si="106"/>
        <v>"division":"--",</v>
      </c>
      <c r="BI165" t="str">
        <f t="shared" si="107"/>
        <v>"wc":"0",</v>
      </c>
      <c r="BJ165" t="str">
        <f t="shared" si="108"/>
        <v>"bw":"",</v>
      </c>
      <c r="BK165" t="str">
        <f t="shared" si="109"/>
        <v>"pb":[0,0,0,0],</v>
      </c>
      <c r="BL165" t="str">
        <f t="shared" si="81"/>
        <v>"idx":"23",</v>
      </c>
      <c r="BM165" t="str">
        <f t="shared" si="82"/>
        <v>"sr":"0",</v>
      </c>
      <c r="BN165" t="str">
        <f t="shared" si="83"/>
        <v>"br":"0",</v>
      </c>
      <c r="BO165" t="str">
        <f t="shared" si="84"/>
        <v>"row":0,</v>
      </c>
      <c r="BP165" t="s">
        <v>55</v>
      </c>
      <c r="BQ165" t="str">
        <f t="shared" si="85"/>
        <v>"sq":{"a1":0,"a2":"","a3":"","s1":0,"s2":0,"s3":0},"bp":{"a1":0,"a2":"","a3":"","s1":0,"s2":0,"s3":0},"dl":{"a1":0,"a2":"","a3":"","s1":0,"s2":0,"s3":0},"sortOrder":0,"act":{}}</v>
      </c>
      <c r="BR165" t="str">
        <f t="shared" si="110"/>
        <v>{"group":"A","lot":0,"name":"0","team":"","year":"0","gender":"0","gear":"0","lifts":"0","division":"--","wc":"0","bw":"","pb":[0,0,0,0],"idx":"23","sr":"0","br":"0","row":0,"sq":{"a1":0,"a2":"","a3":"","s1":0,"s2":0,"s3":0},"bp":{"a1":0,"a2":"","a3":"","s1":0,"s2":0,"s3":0},"dl":{"a1":0,"a2":"","a3":"","s1":0,"s2":0,"s3":0},"sortOrder":0,"act":{}}</v>
      </c>
    </row>
    <row r="166" spans="5:70" x14ac:dyDescent="0.25">
      <c r="E166" s="128"/>
      <c r="F166" s="129"/>
      <c r="G166" s="129"/>
      <c r="H166" s="129"/>
      <c r="I166" s="129"/>
      <c r="J166" s="129"/>
      <c r="K166" s="129"/>
      <c r="L166" s="130"/>
      <c r="M166" s="131"/>
      <c r="N166" s="130"/>
      <c r="O166" s="148">
        <f t="shared" ca="1" si="111"/>
        <v>2023</v>
      </c>
      <c r="P166" s="129"/>
      <c r="Q166" s="129"/>
      <c r="R166" s="129"/>
      <c r="S166" s="129"/>
      <c r="T166" s="129"/>
      <c r="U166" s="129"/>
      <c r="V166" s="129"/>
      <c r="W166" s="129"/>
      <c r="X166" s="129"/>
      <c r="Y166" s="132"/>
      <c r="Z166" s="133"/>
      <c r="AA166" s="133"/>
      <c r="AB166" s="134"/>
      <c r="AE166" s="15" t="str">
        <f t="shared" si="77"/>
        <v>A</v>
      </c>
      <c r="AF166" s="8">
        <f t="shared" si="78"/>
        <v>0</v>
      </c>
      <c r="AG166" s="9">
        <f t="shared" si="86"/>
        <v>0</v>
      </c>
      <c r="AH166" s="9" t="str">
        <f t="shared" si="87"/>
        <v/>
      </c>
      <c r="AI166" s="8">
        <f t="shared" si="79"/>
        <v>0</v>
      </c>
      <c r="AJ166" s="45">
        <f t="shared" si="88"/>
        <v>0</v>
      </c>
      <c r="AK166" s="45">
        <f t="shared" si="89"/>
        <v>0</v>
      </c>
      <c r="AL166" s="45">
        <f t="shared" si="90"/>
        <v>0</v>
      </c>
      <c r="AM166" s="8" t="str">
        <f t="shared" si="91"/>
        <v>--</v>
      </c>
      <c r="AN166" s="10">
        <f t="shared" si="92"/>
        <v>0</v>
      </c>
      <c r="AO166" s="10">
        <f t="shared" si="93"/>
        <v>0</v>
      </c>
      <c r="AP166" s="10">
        <f t="shared" si="94"/>
        <v>0</v>
      </c>
      <c r="AQ166" s="10">
        <f t="shared" si="95"/>
        <v>0</v>
      </c>
      <c r="AR166" s="10">
        <f t="shared" si="96"/>
        <v>0</v>
      </c>
      <c r="AS166" s="8">
        <v>23</v>
      </c>
      <c r="AT166" s="9">
        <f t="shared" si="97"/>
        <v>0</v>
      </c>
      <c r="AU166" s="11">
        <f t="shared" si="98"/>
        <v>0</v>
      </c>
      <c r="AV166" s="6"/>
      <c r="AW166" s="6"/>
      <c r="AX166" s="6"/>
      <c r="AZ166" t="str">
        <f t="shared" si="99"/>
        <v>{"group":"A",</v>
      </c>
      <c r="BA166" t="str">
        <f t="shared" si="80"/>
        <v>"lot":0,</v>
      </c>
      <c r="BB166" t="str">
        <f t="shared" si="100"/>
        <v>"name":"0",</v>
      </c>
      <c r="BC166" t="str">
        <f t="shared" si="101"/>
        <v>"team":"",</v>
      </c>
      <c r="BD166" t="str">
        <f t="shared" si="102"/>
        <v>"year":"0",</v>
      </c>
      <c r="BE166" t="str">
        <f t="shared" si="103"/>
        <v>"gender":"0",</v>
      </c>
      <c r="BF166" t="str">
        <f t="shared" si="104"/>
        <v>"gear":"0",</v>
      </c>
      <c r="BG166" t="str">
        <f t="shared" si="105"/>
        <v>"lifts":"0",</v>
      </c>
      <c r="BH166" t="str">
        <f t="shared" si="106"/>
        <v>"division":"--",</v>
      </c>
      <c r="BI166" t="str">
        <f t="shared" si="107"/>
        <v>"wc":"0",</v>
      </c>
      <c r="BJ166" t="str">
        <f t="shared" si="108"/>
        <v>"bw":"",</v>
      </c>
      <c r="BK166" t="str">
        <f t="shared" si="109"/>
        <v>"pb":[0,0,0,0],</v>
      </c>
      <c r="BL166" t="str">
        <f t="shared" si="81"/>
        <v>"idx":"23",</v>
      </c>
      <c r="BM166" t="str">
        <f t="shared" si="82"/>
        <v>"sr":"0",</v>
      </c>
      <c r="BN166" t="str">
        <f t="shared" si="83"/>
        <v>"br":"0",</v>
      </c>
      <c r="BO166" t="str">
        <f t="shared" si="84"/>
        <v>"row":0,</v>
      </c>
      <c r="BP166" t="s">
        <v>55</v>
      </c>
      <c r="BQ166" t="str">
        <f t="shared" si="85"/>
        <v>"sq":{"a1":0,"a2":"","a3":"","s1":0,"s2":0,"s3":0},"bp":{"a1":0,"a2":"","a3":"","s1":0,"s2":0,"s3":0},"dl":{"a1":0,"a2":"","a3":"","s1":0,"s2":0,"s3":0},"sortOrder":0,"act":{}}</v>
      </c>
      <c r="BR166" t="str">
        <f t="shared" si="110"/>
        <v>{"group":"A","lot":0,"name":"0","team":"","year":"0","gender":"0","gear":"0","lifts":"0","division":"--","wc":"0","bw":"","pb":[0,0,0,0],"idx":"23","sr":"0","br":"0","row":0,"sq":{"a1":0,"a2":"","a3":"","s1":0,"s2":0,"s3":0},"bp":{"a1":0,"a2":"","a3":"","s1":0,"s2":0,"s3":0},"dl":{"a1":0,"a2":"","a3":"","s1":0,"s2":0,"s3":0},"sortOrder":0,"act":{}}</v>
      </c>
    </row>
    <row r="167" spans="5:70" x14ac:dyDescent="0.25">
      <c r="E167" s="128"/>
      <c r="F167" s="129"/>
      <c r="G167" s="129"/>
      <c r="H167" s="129"/>
      <c r="I167" s="129"/>
      <c r="J167" s="129"/>
      <c r="K167" s="129"/>
      <c r="L167" s="130"/>
      <c r="M167" s="131"/>
      <c r="N167" s="130"/>
      <c r="O167" s="148">
        <f t="shared" ca="1" si="111"/>
        <v>2023</v>
      </c>
      <c r="P167" s="129"/>
      <c r="Q167" s="129"/>
      <c r="R167" s="129"/>
      <c r="S167" s="129"/>
      <c r="T167" s="129"/>
      <c r="U167" s="129"/>
      <c r="V167" s="129"/>
      <c r="W167" s="129"/>
      <c r="X167" s="129"/>
      <c r="Y167" s="132"/>
      <c r="Z167" s="133"/>
      <c r="AA167" s="133"/>
      <c r="AB167" s="134"/>
      <c r="AE167" s="15" t="str">
        <f t="shared" si="77"/>
        <v>A</v>
      </c>
      <c r="AF167" s="8">
        <f t="shared" si="78"/>
        <v>0</v>
      </c>
      <c r="AG167" s="9">
        <f t="shared" si="86"/>
        <v>0</v>
      </c>
      <c r="AH167" s="9" t="str">
        <f t="shared" si="87"/>
        <v/>
      </c>
      <c r="AI167" s="8">
        <f t="shared" si="79"/>
        <v>0</v>
      </c>
      <c r="AJ167" s="45">
        <f t="shared" si="88"/>
        <v>0</v>
      </c>
      <c r="AK167" s="45">
        <f t="shared" si="89"/>
        <v>0</v>
      </c>
      <c r="AL167" s="45">
        <f t="shared" si="90"/>
        <v>0</v>
      </c>
      <c r="AM167" s="8" t="str">
        <f t="shared" si="91"/>
        <v>--</v>
      </c>
      <c r="AN167" s="10">
        <f t="shared" si="92"/>
        <v>0</v>
      </c>
      <c r="AO167" s="10">
        <f t="shared" si="93"/>
        <v>0</v>
      </c>
      <c r="AP167" s="10">
        <f t="shared" si="94"/>
        <v>0</v>
      </c>
      <c r="AQ167" s="10">
        <f t="shared" si="95"/>
        <v>0</v>
      </c>
      <c r="AR167" s="10">
        <f t="shared" si="96"/>
        <v>0</v>
      </c>
      <c r="AS167" s="8">
        <v>23</v>
      </c>
      <c r="AT167" s="9">
        <f t="shared" si="97"/>
        <v>0</v>
      </c>
      <c r="AU167" s="11">
        <f t="shared" si="98"/>
        <v>0</v>
      </c>
      <c r="AV167" s="6"/>
      <c r="AW167" s="6"/>
      <c r="AX167" s="6"/>
      <c r="AZ167" t="str">
        <f t="shared" si="99"/>
        <v>{"group":"A",</v>
      </c>
      <c r="BA167" t="str">
        <f t="shared" si="80"/>
        <v>"lot":0,</v>
      </c>
      <c r="BB167" t="str">
        <f t="shared" si="100"/>
        <v>"name":"0",</v>
      </c>
      <c r="BC167" t="str">
        <f t="shared" si="101"/>
        <v>"team":"",</v>
      </c>
      <c r="BD167" t="str">
        <f t="shared" si="102"/>
        <v>"year":"0",</v>
      </c>
      <c r="BE167" t="str">
        <f t="shared" si="103"/>
        <v>"gender":"0",</v>
      </c>
      <c r="BF167" t="str">
        <f t="shared" si="104"/>
        <v>"gear":"0",</v>
      </c>
      <c r="BG167" t="str">
        <f t="shared" si="105"/>
        <v>"lifts":"0",</v>
      </c>
      <c r="BH167" t="str">
        <f t="shared" si="106"/>
        <v>"division":"--",</v>
      </c>
      <c r="BI167" t="str">
        <f t="shared" si="107"/>
        <v>"wc":"0",</v>
      </c>
      <c r="BJ167" t="str">
        <f t="shared" si="108"/>
        <v>"bw":"",</v>
      </c>
      <c r="BK167" t="str">
        <f t="shared" si="109"/>
        <v>"pb":[0,0,0,0],</v>
      </c>
      <c r="BL167" t="str">
        <f t="shared" si="81"/>
        <v>"idx":"23",</v>
      </c>
      <c r="BM167" t="str">
        <f t="shared" si="82"/>
        <v>"sr":"0",</v>
      </c>
      <c r="BN167" t="str">
        <f t="shared" si="83"/>
        <v>"br":"0",</v>
      </c>
      <c r="BO167" t="str">
        <f t="shared" si="84"/>
        <v>"row":0,</v>
      </c>
      <c r="BP167" t="s">
        <v>55</v>
      </c>
      <c r="BQ167" t="str">
        <f t="shared" si="85"/>
        <v>"sq":{"a1":0,"a2":"","a3":"","s1":0,"s2":0,"s3":0},"bp":{"a1":0,"a2":"","a3":"","s1":0,"s2":0,"s3":0},"dl":{"a1":0,"a2":"","a3":"","s1":0,"s2":0,"s3":0},"sortOrder":0,"act":{}}</v>
      </c>
      <c r="BR167" t="str">
        <f t="shared" si="110"/>
        <v>{"group":"A","lot":0,"name":"0","team":"","year":"0","gender":"0","gear":"0","lifts":"0","division":"--","wc":"0","bw":"","pb":[0,0,0,0],"idx":"23","sr":"0","br":"0","row":0,"sq":{"a1":0,"a2":"","a3":"","s1":0,"s2":0,"s3":0},"bp":{"a1":0,"a2":"","a3":"","s1":0,"s2":0,"s3":0},"dl":{"a1":0,"a2":"","a3":"","s1":0,"s2":0,"s3":0},"sortOrder":0,"act":{}}</v>
      </c>
    </row>
    <row r="168" spans="5:70" x14ac:dyDescent="0.25">
      <c r="E168" s="128"/>
      <c r="F168" s="129"/>
      <c r="G168" s="129"/>
      <c r="H168" s="129"/>
      <c r="I168" s="129"/>
      <c r="J168" s="129"/>
      <c r="K168" s="129"/>
      <c r="L168" s="130"/>
      <c r="M168" s="131"/>
      <c r="N168" s="130"/>
      <c r="O168" s="148">
        <f t="shared" ca="1" si="111"/>
        <v>2023</v>
      </c>
      <c r="P168" s="129"/>
      <c r="Q168" s="129"/>
      <c r="R168" s="129"/>
      <c r="S168" s="129"/>
      <c r="T168" s="129"/>
      <c r="U168" s="129"/>
      <c r="V168" s="129"/>
      <c r="W168" s="129"/>
      <c r="X168" s="129"/>
      <c r="Y168" s="132"/>
      <c r="Z168" s="133"/>
      <c r="AA168" s="133"/>
      <c r="AB168" s="134"/>
      <c r="AE168" s="15" t="str">
        <f t="shared" si="77"/>
        <v>A</v>
      </c>
      <c r="AF168" s="8">
        <f t="shared" si="78"/>
        <v>0</v>
      </c>
      <c r="AG168" s="9">
        <f t="shared" si="86"/>
        <v>0</v>
      </c>
      <c r="AH168" s="9" t="str">
        <f t="shared" si="87"/>
        <v/>
      </c>
      <c r="AI168" s="8">
        <f t="shared" si="79"/>
        <v>0</v>
      </c>
      <c r="AJ168" s="45">
        <f t="shared" si="88"/>
        <v>0</v>
      </c>
      <c r="AK168" s="45">
        <f t="shared" si="89"/>
        <v>0</v>
      </c>
      <c r="AL168" s="45">
        <f t="shared" si="90"/>
        <v>0</v>
      </c>
      <c r="AM168" s="8" t="str">
        <f t="shared" si="91"/>
        <v>--</v>
      </c>
      <c r="AN168" s="10">
        <f t="shared" si="92"/>
        <v>0</v>
      </c>
      <c r="AO168" s="10">
        <f t="shared" si="93"/>
        <v>0</v>
      </c>
      <c r="AP168" s="10">
        <f t="shared" si="94"/>
        <v>0</v>
      </c>
      <c r="AQ168" s="10">
        <f t="shared" si="95"/>
        <v>0</v>
      </c>
      <c r="AR168" s="10">
        <f t="shared" si="96"/>
        <v>0</v>
      </c>
      <c r="AS168" s="8">
        <v>23</v>
      </c>
      <c r="AT168" s="9">
        <f t="shared" si="97"/>
        <v>0</v>
      </c>
      <c r="AU168" s="11">
        <f t="shared" si="98"/>
        <v>0</v>
      </c>
      <c r="AV168" s="6"/>
      <c r="AW168" s="6"/>
      <c r="AX168" s="6"/>
      <c r="AZ168" t="str">
        <f t="shared" si="99"/>
        <v>{"group":"A",</v>
      </c>
      <c r="BA168" t="str">
        <f t="shared" si="80"/>
        <v>"lot":0,</v>
      </c>
      <c r="BB168" t="str">
        <f t="shared" si="100"/>
        <v>"name":"0",</v>
      </c>
      <c r="BC168" t="str">
        <f t="shared" si="101"/>
        <v>"team":"",</v>
      </c>
      <c r="BD168" t="str">
        <f t="shared" si="102"/>
        <v>"year":"0",</v>
      </c>
      <c r="BE168" t="str">
        <f t="shared" si="103"/>
        <v>"gender":"0",</v>
      </c>
      <c r="BF168" t="str">
        <f t="shared" si="104"/>
        <v>"gear":"0",</v>
      </c>
      <c r="BG168" t="str">
        <f t="shared" si="105"/>
        <v>"lifts":"0",</v>
      </c>
      <c r="BH168" t="str">
        <f t="shared" si="106"/>
        <v>"division":"--",</v>
      </c>
      <c r="BI168" t="str">
        <f t="shared" si="107"/>
        <v>"wc":"0",</v>
      </c>
      <c r="BJ168" t="str">
        <f t="shared" si="108"/>
        <v>"bw":"",</v>
      </c>
      <c r="BK168" t="str">
        <f t="shared" si="109"/>
        <v>"pb":[0,0,0,0],</v>
      </c>
      <c r="BL168" t="str">
        <f t="shared" si="81"/>
        <v>"idx":"23",</v>
      </c>
      <c r="BM168" t="str">
        <f t="shared" si="82"/>
        <v>"sr":"0",</v>
      </c>
      <c r="BN168" t="str">
        <f t="shared" si="83"/>
        <v>"br":"0",</v>
      </c>
      <c r="BO168" t="str">
        <f t="shared" si="84"/>
        <v>"row":0,</v>
      </c>
      <c r="BP168" t="s">
        <v>55</v>
      </c>
      <c r="BQ168" t="str">
        <f t="shared" si="85"/>
        <v>"sq":{"a1":0,"a2":"","a3":"","s1":0,"s2":0,"s3":0},"bp":{"a1":0,"a2":"","a3":"","s1":0,"s2":0,"s3":0},"dl":{"a1":0,"a2":"","a3":"","s1":0,"s2":0,"s3":0},"sortOrder":0,"act":{}}</v>
      </c>
      <c r="BR168" t="str">
        <f t="shared" si="110"/>
        <v>{"group":"A","lot":0,"name":"0","team":"","year":"0","gender":"0","gear":"0","lifts":"0","division":"--","wc":"0","bw":"","pb":[0,0,0,0],"idx":"23","sr":"0","br":"0","row":0,"sq":{"a1":0,"a2":"","a3":"","s1":0,"s2":0,"s3":0},"bp":{"a1":0,"a2":"","a3":"","s1":0,"s2":0,"s3":0},"dl":{"a1":0,"a2":"","a3":"","s1":0,"s2":0,"s3":0},"sortOrder":0,"act":{}}</v>
      </c>
    </row>
    <row r="169" spans="5:70" x14ac:dyDescent="0.25">
      <c r="E169" s="128"/>
      <c r="F169" s="129"/>
      <c r="G169" s="129"/>
      <c r="H169" s="129"/>
      <c r="I169" s="129"/>
      <c r="J169" s="129"/>
      <c r="K169" s="129"/>
      <c r="L169" s="130"/>
      <c r="M169" s="131"/>
      <c r="N169" s="130"/>
      <c r="O169" s="148">
        <f t="shared" ca="1" si="111"/>
        <v>2023</v>
      </c>
      <c r="P169" s="129"/>
      <c r="Q169" s="129"/>
      <c r="R169" s="129"/>
      <c r="S169" s="129"/>
      <c r="T169" s="129"/>
      <c r="U169" s="129"/>
      <c r="V169" s="129"/>
      <c r="W169" s="129"/>
      <c r="X169" s="129"/>
      <c r="Y169" s="132"/>
      <c r="Z169" s="133"/>
      <c r="AA169" s="133"/>
      <c r="AB169" s="134"/>
      <c r="AE169" s="15" t="str">
        <f t="shared" si="77"/>
        <v>A</v>
      </c>
      <c r="AF169" s="8">
        <f t="shared" si="78"/>
        <v>0</v>
      </c>
      <c r="AG169" s="9">
        <f t="shared" si="86"/>
        <v>0</v>
      </c>
      <c r="AH169" s="9" t="str">
        <f t="shared" si="87"/>
        <v/>
      </c>
      <c r="AI169" s="8">
        <f t="shared" si="79"/>
        <v>0</v>
      </c>
      <c r="AJ169" s="45">
        <f t="shared" si="88"/>
        <v>0</v>
      </c>
      <c r="AK169" s="45">
        <f t="shared" si="89"/>
        <v>0</v>
      </c>
      <c r="AL169" s="45">
        <f t="shared" si="90"/>
        <v>0</v>
      </c>
      <c r="AM169" s="8" t="str">
        <f t="shared" si="91"/>
        <v>--</v>
      </c>
      <c r="AN169" s="10">
        <f t="shared" si="92"/>
        <v>0</v>
      </c>
      <c r="AO169" s="10">
        <f t="shared" si="93"/>
        <v>0</v>
      </c>
      <c r="AP169" s="10">
        <f t="shared" si="94"/>
        <v>0</v>
      </c>
      <c r="AQ169" s="10">
        <f t="shared" si="95"/>
        <v>0</v>
      </c>
      <c r="AR169" s="10">
        <f t="shared" si="96"/>
        <v>0</v>
      </c>
      <c r="AS169" s="8">
        <v>23</v>
      </c>
      <c r="AT169" s="9">
        <f t="shared" si="97"/>
        <v>0</v>
      </c>
      <c r="AU169" s="11">
        <f t="shared" si="98"/>
        <v>0</v>
      </c>
      <c r="AV169" s="6"/>
      <c r="AW169" s="6"/>
      <c r="AX169" s="6"/>
      <c r="AZ169" t="str">
        <f t="shared" si="99"/>
        <v>{"group":"A",</v>
      </c>
      <c r="BA169" t="str">
        <f t="shared" si="80"/>
        <v>"lot":0,</v>
      </c>
      <c r="BB169" t="str">
        <f t="shared" si="100"/>
        <v>"name":"0",</v>
      </c>
      <c r="BC169" t="str">
        <f t="shared" si="101"/>
        <v>"team":"",</v>
      </c>
      <c r="BD169" t="str">
        <f t="shared" si="102"/>
        <v>"year":"0",</v>
      </c>
      <c r="BE169" t="str">
        <f t="shared" si="103"/>
        <v>"gender":"0",</v>
      </c>
      <c r="BF169" t="str">
        <f t="shared" si="104"/>
        <v>"gear":"0",</v>
      </c>
      <c r="BG169" t="str">
        <f t="shared" si="105"/>
        <v>"lifts":"0",</v>
      </c>
      <c r="BH169" t="str">
        <f t="shared" si="106"/>
        <v>"division":"--",</v>
      </c>
      <c r="BI169" t="str">
        <f t="shared" si="107"/>
        <v>"wc":"0",</v>
      </c>
      <c r="BJ169" t="str">
        <f t="shared" si="108"/>
        <v>"bw":"",</v>
      </c>
      <c r="BK169" t="str">
        <f t="shared" si="109"/>
        <v>"pb":[0,0,0,0],</v>
      </c>
      <c r="BL169" t="str">
        <f t="shared" si="81"/>
        <v>"idx":"23",</v>
      </c>
      <c r="BM169" t="str">
        <f t="shared" si="82"/>
        <v>"sr":"0",</v>
      </c>
      <c r="BN169" t="str">
        <f t="shared" si="83"/>
        <v>"br":"0",</v>
      </c>
      <c r="BO169" t="str">
        <f t="shared" si="84"/>
        <v>"row":0,</v>
      </c>
      <c r="BP169" t="s">
        <v>55</v>
      </c>
      <c r="BQ169" t="str">
        <f t="shared" si="85"/>
        <v>"sq":{"a1":0,"a2":"","a3":"","s1":0,"s2":0,"s3":0},"bp":{"a1":0,"a2":"","a3":"","s1":0,"s2":0,"s3":0},"dl":{"a1":0,"a2":"","a3":"","s1":0,"s2":0,"s3":0},"sortOrder":0,"act":{}}</v>
      </c>
      <c r="BR169" t="str">
        <f t="shared" si="110"/>
        <v>{"group":"A","lot":0,"name":"0","team":"","year":"0","gender":"0","gear":"0","lifts":"0","division":"--","wc":"0","bw":"","pb":[0,0,0,0],"idx":"23","sr":"0","br":"0","row":0,"sq":{"a1":0,"a2":"","a3":"","s1":0,"s2":0,"s3":0},"bp":{"a1":0,"a2":"","a3":"","s1":0,"s2":0,"s3":0},"dl":{"a1":0,"a2":"","a3":"","s1":0,"s2":0,"s3":0},"sortOrder":0,"act":{}}</v>
      </c>
    </row>
    <row r="170" spans="5:70" x14ac:dyDescent="0.25">
      <c r="E170" s="128"/>
      <c r="F170" s="129"/>
      <c r="G170" s="129"/>
      <c r="H170" s="129"/>
      <c r="I170" s="129"/>
      <c r="J170" s="129"/>
      <c r="K170" s="129"/>
      <c r="L170" s="130"/>
      <c r="M170" s="131"/>
      <c r="N170" s="130"/>
      <c r="O170" s="148">
        <f t="shared" ca="1" si="111"/>
        <v>2023</v>
      </c>
      <c r="P170" s="129"/>
      <c r="Q170" s="129"/>
      <c r="R170" s="129"/>
      <c r="S170" s="129"/>
      <c r="T170" s="129"/>
      <c r="U170" s="129"/>
      <c r="V170" s="129"/>
      <c r="W170" s="129"/>
      <c r="X170" s="129"/>
      <c r="Y170" s="132"/>
      <c r="Z170" s="133"/>
      <c r="AA170" s="133"/>
      <c r="AB170" s="134"/>
      <c r="AE170" s="15" t="str">
        <f t="shared" si="77"/>
        <v>A</v>
      </c>
      <c r="AF170" s="8">
        <f t="shared" si="78"/>
        <v>0</v>
      </c>
      <c r="AG170" s="9">
        <f t="shared" si="86"/>
        <v>0</v>
      </c>
      <c r="AH170" s="9" t="str">
        <f t="shared" si="87"/>
        <v/>
      </c>
      <c r="AI170" s="8">
        <f t="shared" si="79"/>
        <v>0</v>
      </c>
      <c r="AJ170" s="45">
        <f t="shared" si="88"/>
        <v>0</v>
      </c>
      <c r="AK170" s="45">
        <f t="shared" si="89"/>
        <v>0</v>
      </c>
      <c r="AL170" s="45">
        <f t="shared" si="90"/>
        <v>0</v>
      </c>
      <c r="AM170" s="8" t="str">
        <f t="shared" si="91"/>
        <v>--</v>
      </c>
      <c r="AN170" s="10">
        <f t="shared" si="92"/>
        <v>0</v>
      </c>
      <c r="AO170" s="10">
        <f t="shared" si="93"/>
        <v>0</v>
      </c>
      <c r="AP170" s="10">
        <f t="shared" si="94"/>
        <v>0</v>
      </c>
      <c r="AQ170" s="10">
        <f t="shared" si="95"/>
        <v>0</v>
      </c>
      <c r="AR170" s="10">
        <f t="shared" si="96"/>
        <v>0</v>
      </c>
      <c r="AS170" s="8">
        <v>23</v>
      </c>
      <c r="AT170" s="9">
        <f t="shared" si="97"/>
        <v>0</v>
      </c>
      <c r="AU170" s="11">
        <f t="shared" si="98"/>
        <v>0</v>
      </c>
      <c r="AV170" s="6"/>
      <c r="AW170" s="6"/>
      <c r="AX170" s="6"/>
      <c r="AZ170" t="str">
        <f t="shared" si="99"/>
        <v>{"group":"A",</v>
      </c>
      <c r="BA170" t="str">
        <f t="shared" si="80"/>
        <v>"lot":0,</v>
      </c>
      <c r="BB170" t="str">
        <f t="shared" si="100"/>
        <v>"name":"0",</v>
      </c>
      <c r="BC170" t="str">
        <f t="shared" si="101"/>
        <v>"team":"",</v>
      </c>
      <c r="BD170" t="str">
        <f t="shared" si="102"/>
        <v>"year":"0",</v>
      </c>
      <c r="BE170" t="str">
        <f t="shared" si="103"/>
        <v>"gender":"0",</v>
      </c>
      <c r="BF170" t="str">
        <f t="shared" si="104"/>
        <v>"gear":"0",</v>
      </c>
      <c r="BG170" t="str">
        <f t="shared" si="105"/>
        <v>"lifts":"0",</v>
      </c>
      <c r="BH170" t="str">
        <f t="shared" si="106"/>
        <v>"division":"--",</v>
      </c>
      <c r="BI170" t="str">
        <f t="shared" si="107"/>
        <v>"wc":"0",</v>
      </c>
      <c r="BJ170" t="str">
        <f t="shared" si="108"/>
        <v>"bw":"",</v>
      </c>
      <c r="BK170" t="str">
        <f t="shared" si="109"/>
        <v>"pb":[0,0,0,0],</v>
      </c>
      <c r="BL170" t="str">
        <f t="shared" si="81"/>
        <v>"idx":"23",</v>
      </c>
      <c r="BM170" t="str">
        <f t="shared" si="82"/>
        <v>"sr":"0",</v>
      </c>
      <c r="BN170" t="str">
        <f t="shared" si="83"/>
        <v>"br":"0",</v>
      </c>
      <c r="BO170" t="str">
        <f t="shared" si="84"/>
        <v>"row":0,</v>
      </c>
      <c r="BP170" t="s">
        <v>55</v>
      </c>
      <c r="BQ170" t="str">
        <f t="shared" si="85"/>
        <v>"sq":{"a1":0,"a2":"","a3":"","s1":0,"s2":0,"s3":0},"bp":{"a1":0,"a2":"","a3":"","s1":0,"s2":0,"s3":0},"dl":{"a1":0,"a2":"","a3":"","s1":0,"s2":0,"s3":0},"sortOrder":0,"act":{}}</v>
      </c>
      <c r="BR170" t="str">
        <f t="shared" si="110"/>
        <v>{"group":"A","lot":0,"name":"0","team":"","year":"0","gender":"0","gear":"0","lifts":"0","division":"--","wc":"0","bw":"","pb":[0,0,0,0],"idx":"23","sr":"0","br":"0","row":0,"sq":{"a1":0,"a2":"","a3":"","s1":0,"s2":0,"s3":0},"bp":{"a1":0,"a2":"","a3":"","s1":0,"s2":0,"s3":0},"dl":{"a1":0,"a2":"","a3":"","s1":0,"s2":0,"s3":0},"sortOrder":0,"act":{}}</v>
      </c>
    </row>
    <row r="171" spans="5:70" x14ac:dyDescent="0.25">
      <c r="E171" s="128"/>
      <c r="F171" s="129"/>
      <c r="G171" s="129"/>
      <c r="H171" s="129"/>
      <c r="I171" s="129"/>
      <c r="J171" s="129"/>
      <c r="K171" s="129"/>
      <c r="L171" s="130"/>
      <c r="M171" s="131"/>
      <c r="N171" s="130"/>
      <c r="O171" s="148">
        <f t="shared" ca="1" si="111"/>
        <v>2023</v>
      </c>
      <c r="P171" s="129"/>
      <c r="Q171" s="129"/>
      <c r="R171" s="129"/>
      <c r="S171" s="129"/>
      <c r="T171" s="129"/>
      <c r="U171" s="129"/>
      <c r="V171" s="129"/>
      <c r="W171" s="129"/>
      <c r="X171" s="129"/>
      <c r="Y171" s="132"/>
      <c r="Z171" s="133"/>
      <c r="AA171" s="133"/>
      <c r="AB171" s="134"/>
      <c r="AE171" s="15" t="str">
        <f t="shared" si="77"/>
        <v>A</v>
      </c>
      <c r="AF171" s="8">
        <f t="shared" si="78"/>
        <v>0</v>
      </c>
      <c r="AG171" s="9">
        <f t="shared" si="86"/>
        <v>0</v>
      </c>
      <c r="AH171" s="9" t="str">
        <f t="shared" si="87"/>
        <v/>
      </c>
      <c r="AI171" s="8">
        <f t="shared" si="79"/>
        <v>0</v>
      </c>
      <c r="AJ171" s="45">
        <f t="shared" si="88"/>
        <v>0</v>
      </c>
      <c r="AK171" s="45">
        <f t="shared" si="89"/>
        <v>0</v>
      </c>
      <c r="AL171" s="45">
        <f t="shared" si="90"/>
        <v>0</v>
      </c>
      <c r="AM171" s="8" t="str">
        <f t="shared" si="91"/>
        <v>--</v>
      </c>
      <c r="AN171" s="10">
        <f t="shared" si="92"/>
        <v>0</v>
      </c>
      <c r="AO171" s="10">
        <f t="shared" si="93"/>
        <v>0</v>
      </c>
      <c r="AP171" s="10">
        <f t="shared" si="94"/>
        <v>0</v>
      </c>
      <c r="AQ171" s="10">
        <f t="shared" si="95"/>
        <v>0</v>
      </c>
      <c r="AR171" s="10">
        <f t="shared" si="96"/>
        <v>0</v>
      </c>
      <c r="AS171" s="8">
        <v>23</v>
      </c>
      <c r="AT171" s="9">
        <f t="shared" si="97"/>
        <v>0</v>
      </c>
      <c r="AU171" s="11">
        <f t="shared" si="98"/>
        <v>0</v>
      </c>
      <c r="AV171" s="6"/>
      <c r="AW171" s="6"/>
      <c r="AX171" s="6"/>
      <c r="AZ171" t="str">
        <f t="shared" si="99"/>
        <v>{"group":"A",</v>
      </c>
      <c r="BA171" t="str">
        <f t="shared" si="80"/>
        <v>"lot":0,</v>
      </c>
      <c r="BB171" t="str">
        <f t="shared" si="100"/>
        <v>"name":"0",</v>
      </c>
      <c r="BC171" t="str">
        <f t="shared" si="101"/>
        <v>"team":"",</v>
      </c>
      <c r="BD171" t="str">
        <f t="shared" si="102"/>
        <v>"year":"0",</v>
      </c>
      <c r="BE171" t="str">
        <f t="shared" si="103"/>
        <v>"gender":"0",</v>
      </c>
      <c r="BF171" t="str">
        <f t="shared" si="104"/>
        <v>"gear":"0",</v>
      </c>
      <c r="BG171" t="str">
        <f t="shared" si="105"/>
        <v>"lifts":"0",</v>
      </c>
      <c r="BH171" t="str">
        <f t="shared" si="106"/>
        <v>"division":"--",</v>
      </c>
      <c r="BI171" t="str">
        <f t="shared" si="107"/>
        <v>"wc":"0",</v>
      </c>
      <c r="BJ171" t="str">
        <f t="shared" si="108"/>
        <v>"bw":"",</v>
      </c>
      <c r="BK171" t="str">
        <f t="shared" si="109"/>
        <v>"pb":[0,0,0,0],</v>
      </c>
      <c r="BL171" t="str">
        <f t="shared" si="81"/>
        <v>"idx":"23",</v>
      </c>
      <c r="BM171" t="str">
        <f t="shared" si="82"/>
        <v>"sr":"0",</v>
      </c>
      <c r="BN171" t="str">
        <f t="shared" si="83"/>
        <v>"br":"0",</v>
      </c>
      <c r="BO171" t="str">
        <f t="shared" si="84"/>
        <v>"row":0,</v>
      </c>
      <c r="BP171" t="s">
        <v>55</v>
      </c>
      <c r="BQ171" t="str">
        <f t="shared" si="85"/>
        <v>"sq":{"a1":0,"a2":"","a3":"","s1":0,"s2":0,"s3":0},"bp":{"a1":0,"a2":"","a3":"","s1":0,"s2":0,"s3":0},"dl":{"a1":0,"a2":"","a3":"","s1":0,"s2":0,"s3":0},"sortOrder":0,"act":{}}</v>
      </c>
      <c r="BR171" t="str">
        <f t="shared" si="110"/>
        <v>{"group":"A","lot":0,"name":"0","team":"","year":"0","gender":"0","gear":"0","lifts":"0","division":"--","wc":"0","bw":"","pb":[0,0,0,0],"idx":"23","sr":"0","br":"0","row":0,"sq":{"a1":0,"a2":"","a3":"","s1":0,"s2":0,"s3":0},"bp":{"a1":0,"a2":"","a3":"","s1":0,"s2":0,"s3":0},"dl":{"a1":0,"a2":"","a3":"","s1":0,"s2":0,"s3":0},"sortOrder":0,"act":{}}</v>
      </c>
    </row>
    <row r="172" spans="5:70" x14ac:dyDescent="0.25">
      <c r="E172" s="128"/>
      <c r="F172" s="129"/>
      <c r="G172" s="129"/>
      <c r="H172" s="129"/>
      <c r="I172" s="129"/>
      <c r="J172" s="129"/>
      <c r="K172" s="129"/>
      <c r="L172" s="130"/>
      <c r="M172" s="131"/>
      <c r="N172" s="130"/>
      <c r="O172" s="148">
        <f t="shared" ca="1" si="111"/>
        <v>2023</v>
      </c>
      <c r="P172" s="129"/>
      <c r="Q172" s="129"/>
      <c r="R172" s="129"/>
      <c r="S172" s="129"/>
      <c r="T172" s="129"/>
      <c r="U172" s="129"/>
      <c r="V172" s="129"/>
      <c r="W172" s="129"/>
      <c r="X172" s="129"/>
      <c r="Y172" s="132"/>
      <c r="Z172" s="133"/>
      <c r="AA172" s="133"/>
      <c r="AB172" s="134"/>
      <c r="AE172" s="15" t="str">
        <f t="shared" si="77"/>
        <v>A</v>
      </c>
      <c r="AF172" s="8">
        <f t="shared" si="78"/>
        <v>0</v>
      </c>
      <c r="AG172" s="9">
        <f t="shared" si="86"/>
        <v>0</v>
      </c>
      <c r="AH172" s="9" t="str">
        <f t="shared" si="87"/>
        <v/>
      </c>
      <c r="AI172" s="8">
        <f t="shared" si="79"/>
        <v>0</v>
      </c>
      <c r="AJ172" s="45">
        <f t="shared" si="88"/>
        <v>0</v>
      </c>
      <c r="AK172" s="45">
        <f t="shared" si="89"/>
        <v>0</v>
      </c>
      <c r="AL172" s="45">
        <f t="shared" si="90"/>
        <v>0</v>
      </c>
      <c r="AM172" s="8" t="str">
        <f t="shared" si="91"/>
        <v>--</v>
      </c>
      <c r="AN172" s="10">
        <f t="shared" si="92"/>
        <v>0</v>
      </c>
      <c r="AO172" s="10">
        <f t="shared" si="93"/>
        <v>0</v>
      </c>
      <c r="AP172" s="10">
        <f t="shared" si="94"/>
        <v>0</v>
      </c>
      <c r="AQ172" s="10">
        <f t="shared" si="95"/>
        <v>0</v>
      </c>
      <c r="AR172" s="10">
        <f t="shared" si="96"/>
        <v>0</v>
      </c>
      <c r="AS172" s="8">
        <v>23</v>
      </c>
      <c r="AT172" s="9">
        <f t="shared" si="97"/>
        <v>0</v>
      </c>
      <c r="AU172" s="11">
        <f t="shared" si="98"/>
        <v>0</v>
      </c>
      <c r="AV172" s="6"/>
      <c r="AW172" s="6"/>
      <c r="AX172" s="6"/>
      <c r="AZ172" t="str">
        <f t="shared" si="99"/>
        <v>{"group":"A",</v>
      </c>
      <c r="BA172" t="str">
        <f t="shared" si="80"/>
        <v>"lot":0,</v>
      </c>
      <c r="BB172" t="str">
        <f t="shared" si="100"/>
        <v>"name":"0",</v>
      </c>
      <c r="BC172" t="str">
        <f t="shared" si="101"/>
        <v>"team":"",</v>
      </c>
      <c r="BD172" t="str">
        <f t="shared" si="102"/>
        <v>"year":"0",</v>
      </c>
      <c r="BE172" t="str">
        <f t="shared" si="103"/>
        <v>"gender":"0",</v>
      </c>
      <c r="BF172" t="str">
        <f t="shared" si="104"/>
        <v>"gear":"0",</v>
      </c>
      <c r="BG172" t="str">
        <f t="shared" si="105"/>
        <v>"lifts":"0",</v>
      </c>
      <c r="BH172" t="str">
        <f t="shared" si="106"/>
        <v>"division":"--",</v>
      </c>
      <c r="BI172" t="str">
        <f t="shared" si="107"/>
        <v>"wc":"0",</v>
      </c>
      <c r="BJ172" t="str">
        <f t="shared" si="108"/>
        <v>"bw":"",</v>
      </c>
      <c r="BK172" t="str">
        <f t="shared" si="109"/>
        <v>"pb":[0,0,0,0],</v>
      </c>
      <c r="BL172" t="str">
        <f t="shared" si="81"/>
        <v>"idx":"23",</v>
      </c>
      <c r="BM172" t="str">
        <f t="shared" si="82"/>
        <v>"sr":"0",</v>
      </c>
      <c r="BN172" t="str">
        <f t="shared" si="83"/>
        <v>"br":"0",</v>
      </c>
      <c r="BO172" t="str">
        <f t="shared" si="84"/>
        <v>"row":0,</v>
      </c>
      <c r="BP172" t="s">
        <v>55</v>
      </c>
      <c r="BQ172" t="str">
        <f t="shared" si="85"/>
        <v>"sq":{"a1":0,"a2":"","a3":"","s1":0,"s2":0,"s3":0},"bp":{"a1":0,"a2":"","a3":"","s1":0,"s2":0,"s3":0},"dl":{"a1":0,"a2":"","a3":"","s1":0,"s2":0,"s3":0},"sortOrder":0,"act":{}}</v>
      </c>
      <c r="BR172" t="str">
        <f t="shared" si="110"/>
        <v>{"group":"A","lot":0,"name":"0","team":"","year":"0","gender":"0","gear":"0","lifts":"0","division":"--","wc":"0","bw":"","pb":[0,0,0,0],"idx":"23","sr":"0","br":"0","row":0,"sq":{"a1":0,"a2":"","a3":"","s1":0,"s2":0,"s3":0},"bp":{"a1":0,"a2":"","a3":"","s1":0,"s2":0,"s3":0},"dl":{"a1":0,"a2":"","a3":"","s1":0,"s2":0,"s3":0},"sortOrder":0,"act":{}}</v>
      </c>
    </row>
    <row r="173" spans="5:70" x14ac:dyDescent="0.25">
      <c r="E173" s="128"/>
      <c r="F173" s="129"/>
      <c r="G173" s="129"/>
      <c r="H173" s="129"/>
      <c r="I173" s="129"/>
      <c r="J173" s="129"/>
      <c r="K173" s="129"/>
      <c r="L173" s="130"/>
      <c r="M173" s="131"/>
      <c r="N173" s="130"/>
      <c r="O173" s="148">
        <f t="shared" ca="1" si="111"/>
        <v>2023</v>
      </c>
      <c r="P173" s="129"/>
      <c r="Q173" s="129"/>
      <c r="R173" s="129"/>
      <c r="S173" s="129"/>
      <c r="T173" s="129"/>
      <c r="U173" s="129"/>
      <c r="V173" s="129"/>
      <c r="W173" s="129"/>
      <c r="X173" s="129"/>
      <c r="Y173" s="132"/>
      <c r="Z173" s="133"/>
      <c r="AA173" s="133"/>
      <c r="AB173" s="134"/>
      <c r="AE173" s="15" t="str">
        <f t="shared" si="77"/>
        <v>A</v>
      </c>
      <c r="AF173" s="8">
        <f t="shared" si="78"/>
        <v>0</v>
      </c>
      <c r="AG173" s="9">
        <f t="shared" si="86"/>
        <v>0</v>
      </c>
      <c r="AH173" s="9" t="str">
        <f t="shared" si="87"/>
        <v/>
      </c>
      <c r="AI173" s="8">
        <f t="shared" si="79"/>
        <v>0</v>
      </c>
      <c r="AJ173" s="45">
        <f t="shared" si="88"/>
        <v>0</v>
      </c>
      <c r="AK173" s="45">
        <f t="shared" si="89"/>
        <v>0</v>
      </c>
      <c r="AL173" s="45">
        <f t="shared" si="90"/>
        <v>0</v>
      </c>
      <c r="AM173" s="8" t="str">
        <f t="shared" si="91"/>
        <v>--</v>
      </c>
      <c r="AN173" s="10">
        <f t="shared" si="92"/>
        <v>0</v>
      </c>
      <c r="AO173" s="10">
        <f t="shared" si="93"/>
        <v>0</v>
      </c>
      <c r="AP173" s="10">
        <f t="shared" si="94"/>
        <v>0</v>
      </c>
      <c r="AQ173" s="10">
        <f t="shared" si="95"/>
        <v>0</v>
      </c>
      <c r="AR173" s="10">
        <f t="shared" si="96"/>
        <v>0</v>
      </c>
      <c r="AS173" s="8">
        <v>23</v>
      </c>
      <c r="AT173" s="9">
        <f t="shared" si="97"/>
        <v>0</v>
      </c>
      <c r="AU173" s="11">
        <f t="shared" si="98"/>
        <v>0</v>
      </c>
      <c r="AV173" s="6"/>
      <c r="AW173" s="6"/>
      <c r="AX173" s="6"/>
      <c r="AZ173" t="str">
        <f t="shared" si="99"/>
        <v>{"group":"A",</v>
      </c>
      <c r="BA173" t="str">
        <f t="shared" si="80"/>
        <v>"lot":0,</v>
      </c>
      <c r="BB173" t="str">
        <f t="shared" si="100"/>
        <v>"name":"0",</v>
      </c>
      <c r="BC173" t="str">
        <f t="shared" si="101"/>
        <v>"team":"",</v>
      </c>
      <c r="BD173" t="str">
        <f t="shared" si="102"/>
        <v>"year":"0",</v>
      </c>
      <c r="BE173" t="str">
        <f t="shared" si="103"/>
        <v>"gender":"0",</v>
      </c>
      <c r="BF173" t="str">
        <f t="shared" si="104"/>
        <v>"gear":"0",</v>
      </c>
      <c r="BG173" t="str">
        <f t="shared" si="105"/>
        <v>"lifts":"0",</v>
      </c>
      <c r="BH173" t="str">
        <f t="shared" si="106"/>
        <v>"division":"--",</v>
      </c>
      <c r="BI173" t="str">
        <f t="shared" si="107"/>
        <v>"wc":"0",</v>
      </c>
      <c r="BJ173" t="str">
        <f t="shared" si="108"/>
        <v>"bw":"",</v>
      </c>
      <c r="BK173" t="str">
        <f t="shared" si="109"/>
        <v>"pb":[0,0,0,0],</v>
      </c>
      <c r="BL173" t="str">
        <f t="shared" si="81"/>
        <v>"idx":"23",</v>
      </c>
      <c r="BM173" t="str">
        <f t="shared" si="82"/>
        <v>"sr":"0",</v>
      </c>
      <c r="BN173" t="str">
        <f t="shared" si="83"/>
        <v>"br":"0",</v>
      </c>
      <c r="BO173" t="str">
        <f t="shared" si="84"/>
        <v>"row":0,</v>
      </c>
      <c r="BP173" t="s">
        <v>55</v>
      </c>
      <c r="BQ173" t="str">
        <f t="shared" si="85"/>
        <v>"sq":{"a1":0,"a2":"","a3":"","s1":0,"s2":0,"s3":0},"bp":{"a1":0,"a2":"","a3":"","s1":0,"s2":0,"s3":0},"dl":{"a1":0,"a2":"","a3":"","s1":0,"s2":0,"s3":0},"sortOrder":0,"act":{}}</v>
      </c>
      <c r="BR173" t="str">
        <f t="shared" si="110"/>
        <v>{"group":"A","lot":0,"name":"0","team":"","year":"0","gender":"0","gear":"0","lifts":"0","division":"--","wc":"0","bw":"","pb":[0,0,0,0],"idx":"23","sr":"0","br":"0","row":0,"sq":{"a1":0,"a2":"","a3":"","s1":0,"s2":0,"s3":0},"bp":{"a1":0,"a2":"","a3":"","s1":0,"s2":0,"s3":0},"dl":{"a1":0,"a2":"","a3":"","s1":0,"s2":0,"s3":0},"sortOrder":0,"act":{}}</v>
      </c>
    </row>
    <row r="174" spans="5:70" x14ac:dyDescent="0.25">
      <c r="E174" s="128"/>
      <c r="F174" s="129"/>
      <c r="G174" s="129"/>
      <c r="H174" s="129"/>
      <c r="I174" s="129"/>
      <c r="J174" s="129"/>
      <c r="K174" s="129"/>
      <c r="L174" s="130"/>
      <c r="M174" s="131"/>
      <c r="N174" s="130"/>
      <c r="O174" s="148">
        <f t="shared" ca="1" si="111"/>
        <v>2023</v>
      </c>
      <c r="P174" s="129"/>
      <c r="Q174" s="129"/>
      <c r="R174" s="129"/>
      <c r="S174" s="129"/>
      <c r="T174" s="129"/>
      <c r="U174" s="129"/>
      <c r="V174" s="129"/>
      <c r="W174" s="129"/>
      <c r="X174" s="129"/>
      <c r="Y174" s="132"/>
      <c r="Z174" s="133"/>
      <c r="AA174" s="133"/>
      <c r="AB174" s="134"/>
      <c r="AE174" s="15" t="str">
        <f t="shared" si="77"/>
        <v>A</v>
      </c>
      <c r="AF174" s="8">
        <f t="shared" si="78"/>
        <v>0</v>
      </c>
      <c r="AG174" s="9">
        <f t="shared" si="86"/>
        <v>0</v>
      </c>
      <c r="AH174" s="9" t="str">
        <f t="shared" si="87"/>
        <v/>
      </c>
      <c r="AI174" s="8">
        <f t="shared" si="79"/>
        <v>0</v>
      </c>
      <c r="AJ174" s="45">
        <f t="shared" si="88"/>
        <v>0</v>
      </c>
      <c r="AK174" s="45">
        <f t="shared" si="89"/>
        <v>0</v>
      </c>
      <c r="AL174" s="45">
        <f t="shared" si="90"/>
        <v>0</v>
      </c>
      <c r="AM174" s="8" t="str">
        <f t="shared" si="91"/>
        <v>--</v>
      </c>
      <c r="AN174" s="10">
        <f t="shared" si="92"/>
        <v>0</v>
      </c>
      <c r="AO174" s="10">
        <f t="shared" si="93"/>
        <v>0</v>
      </c>
      <c r="AP174" s="10">
        <f t="shared" si="94"/>
        <v>0</v>
      </c>
      <c r="AQ174" s="10">
        <f t="shared" si="95"/>
        <v>0</v>
      </c>
      <c r="AR174" s="10">
        <f t="shared" si="96"/>
        <v>0</v>
      </c>
      <c r="AS174" s="8">
        <v>23</v>
      </c>
      <c r="AT174" s="9">
        <f t="shared" si="97"/>
        <v>0</v>
      </c>
      <c r="AU174" s="11">
        <f t="shared" si="98"/>
        <v>0</v>
      </c>
      <c r="AV174" s="6"/>
      <c r="AW174" s="6"/>
      <c r="AX174" s="6"/>
      <c r="AZ174" t="str">
        <f t="shared" si="99"/>
        <v>{"group":"A",</v>
      </c>
      <c r="BA174" t="str">
        <f t="shared" si="80"/>
        <v>"lot":0,</v>
      </c>
      <c r="BB174" t="str">
        <f t="shared" si="100"/>
        <v>"name":"0",</v>
      </c>
      <c r="BC174" t="str">
        <f t="shared" si="101"/>
        <v>"team":"",</v>
      </c>
      <c r="BD174" t="str">
        <f t="shared" si="102"/>
        <v>"year":"0",</v>
      </c>
      <c r="BE174" t="str">
        <f t="shared" si="103"/>
        <v>"gender":"0",</v>
      </c>
      <c r="BF174" t="str">
        <f t="shared" si="104"/>
        <v>"gear":"0",</v>
      </c>
      <c r="BG174" t="str">
        <f t="shared" si="105"/>
        <v>"lifts":"0",</v>
      </c>
      <c r="BH174" t="str">
        <f t="shared" si="106"/>
        <v>"division":"--",</v>
      </c>
      <c r="BI174" t="str">
        <f t="shared" si="107"/>
        <v>"wc":"0",</v>
      </c>
      <c r="BJ174" t="str">
        <f t="shared" si="108"/>
        <v>"bw":"",</v>
      </c>
      <c r="BK174" t="str">
        <f t="shared" si="109"/>
        <v>"pb":[0,0,0,0],</v>
      </c>
      <c r="BL174" t="str">
        <f t="shared" si="81"/>
        <v>"idx":"23",</v>
      </c>
      <c r="BM174" t="str">
        <f t="shared" si="82"/>
        <v>"sr":"0",</v>
      </c>
      <c r="BN174" t="str">
        <f t="shared" si="83"/>
        <v>"br":"0",</v>
      </c>
      <c r="BO174" t="str">
        <f t="shared" si="84"/>
        <v>"row":0,</v>
      </c>
      <c r="BP174" t="s">
        <v>55</v>
      </c>
      <c r="BQ174" t="str">
        <f t="shared" si="85"/>
        <v>"sq":{"a1":0,"a2":"","a3":"","s1":0,"s2":0,"s3":0},"bp":{"a1":0,"a2":"","a3":"","s1":0,"s2":0,"s3":0},"dl":{"a1":0,"a2":"","a3":"","s1":0,"s2":0,"s3":0},"sortOrder":0,"act":{}}</v>
      </c>
      <c r="BR174" t="str">
        <f t="shared" si="110"/>
        <v>{"group":"A","lot":0,"name":"0","team":"","year":"0","gender":"0","gear":"0","lifts":"0","division":"--","wc":"0","bw":"","pb":[0,0,0,0],"idx":"23","sr":"0","br":"0","row":0,"sq":{"a1":0,"a2":"","a3":"","s1":0,"s2":0,"s3":0},"bp":{"a1":0,"a2":"","a3":"","s1":0,"s2":0,"s3":0},"dl":{"a1":0,"a2":"","a3":"","s1":0,"s2":0,"s3":0},"sortOrder":0,"act":{}}</v>
      </c>
    </row>
    <row r="175" spans="5:70" x14ac:dyDescent="0.25">
      <c r="E175" s="128"/>
      <c r="F175" s="129"/>
      <c r="G175" s="129"/>
      <c r="H175" s="129"/>
      <c r="I175" s="129"/>
      <c r="J175" s="129"/>
      <c r="K175" s="129"/>
      <c r="L175" s="130"/>
      <c r="M175" s="131"/>
      <c r="N175" s="130"/>
      <c r="O175" s="148">
        <f t="shared" ca="1" si="111"/>
        <v>2023</v>
      </c>
      <c r="P175" s="129"/>
      <c r="Q175" s="129"/>
      <c r="R175" s="129"/>
      <c r="S175" s="129"/>
      <c r="T175" s="129"/>
      <c r="U175" s="129"/>
      <c r="V175" s="129"/>
      <c r="W175" s="129"/>
      <c r="X175" s="129"/>
      <c r="Y175" s="132"/>
      <c r="Z175" s="133"/>
      <c r="AA175" s="133"/>
      <c r="AB175" s="134"/>
      <c r="AE175" s="15" t="str">
        <f t="shared" si="77"/>
        <v>A</v>
      </c>
      <c r="AF175" s="8">
        <f t="shared" si="78"/>
        <v>0</v>
      </c>
      <c r="AG175" s="9">
        <f t="shared" si="86"/>
        <v>0</v>
      </c>
      <c r="AH175" s="9" t="str">
        <f t="shared" si="87"/>
        <v/>
      </c>
      <c r="AI175" s="8">
        <f t="shared" si="79"/>
        <v>0</v>
      </c>
      <c r="AJ175" s="45">
        <f t="shared" si="88"/>
        <v>0</v>
      </c>
      <c r="AK175" s="45">
        <f t="shared" si="89"/>
        <v>0</v>
      </c>
      <c r="AL175" s="45">
        <f t="shared" si="90"/>
        <v>0</v>
      </c>
      <c r="AM175" s="8" t="str">
        <f t="shared" si="91"/>
        <v>--</v>
      </c>
      <c r="AN175" s="10">
        <f t="shared" si="92"/>
        <v>0</v>
      </c>
      <c r="AO175" s="10">
        <f t="shared" si="93"/>
        <v>0</v>
      </c>
      <c r="AP175" s="10">
        <f t="shared" si="94"/>
        <v>0</v>
      </c>
      <c r="AQ175" s="10">
        <f t="shared" si="95"/>
        <v>0</v>
      </c>
      <c r="AR175" s="10">
        <f t="shared" si="96"/>
        <v>0</v>
      </c>
      <c r="AS175" s="8">
        <v>23</v>
      </c>
      <c r="AT175" s="9">
        <f t="shared" si="97"/>
        <v>0</v>
      </c>
      <c r="AU175" s="11">
        <f t="shared" si="98"/>
        <v>0</v>
      </c>
      <c r="AV175" s="6"/>
      <c r="AW175" s="6"/>
      <c r="AX175" s="6"/>
      <c r="AZ175" t="str">
        <f t="shared" si="99"/>
        <v>{"group":"A",</v>
      </c>
      <c r="BA175" t="str">
        <f t="shared" si="80"/>
        <v>"lot":0,</v>
      </c>
      <c r="BB175" t="str">
        <f t="shared" si="100"/>
        <v>"name":"0",</v>
      </c>
      <c r="BC175" t="str">
        <f t="shared" si="101"/>
        <v>"team":"",</v>
      </c>
      <c r="BD175" t="str">
        <f t="shared" si="102"/>
        <v>"year":"0",</v>
      </c>
      <c r="BE175" t="str">
        <f t="shared" si="103"/>
        <v>"gender":"0",</v>
      </c>
      <c r="BF175" t="str">
        <f t="shared" si="104"/>
        <v>"gear":"0",</v>
      </c>
      <c r="BG175" t="str">
        <f t="shared" si="105"/>
        <v>"lifts":"0",</v>
      </c>
      <c r="BH175" t="str">
        <f t="shared" si="106"/>
        <v>"division":"--",</v>
      </c>
      <c r="BI175" t="str">
        <f t="shared" si="107"/>
        <v>"wc":"0",</v>
      </c>
      <c r="BJ175" t="str">
        <f t="shared" si="108"/>
        <v>"bw":"",</v>
      </c>
      <c r="BK175" t="str">
        <f t="shared" si="109"/>
        <v>"pb":[0,0,0,0],</v>
      </c>
      <c r="BL175" t="str">
        <f t="shared" si="81"/>
        <v>"idx":"23",</v>
      </c>
      <c r="BM175" t="str">
        <f t="shared" si="82"/>
        <v>"sr":"0",</v>
      </c>
      <c r="BN175" t="str">
        <f t="shared" si="83"/>
        <v>"br":"0",</v>
      </c>
      <c r="BO175" t="str">
        <f t="shared" si="84"/>
        <v>"row":0,</v>
      </c>
      <c r="BP175" t="s">
        <v>55</v>
      </c>
      <c r="BQ175" t="str">
        <f t="shared" si="85"/>
        <v>"sq":{"a1":0,"a2":"","a3":"","s1":0,"s2":0,"s3":0},"bp":{"a1":0,"a2":"","a3":"","s1":0,"s2":0,"s3":0},"dl":{"a1":0,"a2":"","a3":"","s1":0,"s2":0,"s3":0},"sortOrder":0,"act":{}}</v>
      </c>
      <c r="BR175" t="str">
        <f t="shared" si="110"/>
        <v>{"group":"A","lot":0,"name":"0","team":"","year":"0","gender":"0","gear":"0","lifts":"0","division":"--","wc":"0","bw":"","pb":[0,0,0,0],"idx":"23","sr":"0","br":"0","row":0,"sq":{"a1":0,"a2":"","a3":"","s1":0,"s2":0,"s3":0},"bp":{"a1":0,"a2":"","a3":"","s1":0,"s2":0,"s3":0},"dl":{"a1":0,"a2":"","a3":"","s1":0,"s2":0,"s3":0},"sortOrder":0,"act":{}}</v>
      </c>
    </row>
    <row r="176" spans="5:70" x14ac:dyDescent="0.25">
      <c r="E176" s="128"/>
      <c r="F176" s="129"/>
      <c r="G176" s="129"/>
      <c r="H176" s="129"/>
      <c r="I176" s="129"/>
      <c r="J176" s="129"/>
      <c r="K176" s="129"/>
      <c r="L176" s="130"/>
      <c r="M176" s="131"/>
      <c r="N176" s="130"/>
      <c r="O176" s="148">
        <f t="shared" ca="1" si="111"/>
        <v>2023</v>
      </c>
      <c r="P176" s="129"/>
      <c r="Q176" s="129"/>
      <c r="R176" s="129"/>
      <c r="S176" s="129"/>
      <c r="T176" s="129"/>
      <c r="U176" s="129"/>
      <c r="V176" s="129"/>
      <c r="W176" s="129"/>
      <c r="X176" s="129"/>
      <c r="Y176" s="132"/>
      <c r="Z176" s="133"/>
      <c r="AA176" s="133"/>
      <c r="AB176" s="134"/>
      <c r="AE176" s="15" t="str">
        <f t="shared" si="77"/>
        <v>A</v>
      </c>
      <c r="AF176" s="8">
        <f t="shared" si="78"/>
        <v>0</v>
      </c>
      <c r="AG176" s="9">
        <f t="shared" si="86"/>
        <v>0</v>
      </c>
      <c r="AH176" s="9" t="str">
        <f t="shared" si="87"/>
        <v/>
      </c>
      <c r="AI176" s="8">
        <f t="shared" si="79"/>
        <v>0</v>
      </c>
      <c r="AJ176" s="45">
        <f t="shared" si="88"/>
        <v>0</v>
      </c>
      <c r="AK176" s="45">
        <f t="shared" si="89"/>
        <v>0</v>
      </c>
      <c r="AL176" s="45">
        <f t="shared" si="90"/>
        <v>0</v>
      </c>
      <c r="AM176" s="8" t="str">
        <f t="shared" si="91"/>
        <v>--</v>
      </c>
      <c r="AN176" s="10">
        <f t="shared" si="92"/>
        <v>0</v>
      </c>
      <c r="AO176" s="10">
        <f t="shared" si="93"/>
        <v>0</v>
      </c>
      <c r="AP176" s="10">
        <f t="shared" si="94"/>
        <v>0</v>
      </c>
      <c r="AQ176" s="10">
        <f t="shared" si="95"/>
        <v>0</v>
      </c>
      <c r="AR176" s="10">
        <f t="shared" si="96"/>
        <v>0</v>
      </c>
      <c r="AS176" s="8">
        <v>23</v>
      </c>
      <c r="AT176" s="9">
        <f t="shared" si="97"/>
        <v>0</v>
      </c>
      <c r="AU176" s="11">
        <f t="shared" si="98"/>
        <v>0</v>
      </c>
      <c r="AV176" s="6"/>
      <c r="AW176" s="6"/>
      <c r="AX176" s="6"/>
      <c r="AZ176" t="str">
        <f t="shared" si="99"/>
        <v>{"group":"A",</v>
      </c>
      <c r="BA176" t="str">
        <f t="shared" si="80"/>
        <v>"lot":0,</v>
      </c>
      <c r="BB176" t="str">
        <f t="shared" si="100"/>
        <v>"name":"0",</v>
      </c>
      <c r="BC176" t="str">
        <f t="shared" si="101"/>
        <v>"team":"",</v>
      </c>
      <c r="BD176" t="str">
        <f t="shared" si="102"/>
        <v>"year":"0",</v>
      </c>
      <c r="BE176" t="str">
        <f t="shared" si="103"/>
        <v>"gender":"0",</v>
      </c>
      <c r="BF176" t="str">
        <f t="shared" si="104"/>
        <v>"gear":"0",</v>
      </c>
      <c r="BG176" t="str">
        <f t="shared" si="105"/>
        <v>"lifts":"0",</v>
      </c>
      <c r="BH176" t="str">
        <f t="shared" si="106"/>
        <v>"division":"--",</v>
      </c>
      <c r="BI176" t="str">
        <f t="shared" si="107"/>
        <v>"wc":"0",</v>
      </c>
      <c r="BJ176" t="str">
        <f t="shared" si="108"/>
        <v>"bw":"",</v>
      </c>
      <c r="BK176" t="str">
        <f t="shared" si="109"/>
        <v>"pb":[0,0,0,0],</v>
      </c>
      <c r="BL176" t="str">
        <f t="shared" si="81"/>
        <v>"idx":"23",</v>
      </c>
      <c r="BM176" t="str">
        <f t="shared" si="82"/>
        <v>"sr":"0",</v>
      </c>
      <c r="BN176" t="str">
        <f t="shared" si="83"/>
        <v>"br":"0",</v>
      </c>
      <c r="BO176" t="str">
        <f t="shared" si="84"/>
        <v>"row":0,</v>
      </c>
      <c r="BP176" t="s">
        <v>55</v>
      </c>
      <c r="BQ176" t="str">
        <f t="shared" si="85"/>
        <v>"sq":{"a1":0,"a2":"","a3":"","s1":0,"s2":0,"s3":0},"bp":{"a1":0,"a2":"","a3":"","s1":0,"s2":0,"s3":0},"dl":{"a1":0,"a2":"","a3":"","s1":0,"s2":0,"s3":0},"sortOrder":0,"act":{}}</v>
      </c>
      <c r="BR176" t="str">
        <f t="shared" si="110"/>
        <v>{"group":"A","lot":0,"name":"0","team":"","year":"0","gender":"0","gear":"0","lifts":"0","division":"--","wc":"0","bw":"","pb":[0,0,0,0],"idx":"23","sr":"0","br":"0","row":0,"sq":{"a1":0,"a2":"","a3":"","s1":0,"s2":0,"s3":0},"bp":{"a1":0,"a2":"","a3":"","s1":0,"s2":0,"s3":0},"dl":{"a1":0,"a2":"","a3":"","s1":0,"s2":0,"s3":0},"sortOrder":0,"act":{}}</v>
      </c>
    </row>
    <row r="177" spans="5:70" x14ac:dyDescent="0.25">
      <c r="E177" s="128"/>
      <c r="F177" s="129"/>
      <c r="G177" s="129"/>
      <c r="H177" s="129"/>
      <c r="I177" s="129"/>
      <c r="J177" s="129"/>
      <c r="K177" s="129"/>
      <c r="L177" s="130"/>
      <c r="M177" s="131"/>
      <c r="N177" s="130"/>
      <c r="O177" s="148">
        <f t="shared" ca="1" si="111"/>
        <v>2023</v>
      </c>
      <c r="P177" s="129"/>
      <c r="Q177" s="129"/>
      <c r="R177" s="129"/>
      <c r="S177" s="129"/>
      <c r="T177" s="129"/>
      <c r="U177" s="129"/>
      <c r="V177" s="129"/>
      <c r="W177" s="129"/>
      <c r="X177" s="129"/>
      <c r="Y177" s="132"/>
      <c r="Z177" s="133"/>
      <c r="AA177" s="133"/>
      <c r="AB177" s="134"/>
      <c r="AE177" s="15" t="str">
        <f t="shared" si="77"/>
        <v>A</v>
      </c>
      <c r="AF177" s="8">
        <f t="shared" si="78"/>
        <v>0</v>
      </c>
      <c r="AG177" s="9">
        <f t="shared" si="86"/>
        <v>0</v>
      </c>
      <c r="AH177" s="9" t="str">
        <f t="shared" si="87"/>
        <v/>
      </c>
      <c r="AI177" s="8">
        <f t="shared" si="79"/>
        <v>0</v>
      </c>
      <c r="AJ177" s="45">
        <f t="shared" si="88"/>
        <v>0</v>
      </c>
      <c r="AK177" s="45">
        <f t="shared" si="89"/>
        <v>0</v>
      </c>
      <c r="AL177" s="45">
        <f t="shared" si="90"/>
        <v>0</v>
      </c>
      <c r="AM177" s="8" t="str">
        <f t="shared" si="91"/>
        <v>--</v>
      </c>
      <c r="AN177" s="10">
        <f t="shared" si="92"/>
        <v>0</v>
      </c>
      <c r="AO177" s="10">
        <f t="shared" si="93"/>
        <v>0</v>
      </c>
      <c r="AP177" s="10">
        <f t="shared" si="94"/>
        <v>0</v>
      </c>
      <c r="AQ177" s="10">
        <f t="shared" si="95"/>
        <v>0</v>
      </c>
      <c r="AR177" s="10">
        <f t="shared" si="96"/>
        <v>0</v>
      </c>
      <c r="AS177" s="8">
        <v>23</v>
      </c>
      <c r="AT177" s="9">
        <f t="shared" si="97"/>
        <v>0</v>
      </c>
      <c r="AU177" s="11">
        <f t="shared" si="98"/>
        <v>0</v>
      </c>
      <c r="AV177" s="6"/>
      <c r="AW177" s="6"/>
      <c r="AX177" s="6"/>
      <c r="AZ177" t="str">
        <f t="shared" si="99"/>
        <v>{"group":"A",</v>
      </c>
      <c r="BA177" t="str">
        <f t="shared" si="80"/>
        <v>"lot":0,</v>
      </c>
      <c r="BB177" t="str">
        <f t="shared" si="100"/>
        <v>"name":"0",</v>
      </c>
      <c r="BC177" t="str">
        <f t="shared" si="101"/>
        <v>"team":"",</v>
      </c>
      <c r="BD177" t="str">
        <f t="shared" si="102"/>
        <v>"year":"0",</v>
      </c>
      <c r="BE177" t="str">
        <f t="shared" si="103"/>
        <v>"gender":"0",</v>
      </c>
      <c r="BF177" t="str">
        <f t="shared" si="104"/>
        <v>"gear":"0",</v>
      </c>
      <c r="BG177" t="str">
        <f t="shared" si="105"/>
        <v>"lifts":"0",</v>
      </c>
      <c r="BH177" t="str">
        <f t="shared" si="106"/>
        <v>"division":"--",</v>
      </c>
      <c r="BI177" t="str">
        <f t="shared" si="107"/>
        <v>"wc":"0",</v>
      </c>
      <c r="BJ177" t="str">
        <f t="shared" si="108"/>
        <v>"bw":"",</v>
      </c>
      <c r="BK177" t="str">
        <f t="shared" si="109"/>
        <v>"pb":[0,0,0,0],</v>
      </c>
      <c r="BL177" t="str">
        <f t="shared" si="81"/>
        <v>"idx":"23",</v>
      </c>
      <c r="BM177" t="str">
        <f t="shared" si="82"/>
        <v>"sr":"0",</v>
      </c>
      <c r="BN177" t="str">
        <f t="shared" si="83"/>
        <v>"br":"0",</v>
      </c>
      <c r="BO177" t="str">
        <f t="shared" si="84"/>
        <v>"row":0,</v>
      </c>
      <c r="BP177" t="s">
        <v>55</v>
      </c>
      <c r="BQ177" t="str">
        <f t="shared" si="85"/>
        <v>"sq":{"a1":0,"a2":"","a3":"","s1":0,"s2":0,"s3":0},"bp":{"a1":0,"a2":"","a3":"","s1":0,"s2":0,"s3":0},"dl":{"a1":0,"a2":"","a3":"","s1":0,"s2":0,"s3":0},"sortOrder":0,"act":{}}</v>
      </c>
      <c r="BR177" t="str">
        <f t="shared" si="110"/>
        <v>{"group":"A","lot":0,"name":"0","team":"","year":"0","gender":"0","gear":"0","lifts":"0","division":"--","wc":"0","bw":"","pb":[0,0,0,0],"idx":"23","sr":"0","br":"0","row":0,"sq":{"a1":0,"a2":"","a3":"","s1":0,"s2":0,"s3":0},"bp":{"a1":0,"a2":"","a3":"","s1":0,"s2":0,"s3":0},"dl":{"a1":0,"a2":"","a3":"","s1":0,"s2":0,"s3":0},"sortOrder":0,"act":{}}</v>
      </c>
    </row>
    <row r="178" spans="5:70" x14ac:dyDescent="0.25">
      <c r="E178" s="128"/>
      <c r="F178" s="129"/>
      <c r="G178" s="129"/>
      <c r="H178" s="129"/>
      <c r="I178" s="129"/>
      <c r="J178" s="129"/>
      <c r="K178" s="129"/>
      <c r="L178" s="130"/>
      <c r="M178" s="131"/>
      <c r="N178" s="130"/>
      <c r="O178" s="148">
        <f t="shared" ca="1" si="111"/>
        <v>2023</v>
      </c>
      <c r="P178" s="129"/>
      <c r="Q178" s="129"/>
      <c r="R178" s="129"/>
      <c r="S178" s="129"/>
      <c r="T178" s="129"/>
      <c r="U178" s="129"/>
      <c r="V178" s="129"/>
      <c r="W178" s="129"/>
      <c r="X178" s="129"/>
      <c r="Y178" s="132"/>
      <c r="Z178" s="133"/>
      <c r="AA178" s="133"/>
      <c r="AB178" s="134"/>
      <c r="AE178" s="15" t="str">
        <f t="shared" si="77"/>
        <v>A</v>
      </c>
      <c r="AF178" s="8">
        <f t="shared" si="78"/>
        <v>0</v>
      </c>
      <c r="AG178" s="9">
        <f t="shared" si="86"/>
        <v>0</v>
      </c>
      <c r="AH178" s="9" t="str">
        <f t="shared" si="87"/>
        <v/>
      </c>
      <c r="AI178" s="8">
        <f t="shared" si="79"/>
        <v>0</v>
      </c>
      <c r="AJ178" s="45">
        <f t="shared" si="88"/>
        <v>0</v>
      </c>
      <c r="AK178" s="45">
        <f t="shared" si="89"/>
        <v>0</v>
      </c>
      <c r="AL178" s="45">
        <f t="shared" si="90"/>
        <v>0</v>
      </c>
      <c r="AM178" s="8" t="str">
        <f t="shared" si="91"/>
        <v>--</v>
      </c>
      <c r="AN178" s="10">
        <f t="shared" si="92"/>
        <v>0</v>
      </c>
      <c r="AO178" s="10">
        <f t="shared" si="93"/>
        <v>0</v>
      </c>
      <c r="AP178" s="10">
        <f t="shared" si="94"/>
        <v>0</v>
      </c>
      <c r="AQ178" s="10">
        <f t="shared" si="95"/>
        <v>0</v>
      </c>
      <c r="AR178" s="10">
        <f t="shared" si="96"/>
        <v>0</v>
      </c>
      <c r="AS178" s="8">
        <v>23</v>
      </c>
      <c r="AT178" s="9">
        <f t="shared" si="97"/>
        <v>0</v>
      </c>
      <c r="AU178" s="11">
        <f t="shared" si="98"/>
        <v>0</v>
      </c>
      <c r="AV178" s="6"/>
      <c r="AW178" s="6"/>
      <c r="AX178" s="6"/>
      <c r="AZ178" t="str">
        <f t="shared" si="99"/>
        <v>{"group":"A",</v>
      </c>
      <c r="BA178" t="str">
        <f t="shared" si="80"/>
        <v>"lot":0,</v>
      </c>
      <c r="BB178" t="str">
        <f t="shared" si="100"/>
        <v>"name":"0",</v>
      </c>
      <c r="BC178" t="str">
        <f t="shared" si="101"/>
        <v>"team":"",</v>
      </c>
      <c r="BD178" t="str">
        <f t="shared" si="102"/>
        <v>"year":"0",</v>
      </c>
      <c r="BE178" t="str">
        <f t="shared" si="103"/>
        <v>"gender":"0",</v>
      </c>
      <c r="BF178" t="str">
        <f t="shared" si="104"/>
        <v>"gear":"0",</v>
      </c>
      <c r="BG178" t="str">
        <f t="shared" si="105"/>
        <v>"lifts":"0",</v>
      </c>
      <c r="BH178" t="str">
        <f t="shared" si="106"/>
        <v>"division":"--",</v>
      </c>
      <c r="BI178" t="str">
        <f t="shared" si="107"/>
        <v>"wc":"0",</v>
      </c>
      <c r="BJ178" t="str">
        <f t="shared" si="108"/>
        <v>"bw":"",</v>
      </c>
      <c r="BK178" t="str">
        <f t="shared" si="109"/>
        <v>"pb":[0,0,0,0],</v>
      </c>
      <c r="BL178" t="str">
        <f t="shared" si="81"/>
        <v>"idx":"23",</v>
      </c>
      <c r="BM178" t="str">
        <f t="shared" si="82"/>
        <v>"sr":"0",</v>
      </c>
      <c r="BN178" t="str">
        <f t="shared" si="83"/>
        <v>"br":"0",</v>
      </c>
      <c r="BO178" t="str">
        <f t="shared" si="84"/>
        <v>"row":0,</v>
      </c>
      <c r="BP178" t="s">
        <v>55</v>
      </c>
      <c r="BQ178" t="str">
        <f t="shared" si="85"/>
        <v>"sq":{"a1":0,"a2":"","a3":"","s1":0,"s2":0,"s3":0},"bp":{"a1":0,"a2":"","a3":"","s1":0,"s2":0,"s3":0},"dl":{"a1":0,"a2":"","a3":"","s1":0,"s2":0,"s3":0},"sortOrder":0,"act":{}}</v>
      </c>
      <c r="BR178" t="str">
        <f t="shared" si="110"/>
        <v>{"group":"A","lot":0,"name":"0","team":"","year":"0","gender":"0","gear":"0","lifts":"0","division":"--","wc":"0","bw":"","pb":[0,0,0,0],"idx":"23","sr":"0","br":"0","row":0,"sq":{"a1":0,"a2":"","a3":"","s1":0,"s2":0,"s3":0},"bp":{"a1":0,"a2":"","a3":"","s1":0,"s2":0,"s3":0},"dl":{"a1":0,"a2":"","a3":"","s1":0,"s2":0,"s3":0},"sortOrder":0,"act":{}}</v>
      </c>
    </row>
    <row r="179" spans="5:70" x14ac:dyDescent="0.25">
      <c r="E179" s="128"/>
      <c r="F179" s="129"/>
      <c r="G179" s="129"/>
      <c r="H179" s="129"/>
      <c r="I179" s="129"/>
      <c r="J179" s="129"/>
      <c r="K179" s="129"/>
      <c r="L179" s="130"/>
      <c r="M179" s="131"/>
      <c r="N179" s="130"/>
      <c r="O179" s="148">
        <f t="shared" ca="1" si="111"/>
        <v>2023</v>
      </c>
      <c r="P179" s="129"/>
      <c r="Q179" s="129"/>
      <c r="R179" s="129"/>
      <c r="S179" s="129"/>
      <c r="T179" s="129"/>
      <c r="U179" s="129"/>
      <c r="V179" s="129"/>
      <c r="W179" s="129"/>
      <c r="X179" s="129"/>
      <c r="Y179" s="132"/>
      <c r="Z179" s="133"/>
      <c r="AA179" s="133"/>
      <c r="AB179" s="134"/>
      <c r="AE179" s="15" t="str">
        <f t="shared" si="77"/>
        <v>A</v>
      </c>
      <c r="AF179" s="8">
        <f t="shared" si="78"/>
        <v>0</v>
      </c>
      <c r="AG179" s="9">
        <f t="shared" si="86"/>
        <v>0</v>
      </c>
      <c r="AH179" s="9" t="str">
        <f t="shared" si="87"/>
        <v/>
      </c>
      <c r="AI179" s="8">
        <f t="shared" si="79"/>
        <v>0</v>
      </c>
      <c r="AJ179" s="45">
        <f t="shared" si="88"/>
        <v>0</v>
      </c>
      <c r="AK179" s="45">
        <f t="shared" si="89"/>
        <v>0</v>
      </c>
      <c r="AL179" s="45">
        <f t="shared" si="90"/>
        <v>0</v>
      </c>
      <c r="AM179" s="8" t="str">
        <f t="shared" si="91"/>
        <v>--</v>
      </c>
      <c r="AN179" s="10">
        <f t="shared" si="92"/>
        <v>0</v>
      </c>
      <c r="AO179" s="10">
        <f t="shared" si="93"/>
        <v>0</v>
      </c>
      <c r="AP179" s="10">
        <f t="shared" si="94"/>
        <v>0</v>
      </c>
      <c r="AQ179" s="10">
        <f t="shared" si="95"/>
        <v>0</v>
      </c>
      <c r="AR179" s="10">
        <f t="shared" si="96"/>
        <v>0</v>
      </c>
      <c r="AS179" s="8">
        <v>23</v>
      </c>
      <c r="AT179" s="9">
        <f t="shared" si="97"/>
        <v>0</v>
      </c>
      <c r="AU179" s="11">
        <f t="shared" si="98"/>
        <v>0</v>
      </c>
      <c r="AV179" s="6"/>
      <c r="AW179" s="6"/>
      <c r="AX179" s="6"/>
      <c r="AZ179" t="str">
        <f t="shared" si="99"/>
        <v>{"group":"A",</v>
      </c>
      <c r="BA179" t="str">
        <f t="shared" si="80"/>
        <v>"lot":0,</v>
      </c>
      <c r="BB179" t="str">
        <f t="shared" si="100"/>
        <v>"name":"0",</v>
      </c>
      <c r="BC179" t="str">
        <f t="shared" si="101"/>
        <v>"team":"",</v>
      </c>
      <c r="BD179" t="str">
        <f t="shared" si="102"/>
        <v>"year":"0",</v>
      </c>
      <c r="BE179" t="str">
        <f t="shared" si="103"/>
        <v>"gender":"0",</v>
      </c>
      <c r="BF179" t="str">
        <f t="shared" si="104"/>
        <v>"gear":"0",</v>
      </c>
      <c r="BG179" t="str">
        <f t="shared" si="105"/>
        <v>"lifts":"0",</v>
      </c>
      <c r="BH179" t="str">
        <f t="shared" si="106"/>
        <v>"division":"--",</v>
      </c>
      <c r="BI179" t="str">
        <f t="shared" si="107"/>
        <v>"wc":"0",</v>
      </c>
      <c r="BJ179" t="str">
        <f t="shared" si="108"/>
        <v>"bw":"",</v>
      </c>
      <c r="BK179" t="str">
        <f t="shared" si="109"/>
        <v>"pb":[0,0,0,0],</v>
      </c>
      <c r="BL179" t="str">
        <f t="shared" si="81"/>
        <v>"idx":"23",</v>
      </c>
      <c r="BM179" t="str">
        <f t="shared" si="82"/>
        <v>"sr":"0",</v>
      </c>
      <c r="BN179" t="str">
        <f t="shared" si="83"/>
        <v>"br":"0",</v>
      </c>
      <c r="BO179" t="str">
        <f t="shared" si="84"/>
        <v>"row":0,</v>
      </c>
      <c r="BP179" t="s">
        <v>55</v>
      </c>
      <c r="BQ179" t="str">
        <f t="shared" si="85"/>
        <v>"sq":{"a1":0,"a2":"","a3":"","s1":0,"s2":0,"s3":0},"bp":{"a1":0,"a2":"","a3":"","s1":0,"s2":0,"s3":0},"dl":{"a1":0,"a2":"","a3":"","s1":0,"s2":0,"s3":0},"sortOrder":0,"act":{}}</v>
      </c>
      <c r="BR179" t="str">
        <f t="shared" si="110"/>
        <v>{"group":"A","lot":0,"name":"0","team":"","year":"0","gender":"0","gear":"0","lifts":"0","division":"--","wc":"0","bw":"","pb":[0,0,0,0],"idx":"23","sr":"0","br":"0","row":0,"sq":{"a1":0,"a2":"","a3":"","s1":0,"s2":0,"s3":0},"bp":{"a1":0,"a2":"","a3":"","s1":0,"s2":0,"s3":0},"dl":{"a1":0,"a2":"","a3":"","s1":0,"s2":0,"s3":0},"sortOrder":0,"act":{}}</v>
      </c>
    </row>
    <row r="180" spans="5:70" x14ac:dyDescent="0.25">
      <c r="E180" s="128"/>
      <c r="F180" s="129"/>
      <c r="G180" s="129"/>
      <c r="H180" s="129"/>
      <c r="I180" s="129"/>
      <c r="J180" s="129"/>
      <c r="K180" s="129"/>
      <c r="L180" s="130"/>
      <c r="M180" s="131"/>
      <c r="N180" s="130"/>
      <c r="O180" s="148">
        <f t="shared" ca="1" si="111"/>
        <v>2023</v>
      </c>
      <c r="P180" s="129"/>
      <c r="Q180" s="129"/>
      <c r="R180" s="129"/>
      <c r="S180" s="129"/>
      <c r="T180" s="129"/>
      <c r="U180" s="129"/>
      <c r="V180" s="129"/>
      <c r="W180" s="129"/>
      <c r="X180" s="129"/>
      <c r="Y180" s="132"/>
      <c r="Z180" s="133"/>
      <c r="AA180" s="133"/>
      <c r="AB180" s="134"/>
      <c r="AE180" s="15" t="str">
        <f t="shared" si="77"/>
        <v>A</v>
      </c>
      <c r="AF180" s="8">
        <f t="shared" si="78"/>
        <v>0</v>
      </c>
      <c r="AG180" s="9">
        <f t="shared" si="86"/>
        <v>0</v>
      </c>
      <c r="AH180" s="9" t="str">
        <f t="shared" si="87"/>
        <v/>
      </c>
      <c r="AI180" s="8">
        <f t="shared" si="79"/>
        <v>0</v>
      </c>
      <c r="AJ180" s="45">
        <f t="shared" si="88"/>
        <v>0</v>
      </c>
      <c r="AK180" s="45">
        <f t="shared" si="89"/>
        <v>0</v>
      </c>
      <c r="AL180" s="45">
        <f t="shared" si="90"/>
        <v>0</v>
      </c>
      <c r="AM180" s="8" t="str">
        <f t="shared" si="91"/>
        <v>--</v>
      </c>
      <c r="AN180" s="10">
        <f t="shared" si="92"/>
        <v>0</v>
      </c>
      <c r="AO180" s="10">
        <f t="shared" si="93"/>
        <v>0</v>
      </c>
      <c r="AP180" s="10">
        <f t="shared" si="94"/>
        <v>0</v>
      </c>
      <c r="AQ180" s="10">
        <f t="shared" si="95"/>
        <v>0</v>
      </c>
      <c r="AR180" s="10">
        <f t="shared" si="96"/>
        <v>0</v>
      </c>
      <c r="AS180" s="8">
        <v>23</v>
      </c>
      <c r="AT180" s="9">
        <f t="shared" si="97"/>
        <v>0</v>
      </c>
      <c r="AU180" s="11">
        <f t="shared" si="98"/>
        <v>0</v>
      </c>
      <c r="AV180" s="6"/>
      <c r="AW180" s="6"/>
      <c r="AX180" s="6"/>
      <c r="AZ180" t="str">
        <f t="shared" si="99"/>
        <v>{"group":"A",</v>
      </c>
      <c r="BA180" t="str">
        <f t="shared" si="80"/>
        <v>"lot":0,</v>
      </c>
      <c r="BB180" t="str">
        <f t="shared" si="100"/>
        <v>"name":"0",</v>
      </c>
      <c r="BC180" t="str">
        <f t="shared" si="101"/>
        <v>"team":"",</v>
      </c>
      <c r="BD180" t="str">
        <f t="shared" si="102"/>
        <v>"year":"0",</v>
      </c>
      <c r="BE180" t="str">
        <f t="shared" si="103"/>
        <v>"gender":"0",</v>
      </c>
      <c r="BF180" t="str">
        <f t="shared" si="104"/>
        <v>"gear":"0",</v>
      </c>
      <c r="BG180" t="str">
        <f t="shared" si="105"/>
        <v>"lifts":"0",</v>
      </c>
      <c r="BH180" t="str">
        <f t="shared" si="106"/>
        <v>"division":"--",</v>
      </c>
      <c r="BI180" t="str">
        <f t="shared" si="107"/>
        <v>"wc":"0",</v>
      </c>
      <c r="BJ180" t="str">
        <f t="shared" si="108"/>
        <v>"bw":"",</v>
      </c>
      <c r="BK180" t="str">
        <f t="shared" si="109"/>
        <v>"pb":[0,0,0,0],</v>
      </c>
      <c r="BL180" t="str">
        <f t="shared" si="81"/>
        <v>"idx":"23",</v>
      </c>
      <c r="BM180" t="str">
        <f t="shared" si="82"/>
        <v>"sr":"0",</v>
      </c>
      <c r="BN180" t="str">
        <f t="shared" si="83"/>
        <v>"br":"0",</v>
      </c>
      <c r="BO180" t="str">
        <f t="shared" si="84"/>
        <v>"row":0,</v>
      </c>
      <c r="BP180" t="s">
        <v>55</v>
      </c>
      <c r="BQ180" t="str">
        <f t="shared" si="85"/>
        <v>"sq":{"a1":0,"a2":"","a3":"","s1":0,"s2":0,"s3":0},"bp":{"a1":0,"a2":"","a3":"","s1":0,"s2":0,"s3":0},"dl":{"a1":0,"a2":"","a3":"","s1":0,"s2":0,"s3":0},"sortOrder":0,"act":{}}</v>
      </c>
      <c r="BR180" t="str">
        <f t="shared" si="110"/>
        <v>{"group":"A","lot":0,"name":"0","team":"","year":"0","gender":"0","gear":"0","lifts":"0","division":"--","wc":"0","bw":"","pb":[0,0,0,0],"idx":"23","sr":"0","br":"0","row":0,"sq":{"a1":0,"a2":"","a3":"","s1":0,"s2":0,"s3":0},"bp":{"a1":0,"a2":"","a3":"","s1":0,"s2":0,"s3":0},"dl":{"a1":0,"a2":"","a3":"","s1":0,"s2":0,"s3":0},"sortOrder":0,"act":{}}</v>
      </c>
    </row>
    <row r="181" spans="5:70" x14ac:dyDescent="0.25">
      <c r="E181" s="128"/>
      <c r="F181" s="129"/>
      <c r="G181" s="129"/>
      <c r="H181" s="129"/>
      <c r="I181" s="129"/>
      <c r="J181" s="129"/>
      <c r="K181" s="129"/>
      <c r="L181" s="130"/>
      <c r="M181" s="131"/>
      <c r="N181" s="130"/>
      <c r="O181" s="148">
        <f t="shared" ca="1" si="111"/>
        <v>2023</v>
      </c>
      <c r="P181" s="129"/>
      <c r="Q181" s="129"/>
      <c r="R181" s="129"/>
      <c r="S181" s="129"/>
      <c r="T181" s="129"/>
      <c r="U181" s="129"/>
      <c r="V181" s="129"/>
      <c r="W181" s="129"/>
      <c r="X181" s="129"/>
      <c r="Y181" s="132"/>
      <c r="Z181" s="133"/>
      <c r="AA181" s="133"/>
      <c r="AB181" s="134"/>
      <c r="AE181" s="15" t="str">
        <f t="shared" si="77"/>
        <v>A</v>
      </c>
      <c r="AF181" s="8">
        <f t="shared" si="78"/>
        <v>0</v>
      </c>
      <c r="AG181" s="9">
        <f t="shared" si="86"/>
        <v>0</v>
      </c>
      <c r="AH181" s="9" t="str">
        <f t="shared" si="87"/>
        <v/>
      </c>
      <c r="AI181" s="8">
        <f t="shared" si="79"/>
        <v>0</v>
      </c>
      <c r="AJ181" s="45">
        <f t="shared" si="88"/>
        <v>0</v>
      </c>
      <c r="AK181" s="45">
        <f t="shared" si="89"/>
        <v>0</v>
      </c>
      <c r="AL181" s="45">
        <f t="shared" si="90"/>
        <v>0</v>
      </c>
      <c r="AM181" s="8" t="str">
        <f t="shared" si="91"/>
        <v>--</v>
      </c>
      <c r="AN181" s="10">
        <f t="shared" si="92"/>
        <v>0</v>
      </c>
      <c r="AO181" s="10">
        <f t="shared" si="93"/>
        <v>0</v>
      </c>
      <c r="AP181" s="10">
        <f t="shared" si="94"/>
        <v>0</v>
      </c>
      <c r="AQ181" s="10">
        <f t="shared" si="95"/>
        <v>0</v>
      </c>
      <c r="AR181" s="10">
        <f t="shared" si="96"/>
        <v>0</v>
      </c>
      <c r="AS181" s="8">
        <v>23</v>
      </c>
      <c r="AT181" s="9">
        <f t="shared" si="97"/>
        <v>0</v>
      </c>
      <c r="AU181" s="11">
        <f t="shared" si="98"/>
        <v>0</v>
      </c>
      <c r="AV181" s="6"/>
      <c r="AW181" s="6"/>
      <c r="AX181" s="6"/>
      <c r="AZ181" t="str">
        <f t="shared" si="99"/>
        <v>{"group":"A",</v>
      </c>
      <c r="BA181" t="str">
        <f t="shared" si="80"/>
        <v>"lot":0,</v>
      </c>
      <c r="BB181" t="str">
        <f t="shared" si="100"/>
        <v>"name":"0",</v>
      </c>
      <c r="BC181" t="str">
        <f t="shared" si="101"/>
        <v>"team":"",</v>
      </c>
      <c r="BD181" t="str">
        <f t="shared" si="102"/>
        <v>"year":"0",</v>
      </c>
      <c r="BE181" t="str">
        <f t="shared" si="103"/>
        <v>"gender":"0",</v>
      </c>
      <c r="BF181" t="str">
        <f t="shared" si="104"/>
        <v>"gear":"0",</v>
      </c>
      <c r="BG181" t="str">
        <f t="shared" si="105"/>
        <v>"lifts":"0",</v>
      </c>
      <c r="BH181" t="str">
        <f t="shared" si="106"/>
        <v>"division":"--",</v>
      </c>
      <c r="BI181" t="str">
        <f t="shared" si="107"/>
        <v>"wc":"0",</v>
      </c>
      <c r="BJ181" t="str">
        <f t="shared" si="108"/>
        <v>"bw":"",</v>
      </c>
      <c r="BK181" t="str">
        <f t="shared" si="109"/>
        <v>"pb":[0,0,0,0],</v>
      </c>
      <c r="BL181" t="str">
        <f t="shared" si="81"/>
        <v>"idx":"23",</v>
      </c>
      <c r="BM181" t="str">
        <f t="shared" si="82"/>
        <v>"sr":"0",</v>
      </c>
      <c r="BN181" t="str">
        <f t="shared" si="83"/>
        <v>"br":"0",</v>
      </c>
      <c r="BO181" t="str">
        <f t="shared" si="84"/>
        <v>"row":0,</v>
      </c>
      <c r="BP181" t="s">
        <v>55</v>
      </c>
      <c r="BQ181" t="str">
        <f t="shared" si="85"/>
        <v>"sq":{"a1":0,"a2":"","a3":"","s1":0,"s2":0,"s3":0},"bp":{"a1":0,"a2":"","a3":"","s1":0,"s2":0,"s3":0},"dl":{"a1":0,"a2":"","a3":"","s1":0,"s2":0,"s3":0},"sortOrder":0,"act":{}}</v>
      </c>
      <c r="BR181" t="str">
        <f t="shared" si="110"/>
        <v>{"group":"A","lot":0,"name":"0","team":"","year":"0","gender":"0","gear":"0","lifts":"0","division":"--","wc":"0","bw":"","pb":[0,0,0,0],"idx":"23","sr":"0","br":"0","row":0,"sq":{"a1":0,"a2":"","a3":"","s1":0,"s2":0,"s3":0},"bp":{"a1":0,"a2":"","a3":"","s1":0,"s2":0,"s3":0},"dl":{"a1":0,"a2":"","a3":"","s1":0,"s2":0,"s3":0},"sortOrder":0,"act":{}}</v>
      </c>
    </row>
    <row r="182" spans="5:70" x14ac:dyDescent="0.25">
      <c r="E182" s="128"/>
      <c r="F182" s="129"/>
      <c r="G182" s="129"/>
      <c r="H182" s="129"/>
      <c r="I182" s="129"/>
      <c r="J182" s="129"/>
      <c r="K182" s="129"/>
      <c r="L182" s="130"/>
      <c r="M182" s="131"/>
      <c r="N182" s="130"/>
      <c r="O182" s="148">
        <f t="shared" ca="1" si="111"/>
        <v>2023</v>
      </c>
      <c r="P182" s="129"/>
      <c r="Q182" s="129"/>
      <c r="R182" s="129"/>
      <c r="S182" s="129"/>
      <c r="T182" s="129"/>
      <c r="U182" s="129"/>
      <c r="V182" s="129"/>
      <c r="W182" s="129"/>
      <c r="X182" s="129"/>
      <c r="Y182" s="132"/>
      <c r="Z182" s="133"/>
      <c r="AA182" s="133"/>
      <c r="AB182" s="134"/>
      <c r="AE182" s="15" t="str">
        <f t="shared" ref="AE182:AE245" si="112">IF(Q182="","A",PROPER(Q182))</f>
        <v>A</v>
      </c>
      <c r="AF182" s="8">
        <f t="shared" si="78"/>
        <v>0</v>
      </c>
      <c r="AG182" s="9">
        <f t="shared" si="86"/>
        <v>0</v>
      </c>
      <c r="AH182" s="9" t="str">
        <f t="shared" si="87"/>
        <v/>
      </c>
      <c r="AI182" s="8">
        <f t="shared" si="79"/>
        <v>0</v>
      </c>
      <c r="AJ182" s="45">
        <f t="shared" si="88"/>
        <v>0</v>
      </c>
      <c r="AK182" s="45">
        <f t="shared" si="89"/>
        <v>0</v>
      </c>
      <c r="AL182" s="45">
        <f t="shared" si="90"/>
        <v>0</v>
      </c>
      <c r="AM182" s="8" t="str">
        <f t="shared" si="91"/>
        <v>--</v>
      </c>
      <c r="AN182" s="10">
        <f t="shared" si="92"/>
        <v>0</v>
      </c>
      <c r="AO182" s="10">
        <f t="shared" si="93"/>
        <v>0</v>
      </c>
      <c r="AP182" s="10">
        <f t="shared" si="94"/>
        <v>0</v>
      </c>
      <c r="AQ182" s="10">
        <f t="shared" si="95"/>
        <v>0</v>
      </c>
      <c r="AR182" s="10">
        <f t="shared" si="96"/>
        <v>0</v>
      </c>
      <c r="AS182" s="8">
        <v>23</v>
      </c>
      <c r="AT182" s="9">
        <f t="shared" si="97"/>
        <v>0</v>
      </c>
      <c r="AU182" s="11">
        <f t="shared" si="98"/>
        <v>0</v>
      </c>
      <c r="AV182" s="6"/>
      <c r="AW182" s="6"/>
      <c r="AX182" s="6"/>
      <c r="AZ182" t="str">
        <f t="shared" si="99"/>
        <v>{"group":"A",</v>
      </c>
      <c r="BA182" t="str">
        <f t="shared" si="80"/>
        <v>"lot":0,</v>
      </c>
      <c r="BB182" t="str">
        <f t="shared" si="100"/>
        <v>"name":"0",</v>
      </c>
      <c r="BC182" t="str">
        <f t="shared" si="101"/>
        <v>"team":"",</v>
      </c>
      <c r="BD182" t="str">
        <f t="shared" si="102"/>
        <v>"year":"0",</v>
      </c>
      <c r="BE182" t="str">
        <f t="shared" si="103"/>
        <v>"gender":"0",</v>
      </c>
      <c r="BF182" t="str">
        <f t="shared" si="104"/>
        <v>"gear":"0",</v>
      </c>
      <c r="BG182" t="str">
        <f t="shared" si="105"/>
        <v>"lifts":"0",</v>
      </c>
      <c r="BH182" t="str">
        <f t="shared" si="106"/>
        <v>"division":"--",</v>
      </c>
      <c r="BI182" t="str">
        <f t="shared" si="107"/>
        <v>"wc":"0",</v>
      </c>
      <c r="BJ182" t="str">
        <f t="shared" si="108"/>
        <v>"bw":"",</v>
      </c>
      <c r="BK182" t="str">
        <f t="shared" si="109"/>
        <v>"pb":[0,0,0,0],</v>
      </c>
      <c r="BL182" t="str">
        <f t="shared" si="81"/>
        <v>"idx":"23",</v>
      </c>
      <c r="BM182" t="str">
        <f t="shared" si="82"/>
        <v>"sr":"0",</v>
      </c>
      <c r="BN182" t="str">
        <f t="shared" si="83"/>
        <v>"br":"0",</v>
      </c>
      <c r="BO182" t="str">
        <f t="shared" si="84"/>
        <v>"row":0,</v>
      </c>
      <c r="BP182" t="s">
        <v>55</v>
      </c>
      <c r="BQ182" t="str">
        <f t="shared" si="85"/>
        <v>"sq":{"a1":0,"a2":"","a3":"","s1":0,"s2":0,"s3":0},"bp":{"a1":0,"a2":"","a3":"","s1":0,"s2":0,"s3":0},"dl":{"a1":0,"a2":"","a3":"","s1":0,"s2":0,"s3":0},"sortOrder":0,"act":{}}</v>
      </c>
      <c r="BR182" t="str">
        <f t="shared" si="110"/>
        <v>{"group":"A","lot":0,"name":"0","team":"","year":"0","gender":"0","gear":"0","lifts":"0","division":"--","wc":"0","bw":"","pb":[0,0,0,0],"idx":"23","sr":"0","br":"0","row":0,"sq":{"a1":0,"a2":"","a3":"","s1":0,"s2":0,"s3":0},"bp":{"a1":0,"a2":"","a3":"","s1":0,"s2":0,"s3":0},"dl":{"a1":0,"a2":"","a3":"","s1":0,"s2":0,"s3":0},"sortOrder":0,"act":{}}</v>
      </c>
    </row>
    <row r="183" spans="5:70" x14ac:dyDescent="0.25">
      <c r="E183" s="128"/>
      <c r="F183" s="129"/>
      <c r="G183" s="129"/>
      <c r="H183" s="129"/>
      <c r="I183" s="129"/>
      <c r="J183" s="129"/>
      <c r="K183" s="129"/>
      <c r="L183" s="130"/>
      <c r="M183" s="131"/>
      <c r="N183" s="130"/>
      <c r="O183" s="148">
        <f t="shared" ca="1" si="111"/>
        <v>2023</v>
      </c>
      <c r="P183" s="129"/>
      <c r="Q183" s="129"/>
      <c r="R183" s="129"/>
      <c r="S183" s="129"/>
      <c r="T183" s="129"/>
      <c r="U183" s="129"/>
      <c r="V183" s="129"/>
      <c r="W183" s="129"/>
      <c r="X183" s="129"/>
      <c r="Y183" s="132"/>
      <c r="Z183" s="133"/>
      <c r="AA183" s="133"/>
      <c r="AB183" s="134"/>
      <c r="AE183" s="15" t="str">
        <f t="shared" si="112"/>
        <v>A</v>
      </c>
      <c r="AF183" s="8">
        <f t="shared" si="78"/>
        <v>0</v>
      </c>
      <c r="AG183" s="9">
        <f t="shared" si="86"/>
        <v>0</v>
      </c>
      <c r="AH183" s="9" t="str">
        <f t="shared" si="87"/>
        <v/>
      </c>
      <c r="AI183" s="8">
        <f t="shared" si="79"/>
        <v>0</v>
      </c>
      <c r="AJ183" s="45">
        <f t="shared" si="88"/>
        <v>0</v>
      </c>
      <c r="AK183" s="45">
        <f t="shared" si="89"/>
        <v>0</v>
      </c>
      <c r="AL183" s="45">
        <f t="shared" si="90"/>
        <v>0</v>
      </c>
      <c r="AM183" s="8" t="str">
        <f t="shared" si="91"/>
        <v>--</v>
      </c>
      <c r="AN183" s="10">
        <f t="shared" si="92"/>
        <v>0</v>
      </c>
      <c r="AO183" s="10">
        <f t="shared" si="93"/>
        <v>0</v>
      </c>
      <c r="AP183" s="10">
        <f t="shared" si="94"/>
        <v>0</v>
      </c>
      <c r="AQ183" s="10">
        <f t="shared" si="95"/>
        <v>0</v>
      </c>
      <c r="AR183" s="10">
        <f t="shared" si="96"/>
        <v>0</v>
      </c>
      <c r="AS183" s="8">
        <v>23</v>
      </c>
      <c r="AT183" s="9">
        <f t="shared" si="97"/>
        <v>0</v>
      </c>
      <c r="AU183" s="11">
        <f t="shared" si="98"/>
        <v>0</v>
      </c>
      <c r="AV183" s="6"/>
      <c r="AW183" s="6"/>
      <c r="AX183" s="6"/>
      <c r="AZ183" t="str">
        <f t="shared" si="99"/>
        <v>{"group":"A",</v>
      </c>
      <c r="BA183" t="str">
        <f t="shared" si="80"/>
        <v>"lot":0,</v>
      </c>
      <c r="BB183" t="str">
        <f t="shared" si="100"/>
        <v>"name":"0",</v>
      </c>
      <c r="BC183" t="str">
        <f t="shared" si="101"/>
        <v>"team":"",</v>
      </c>
      <c r="BD183" t="str">
        <f t="shared" si="102"/>
        <v>"year":"0",</v>
      </c>
      <c r="BE183" t="str">
        <f t="shared" si="103"/>
        <v>"gender":"0",</v>
      </c>
      <c r="BF183" t="str">
        <f t="shared" si="104"/>
        <v>"gear":"0",</v>
      </c>
      <c r="BG183" t="str">
        <f t="shared" si="105"/>
        <v>"lifts":"0",</v>
      </c>
      <c r="BH183" t="str">
        <f t="shared" si="106"/>
        <v>"division":"--",</v>
      </c>
      <c r="BI183" t="str">
        <f t="shared" si="107"/>
        <v>"wc":"0",</v>
      </c>
      <c r="BJ183" t="str">
        <f t="shared" si="108"/>
        <v>"bw":"",</v>
      </c>
      <c r="BK183" t="str">
        <f t="shared" si="109"/>
        <v>"pb":[0,0,0,0],</v>
      </c>
      <c r="BL183" t="str">
        <f t="shared" si="81"/>
        <v>"idx":"23",</v>
      </c>
      <c r="BM183" t="str">
        <f t="shared" si="82"/>
        <v>"sr":"0",</v>
      </c>
      <c r="BN183" t="str">
        <f t="shared" si="83"/>
        <v>"br":"0",</v>
      </c>
      <c r="BO183" t="str">
        <f t="shared" si="84"/>
        <v>"row":0,</v>
      </c>
      <c r="BP183" t="s">
        <v>55</v>
      </c>
      <c r="BQ183" t="str">
        <f t="shared" si="85"/>
        <v>"sq":{"a1":0,"a2":"","a3":"","s1":0,"s2":0,"s3":0},"bp":{"a1":0,"a2":"","a3":"","s1":0,"s2":0,"s3":0},"dl":{"a1":0,"a2":"","a3":"","s1":0,"s2":0,"s3":0},"sortOrder":0,"act":{}}</v>
      </c>
      <c r="BR183" t="str">
        <f t="shared" si="110"/>
        <v>{"group":"A","lot":0,"name":"0","team":"","year":"0","gender":"0","gear":"0","lifts":"0","division":"--","wc":"0","bw":"","pb":[0,0,0,0],"idx":"23","sr":"0","br":"0","row":0,"sq":{"a1":0,"a2":"","a3":"","s1":0,"s2":0,"s3":0},"bp":{"a1":0,"a2":"","a3":"","s1":0,"s2":0,"s3":0},"dl":{"a1":0,"a2":"","a3":"","s1":0,"s2":0,"s3":0},"sortOrder":0,"act":{}}</v>
      </c>
    </row>
    <row r="184" spans="5:70" x14ac:dyDescent="0.25">
      <c r="E184" s="128"/>
      <c r="F184" s="129"/>
      <c r="G184" s="129"/>
      <c r="H184" s="129"/>
      <c r="I184" s="129"/>
      <c r="J184" s="129"/>
      <c r="K184" s="129"/>
      <c r="L184" s="130"/>
      <c r="M184" s="131"/>
      <c r="N184" s="130"/>
      <c r="O184" s="148">
        <f t="shared" ca="1" si="111"/>
        <v>2023</v>
      </c>
      <c r="P184" s="129"/>
      <c r="Q184" s="129"/>
      <c r="R184" s="129"/>
      <c r="S184" s="129"/>
      <c r="T184" s="129"/>
      <c r="U184" s="129"/>
      <c r="V184" s="129"/>
      <c r="W184" s="129"/>
      <c r="X184" s="129"/>
      <c r="Y184" s="132"/>
      <c r="Z184" s="133"/>
      <c r="AA184" s="133"/>
      <c r="AB184" s="134"/>
      <c r="AE184" s="15" t="str">
        <f t="shared" si="112"/>
        <v>A</v>
      </c>
      <c r="AF184" s="8">
        <f t="shared" si="78"/>
        <v>0</v>
      </c>
      <c r="AG184" s="9">
        <f t="shared" si="86"/>
        <v>0</v>
      </c>
      <c r="AH184" s="9" t="str">
        <f t="shared" si="87"/>
        <v/>
      </c>
      <c r="AI184" s="8">
        <f t="shared" si="79"/>
        <v>0</v>
      </c>
      <c r="AJ184" s="45">
        <f t="shared" si="88"/>
        <v>0</v>
      </c>
      <c r="AK184" s="45">
        <f t="shared" si="89"/>
        <v>0</v>
      </c>
      <c r="AL184" s="45">
        <f t="shared" si="90"/>
        <v>0</v>
      </c>
      <c r="AM184" s="8" t="str">
        <f t="shared" si="91"/>
        <v>--</v>
      </c>
      <c r="AN184" s="10">
        <f t="shared" si="92"/>
        <v>0</v>
      </c>
      <c r="AO184" s="10">
        <f t="shared" si="93"/>
        <v>0</v>
      </c>
      <c r="AP184" s="10">
        <f t="shared" si="94"/>
        <v>0</v>
      </c>
      <c r="AQ184" s="10">
        <f t="shared" si="95"/>
        <v>0</v>
      </c>
      <c r="AR184" s="10">
        <f t="shared" si="96"/>
        <v>0</v>
      </c>
      <c r="AS184" s="8">
        <v>23</v>
      </c>
      <c r="AT184" s="9">
        <f t="shared" si="97"/>
        <v>0</v>
      </c>
      <c r="AU184" s="11">
        <f t="shared" si="98"/>
        <v>0</v>
      </c>
      <c r="AV184" s="6"/>
      <c r="AW184" s="6"/>
      <c r="AX184" s="6"/>
      <c r="AZ184" t="str">
        <f t="shared" si="99"/>
        <v>{"group":"A",</v>
      </c>
      <c r="BA184" t="str">
        <f t="shared" si="80"/>
        <v>"lot":0,</v>
      </c>
      <c r="BB184" t="str">
        <f t="shared" si="100"/>
        <v>"name":"0",</v>
      </c>
      <c r="BC184" t="str">
        <f t="shared" si="101"/>
        <v>"team":"",</v>
      </c>
      <c r="BD184" t="str">
        <f t="shared" si="102"/>
        <v>"year":"0",</v>
      </c>
      <c r="BE184" t="str">
        <f t="shared" si="103"/>
        <v>"gender":"0",</v>
      </c>
      <c r="BF184" t="str">
        <f t="shared" si="104"/>
        <v>"gear":"0",</v>
      </c>
      <c r="BG184" t="str">
        <f t="shared" si="105"/>
        <v>"lifts":"0",</v>
      </c>
      <c r="BH184" t="str">
        <f t="shared" si="106"/>
        <v>"division":"--",</v>
      </c>
      <c r="BI184" t="str">
        <f t="shared" si="107"/>
        <v>"wc":"0",</v>
      </c>
      <c r="BJ184" t="str">
        <f t="shared" si="108"/>
        <v>"bw":"",</v>
      </c>
      <c r="BK184" t="str">
        <f t="shared" si="109"/>
        <v>"pb":[0,0,0,0],</v>
      </c>
      <c r="BL184" t="str">
        <f t="shared" si="81"/>
        <v>"idx":"23",</v>
      </c>
      <c r="BM184" t="str">
        <f t="shared" si="82"/>
        <v>"sr":"0",</v>
      </c>
      <c r="BN184" t="str">
        <f t="shared" si="83"/>
        <v>"br":"0",</v>
      </c>
      <c r="BO184" t="str">
        <f t="shared" si="84"/>
        <v>"row":0,</v>
      </c>
      <c r="BP184" t="s">
        <v>55</v>
      </c>
      <c r="BQ184" t="str">
        <f t="shared" si="85"/>
        <v>"sq":{"a1":0,"a2":"","a3":"","s1":0,"s2":0,"s3":0},"bp":{"a1":0,"a2":"","a3":"","s1":0,"s2":0,"s3":0},"dl":{"a1":0,"a2":"","a3":"","s1":0,"s2":0,"s3":0},"sortOrder":0,"act":{}}</v>
      </c>
      <c r="BR184" t="str">
        <f t="shared" si="110"/>
        <v>{"group":"A","lot":0,"name":"0","team":"","year":"0","gender":"0","gear":"0","lifts":"0","division":"--","wc":"0","bw":"","pb":[0,0,0,0],"idx":"23","sr":"0","br":"0","row":0,"sq":{"a1":0,"a2":"","a3":"","s1":0,"s2":0,"s3":0},"bp":{"a1":0,"a2":"","a3":"","s1":0,"s2":0,"s3":0},"dl":{"a1":0,"a2":"","a3":"","s1":0,"s2":0,"s3":0},"sortOrder":0,"act":{}}</v>
      </c>
    </row>
    <row r="185" spans="5:70" x14ac:dyDescent="0.25">
      <c r="E185" s="128"/>
      <c r="F185" s="129"/>
      <c r="G185" s="129"/>
      <c r="H185" s="129"/>
      <c r="I185" s="129"/>
      <c r="J185" s="129"/>
      <c r="K185" s="129"/>
      <c r="L185" s="130"/>
      <c r="M185" s="131"/>
      <c r="N185" s="130"/>
      <c r="O185" s="148">
        <f t="shared" ca="1" si="111"/>
        <v>2023</v>
      </c>
      <c r="P185" s="129"/>
      <c r="Q185" s="129"/>
      <c r="R185" s="129"/>
      <c r="S185" s="129"/>
      <c r="T185" s="129"/>
      <c r="U185" s="129"/>
      <c r="V185" s="129"/>
      <c r="W185" s="129"/>
      <c r="X185" s="129"/>
      <c r="Y185" s="132"/>
      <c r="Z185" s="133"/>
      <c r="AA185" s="133"/>
      <c r="AB185" s="134"/>
      <c r="AE185" s="15" t="str">
        <f t="shared" si="112"/>
        <v>A</v>
      </c>
      <c r="AF185" s="8">
        <f t="shared" si="78"/>
        <v>0</v>
      </c>
      <c r="AG185" s="9">
        <f t="shared" si="86"/>
        <v>0</v>
      </c>
      <c r="AH185" s="9" t="str">
        <f t="shared" si="87"/>
        <v/>
      </c>
      <c r="AI185" s="8">
        <f t="shared" si="79"/>
        <v>0</v>
      </c>
      <c r="AJ185" s="45">
        <f t="shared" si="88"/>
        <v>0</v>
      </c>
      <c r="AK185" s="45">
        <f t="shared" si="89"/>
        <v>0</v>
      </c>
      <c r="AL185" s="45">
        <f t="shared" si="90"/>
        <v>0</v>
      </c>
      <c r="AM185" s="8" t="str">
        <f t="shared" si="91"/>
        <v>--</v>
      </c>
      <c r="AN185" s="10">
        <f t="shared" si="92"/>
        <v>0</v>
      </c>
      <c r="AO185" s="10">
        <f t="shared" si="93"/>
        <v>0</v>
      </c>
      <c r="AP185" s="10">
        <f t="shared" si="94"/>
        <v>0</v>
      </c>
      <c r="AQ185" s="10">
        <f t="shared" si="95"/>
        <v>0</v>
      </c>
      <c r="AR185" s="10">
        <f t="shared" si="96"/>
        <v>0</v>
      </c>
      <c r="AS185" s="8">
        <v>23</v>
      </c>
      <c r="AT185" s="9">
        <f t="shared" si="97"/>
        <v>0</v>
      </c>
      <c r="AU185" s="11">
        <f t="shared" si="98"/>
        <v>0</v>
      </c>
      <c r="AV185" s="6"/>
      <c r="AW185" s="6"/>
      <c r="AX185" s="6"/>
      <c r="AZ185" t="str">
        <f t="shared" si="99"/>
        <v>{"group":"A",</v>
      </c>
      <c r="BA185" t="str">
        <f t="shared" si="80"/>
        <v>"lot":0,</v>
      </c>
      <c r="BB185" t="str">
        <f t="shared" si="100"/>
        <v>"name":"0",</v>
      </c>
      <c r="BC185" t="str">
        <f t="shared" si="101"/>
        <v>"team":"",</v>
      </c>
      <c r="BD185" t="str">
        <f t="shared" si="102"/>
        <v>"year":"0",</v>
      </c>
      <c r="BE185" t="str">
        <f t="shared" si="103"/>
        <v>"gender":"0",</v>
      </c>
      <c r="BF185" t="str">
        <f t="shared" si="104"/>
        <v>"gear":"0",</v>
      </c>
      <c r="BG185" t="str">
        <f t="shared" si="105"/>
        <v>"lifts":"0",</v>
      </c>
      <c r="BH185" t="str">
        <f t="shared" si="106"/>
        <v>"division":"--",</v>
      </c>
      <c r="BI185" t="str">
        <f t="shared" si="107"/>
        <v>"wc":"0",</v>
      </c>
      <c r="BJ185" t="str">
        <f t="shared" si="108"/>
        <v>"bw":"",</v>
      </c>
      <c r="BK185" t="str">
        <f t="shared" si="109"/>
        <v>"pb":[0,0,0,0],</v>
      </c>
      <c r="BL185" t="str">
        <f t="shared" si="81"/>
        <v>"idx":"23",</v>
      </c>
      <c r="BM185" t="str">
        <f t="shared" si="82"/>
        <v>"sr":"0",</v>
      </c>
      <c r="BN185" t="str">
        <f t="shared" si="83"/>
        <v>"br":"0",</v>
      </c>
      <c r="BO185" t="str">
        <f t="shared" si="84"/>
        <v>"row":0,</v>
      </c>
      <c r="BP185" t="s">
        <v>55</v>
      </c>
      <c r="BQ185" t="str">
        <f t="shared" si="85"/>
        <v>"sq":{"a1":0,"a2":"","a3":"","s1":0,"s2":0,"s3":0},"bp":{"a1":0,"a2":"","a3":"","s1":0,"s2":0,"s3":0},"dl":{"a1":0,"a2":"","a3":"","s1":0,"s2":0,"s3":0},"sortOrder":0,"act":{}}</v>
      </c>
      <c r="BR185" t="str">
        <f t="shared" si="110"/>
        <v>{"group":"A","lot":0,"name":"0","team":"","year":"0","gender":"0","gear":"0","lifts":"0","division":"--","wc":"0","bw":"","pb":[0,0,0,0],"idx":"23","sr":"0","br":"0","row":0,"sq":{"a1":0,"a2":"","a3":"","s1":0,"s2":0,"s3":0},"bp":{"a1":0,"a2":"","a3":"","s1":0,"s2":0,"s3":0},"dl":{"a1":0,"a2":"","a3":"","s1":0,"s2":0,"s3":0},"sortOrder":0,"act":{}}</v>
      </c>
    </row>
    <row r="186" spans="5:70" x14ac:dyDescent="0.25">
      <c r="E186" s="128"/>
      <c r="F186" s="129"/>
      <c r="G186" s="129"/>
      <c r="H186" s="129"/>
      <c r="I186" s="129"/>
      <c r="J186" s="129"/>
      <c r="K186" s="129"/>
      <c r="L186" s="130"/>
      <c r="M186" s="131"/>
      <c r="N186" s="130"/>
      <c r="O186" s="148">
        <f t="shared" ca="1" si="111"/>
        <v>2023</v>
      </c>
      <c r="P186" s="129"/>
      <c r="Q186" s="129"/>
      <c r="R186" s="129"/>
      <c r="S186" s="129"/>
      <c r="T186" s="129"/>
      <c r="U186" s="129"/>
      <c r="V186" s="129"/>
      <c r="W186" s="129"/>
      <c r="X186" s="129"/>
      <c r="Y186" s="132"/>
      <c r="Z186" s="133"/>
      <c r="AA186" s="133"/>
      <c r="AB186" s="134"/>
      <c r="AE186" s="15" t="str">
        <f t="shared" si="112"/>
        <v>A</v>
      </c>
      <c r="AF186" s="8">
        <f t="shared" si="78"/>
        <v>0</v>
      </c>
      <c r="AG186" s="9">
        <f t="shared" si="86"/>
        <v>0</v>
      </c>
      <c r="AH186" s="9" t="str">
        <f t="shared" si="87"/>
        <v/>
      </c>
      <c r="AI186" s="8">
        <f t="shared" si="79"/>
        <v>0</v>
      </c>
      <c r="AJ186" s="45">
        <f t="shared" si="88"/>
        <v>0</v>
      </c>
      <c r="AK186" s="45">
        <f t="shared" si="89"/>
        <v>0</v>
      </c>
      <c r="AL186" s="45">
        <f t="shared" si="90"/>
        <v>0</v>
      </c>
      <c r="AM186" s="8" t="str">
        <f t="shared" si="91"/>
        <v>--</v>
      </c>
      <c r="AN186" s="10">
        <f t="shared" si="92"/>
        <v>0</v>
      </c>
      <c r="AO186" s="10">
        <f t="shared" si="93"/>
        <v>0</v>
      </c>
      <c r="AP186" s="10">
        <f t="shared" si="94"/>
        <v>0</v>
      </c>
      <c r="AQ186" s="10">
        <f t="shared" si="95"/>
        <v>0</v>
      </c>
      <c r="AR186" s="10">
        <f t="shared" si="96"/>
        <v>0</v>
      </c>
      <c r="AS186" s="8">
        <v>23</v>
      </c>
      <c r="AT186" s="9">
        <f t="shared" si="97"/>
        <v>0</v>
      </c>
      <c r="AU186" s="11">
        <f t="shared" si="98"/>
        <v>0</v>
      </c>
      <c r="AV186" s="6"/>
      <c r="AW186" s="6"/>
      <c r="AX186" s="6"/>
      <c r="AZ186" t="str">
        <f t="shared" si="99"/>
        <v>{"group":"A",</v>
      </c>
      <c r="BA186" t="str">
        <f t="shared" si="80"/>
        <v>"lot":0,</v>
      </c>
      <c r="BB186" t="str">
        <f t="shared" si="100"/>
        <v>"name":"0",</v>
      </c>
      <c r="BC186" t="str">
        <f t="shared" si="101"/>
        <v>"team":"",</v>
      </c>
      <c r="BD186" t="str">
        <f t="shared" si="102"/>
        <v>"year":"0",</v>
      </c>
      <c r="BE186" t="str">
        <f t="shared" si="103"/>
        <v>"gender":"0",</v>
      </c>
      <c r="BF186" t="str">
        <f t="shared" si="104"/>
        <v>"gear":"0",</v>
      </c>
      <c r="BG186" t="str">
        <f t="shared" si="105"/>
        <v>"lifts":"0",</v>
      </c>
      <c r="BH186" t="str">
        <f t="shared" si="106"/>
        <v>"division":"--",</v>
      </c>
      <c r="BI186" t="str">
        <f t="shared" si="107"/>
        <v>"wc":"0",</v>
      </c>
      <c r="BJ186" t="str">
        <f t="shared" si="108"/>
        <v>"bw":"",</v>
      </c>
      <c r="BK186" t="str">
        <f t="shared" si="109"/>
        <v>"pb":[0,0,0,0],</v>
      </c>
      <c r="BL186" t="str">
        <f t="shared" si="81"/>
        <v>"idx":"23",</v>
      </c>
      <c r="BM186" t="str">
        <f t="shared" si="82"/>
        <v>"sr":"0",</v>
      </c>
      <c r="BN186" t="str">
        <f t="shared" si="83"/>
        <v>"br":"0",</v>
      </c>
      <c r="BO186" t="str">
        <f t="shared" si="84"/>
        <v>"row":0,</v>
      </c>
      <c r="BP186" t="s">
        <v>55</v>
      </c>
      <c r="BQ186" t="str">
        <f t="shared" si="85"/>
        <v>"sq":{"a1":0,"a2":"","a3":"","s1":0,"s2":0,"s3":0},"bp":{"a1":0,"a2":"","a3":"","s1":0,"s2":0,"s3":0},"dl":{"a1":0,"a2":"","a3":"","s1":0,"s2":0,"s3":0},"sortOrder":0,"act":{}}</v>
      </c>
      <c r="BR186" t="str">
        <f t="shared" si="110"/>
        <v>{"group":"A","lot":0,"name":"0","team":"","year":"0","gender":"0","gear":"0","lifts":"0","division":"--","wc":"0","bw":"","pb":[0,0,0,0],"idx":"23","sr":"0","br":"0","row":0,"sq":{"a1":0,"a2":"","a3":"","s1":0,"s2":0,"s3":0},"bp":{"a1":0,"a2":"","a3":"","s1":0,"s2":0,"s3":0},"dl":{"a1":0,"a2":"","a3":"","s1":0,"s2":0,"s3":0},"sortOrder":0,"act":{}}</v>
      </c>
    </row>
    <row r="187" spans="5:70" x14ac:dyDescent="0.25">
      <c r="E187" s="128"/>
      <c r="F187" s="129"/>
      <c r="G187" s="129"/>
      <c r="H187" s="129"/>
      <c r="I187" s="129"/>
      <c r="J187" s="129"/>
      <c r="K187" s="129"/>
      <c r="L187" s="130"/>
      <c r="M187" s="131"/>
      <c r="N187" s="130"/>
      <c r="O187" s="148">
        <f t="shared" ca="1" si="111"/>
        <v>2023</v>
      </c>
      <c r="P187" s="129"/>
      <c r="Q187" s="129"/>
      <c r="R187" s="129"/>
      <c r="S187" s="129"/>
      <c r="T187" s="129"/>
      <c r="U187" s="129"/>
      <c r="V187" s="129"/>
      <c r="W187" s="129"/>
      <c r="X187" s="129"/>
      <c r="Y187" s="132"/>
      <c r="Z187" s="133"/>
      <c r="AA187" s="133"/>
      <c r="AB187" s="134"/>
      <c r="AE187" s="15" t="str">
        <f t="shared" si="112"/>
        <v>A</v>
      </c>
      <c r="AF187" s="8">
        <f t="shared" si="78"/>
        <v>0</v>
      </c>
      <c r="AG187" s="9">
        <f t="shared" si="86"/>
        <v>0</v>
      </c>
      <c r="AH187" s="9" t="str">
        <f t="shared" si="87"/>
        <v/>
      </c>
      <c r="AI187" s="8">
        <f t="shared" si="79"/>
        <v>0</v>
      </c>
      <c r="AJ187" s="45">
        <f t="shared" si="88"/>
        <v>0</v>
      </c>
      <c r="AK187" s="45">
        <f t="shared" si="89"/>
        <v>0</v>
      </c>
      <c r="AL187" s="45">
        <f t="shared" si="90"/>
        <v>0</v>
      </c>
      <c r="AM187" s="8" t="str">
        <f t="shared" si="91"/>
        <v>--</v>
      </c>
      <c r="AN187" s="10">
        <f t="shared" si="92"/>
        <v>0</v>
      </c>
      <c r="AO187" s="10">
        <f t="shared" si="93"/>
        <v>0</v>
      </c>
      <c r="AP187" s="10">
        <f t="shared" si="94"/>
        <v>0</v>
      </c>
      <c r="AQ187" s="10">
        <f t="shared" si="95"/>
        <v>0</v>
      </c>
      <c r="AR187" s="10">
        <f t="shared" si="96"/>
        <v>0</v>
      </c>
      <c r="AS187" s="8">
        <v>23</v>
      </c>
      <c r="AT187" s="9">
        <f t="shared" si="97"/>
        <v>0</v>
      </c>
      <c r="AU187" s="11">
        <f t="shared" si="98"/>
        <v>0</v>
      </c>
      <c r="AV187" s="6"/>
      <c r="AW187" s="6"/>
      <c r="AX187" s="6"/>
      <c r="AZ187" t="str">
        <f t="shared" si="99"/>
        <v>{"group":"A",</v>
      </c>
      <c r="BA187" t="str">
        <f t="shared" si="80"/>
        <v>"lot":0,</v>
      </c>
      <c r="BB187" t="str">
        <f t="shared" si="100"/>
        <v>"name":"0",</v>
      </c>
      <c r="BC187" t="str">
        <f t="shared" si="101"/>
        <v>"team":"",</v>
      </c>
      <c r="BD187" t="str">
        <f t="shared" si="102"/>
        <v>"year":"0",</v>
      </c>
      <c r="BE187" t="str">
        <f t="shared" si="103"/>
        <v>"gender":"0",</v>
      </c>
      <c r="BF187" t="str">
        <f t="shared" si="104"/>
        <v>"gear":"0",</v>
      </c>
      <c r="BG187" t="str">
        <f t="shared" si="105"/>
        <v>"lifts":"0",</v>
      </c>
      <c r="BH187" t="str">
        <f t="shared" si="106"/>
        <v>"division":"--",</v>
      </c>
      <c r="BI187" t="str">
        <f t="shared" si="107"/>
        <v>"wc":"0",</v>
      </c>
      <c r="BJ187" t="str">
        <f t="shared" si="108"/>
        <v>"bw":"",</v>
      </c>
      <c r="BK187" t="str">
        <f t="shared" si="109"/>
        <v>"pb":[0,0,0,0],</v>
      </c>
      <c r="BL187" t="str">
        <f t="shared" si="81"/>
        <v>"idx":"23",</v>
      </c>
      <c r="BM187" t="str">
        <f t="shared" si="82"/>
        <v>"sr":"0",</v>
      </c>
      <c r="BN187" t="str">
        <f t="shared" si="83"/>
        <v>"br":"0",</v>
      </c>
      <c r="BO187" t="str">
        <f t="shared" si="84"/>
        <v>"row":0,</v>
      </c>
      <c r="BP187" t="s">
        <v>55</v>
      </c>
      <c r="BQ187" t="str">
        <f t="shared" si="85"/>
        <v>"sq":{"a1":0,"a2":"","a3":"","s1":0,"s2":0,"s3":0},"bp":{"a1":0,"a2":"","a3":"","s1":0,"s2":0,"s3":0},"dl":{"a1":0,"a2":"","a3":"","s1":0,"s2":0,"s3":0},"sortOrder":0,"act":{}}</v>
      </c>
      <c r="BR187" t="str">
        <f t="shared" si="110"/>
        <v>{"group":"A","lot":0,"name":"0","team":"","year":"0","gender":"0","gear":"0","lifts":"0","division":"--","wc":"0","bw":"","pb":[0,0,0,0],"idx":"23","sr":"0","br":"0","row":0,"sq":{"a1":0,"a2":"","a3":"","s1":0,"s2":0,"s3":0},"bp":{"a1":0,"a2":"","a3":"","s1":0,"s2":0,"s3":0},"dl":{"a1":0,"a2":"","a3":"","s1":0,"s2":0,"s3":0},"sortOrder":0,"act":{}}</v>
      </c>
    </row>
    <row r="188" spans="5:70" x14ac:dyDescent="0.25">
      <c r="E188" s="128"/>
      <c r="F188" s="129"/>
      <c r="G188" s="129"/>
      <c r="H188" s="129"/>
      <c r="I188" s="129"/>
      <c r="J188" s="129"/>
      <c r="K188" s="129"/>
      <c r="L188" s="130"/>
      <c r="M188" s="131"/>
      <c r="N188" s="130"/>
      <c r="O188" s="148">
        <f t="shared" ca="1" si="111"/>
        <v>2023</v>
      </c>
      <c r="P188" s="129"/>
      <c r="Q188" s="129"/>
      <c r="R188" s="129"/>
      <c r="S188" s="129"/>
      <c r="T188" s="129"/>
      <c r="U188" s="129"/>
      <c r="V188" s="129"/>
      <c r="W188" s="129"/>
      <c r="X188" s="129"/>
      <c r="Y188" s="132"/>
      <c r="Z188" s="133"/>
      <c r="AA188" s="133"/>
      <c r="AB188" s="134"/>
      <c r="AE188" s="15" t="str">
        <f t="shared" si="112"/>
        <v>A</v>
      </c>
      <c r="AF188" s="8">
        <f t="shared" si="78"/>
        <v>0</v>
      </c>
      <c r="AG188" s="9">
        <f t="shared" si="86"/>
        <v>0</v>
      </c>
      <c r="AH188" s="9" t="str">
        <f t="shared" si="87"/>
        <v/>
      </c>
      <c r="AI188" s="8">
        <f t="shared" si="79"/>
        <v>0</v>
      </c>
      <c r="AJ188" s="45">
        <f t="shared" si="88"/>
        <v>0</v>
      </c>
      <c r="AK188" s="45">
        <f t="shared" si="89"/>
        <v>0</v>
      </c>
      <c r="AL188" s="45">
        <f t="shared" si="90"/>
        <v>0</v>
      </c>
      <c r="AM188" s="8" t="str">
        <f t="shared" si="91"/>
        <v>--</v>
      </c>
      <c r="AN188" s="10">
        <f t="shared" si="92"/>
        <v>0</v>
      </c>
      <c r="AO188" s="10">
        <f t="shared" si="93"/>
        <v>0</v>
      </c>
      <c r="AP188" s="10">
        <f t="shared" si="94"/>
        <v>0</v>
      </c>
      <c r="AQ188" s="10">
        <f t="shared" si="95"/>
        <v>0</v>
      </c>
      <c r="AR188" s="10">
        <f t="shared" si="96"/>
        <v>0</v>
      </c>
      <c r="AS188" s="8">
        <v>23</v>
      </c>
      <c r="AT188" s="9">
        <f t="shared" si="97"/>
        <v>0</v>
      </c>
      <c r="AU188" s="11">
        <f t="shared" si="98"/>
        <v>0</v>
      </c>
      <c r="AV188" s="6"/>
      <c r="AW188" s="6"/>
      <c r="AX188" s="6"/>
      <c r="AZ188" t="str">
        <f t="shared" si="99"/>
        <v>{"group":"A",</v>
      </c>
      <c r="BA188" t="str">
        <f t="shared" si="80"/>
        <v>"lot":0,</v>
      </c>
      <c r="BB188" t="str">
        <f t="shared" si="100"/>
        <v>"name":"0",</v>
      </c>
      <c r="BC188" t="str">
        <f t="shared" si="101"/>
        <v>"team":"",</v>
      </c>
      <c r="BD188" t="str">
        <f t="shared" si="102"/>
        <v>"year":"0",</v>
      </c>
      <c r="BE188" t="str">
        <f t="shared" si="103"/>
        <v>"gender":"0",</v>
      </c>
      <c r="BF188" t="str">
        <f t="shared" si="104"/>
        <v>"gear":"0",</v>
      </c>
      <c r="BG188" t="str">
        <f t="shared" si="105"/>
        <v>"lifts":"0",</v>
      </c>
      <c r="BH188" t="str">
        <f t="shared" si="106"/>
        <v>"division":"--",</v>
      </c>
      <c r="BI188" t="str">
        <f t="shared" si="107"/>
        <v>"wc":"0",</v>
      </c>
      <c r="BJ188" t="str">
        <f t="shared" si="108"/>
        <v>"bw":"",</v>
      </c>
      <c r="BK188" t="str">
        <f t="shared" si="109"/>
        <v>"pb":[0,0,0,0],</v>
      </c>
      <c r="BL188" t="str">
        <f t="shared" si="81"/>
        <v>"idx":"23",</v>
      </c>
      <c r="BM188" t="str">
        <f t="shared" si="82"/>
        <v>"sr":"0",</v>
      </c>
      <c r="BN188" t="str">
        <f t="shared" si="83"/>
        <v>"br":"0",</v>
      </c>
      <c r="BO188" t="str">
        <f t="shared" si="84"/>
        <v>"row":0,</v>
      </c>
      <c r="BP188" t="s">
        <v>55</v>
      </c>
      <c r="BQ188" t="str">
        <f t="shared" si="85"/>
        <v>"sq":{"a1":0,"a2":"","a3":"","s1":0,"s2":0,"s3":0},"bp":{"a1":0,"a2":"","a3":"","s1":0,"s2":0,"s3":0},"dl":{"a1":0,"a2":"","a3":"","s1":0,"s2":0,"s3":0},"sortOrder":0,"act":{}}</v>
      </c>
      <c r="BR188" t="str">
        <f t="shared" si="110"/>
        <v>{"group":"A","lot":0,"name":"0","team":"","year":"0","gender":"0","gear":"0","lifts":"0","division":"--","wc":"0","bw":"","pb":[0,0,0,0],"idx":"23","sr":"0","br":"0","row":0,"sq":{"a1":0,"a2":"","a3":"","s1":0,"s2":0,"s3":0},"bp":{"a1":0,"a2":"","a3":"","s1":0,"s2":0,"s3":0},"dl":{"a1":0,"a2":"","a3":"","s1":0,"s2":0,"s3":0},"sortOrder":0,"act":{}}</v>
      </c>
    </row>
    <row r="189" spans="5:70" x14ac:dyDescent="0.25">
      <c r="E189" s="128"/>
      <c r="F189" s="129"/>
      <c r="G189" s="129"/>
      <c r="H189" s="129"/>
      <c r="I189" s="129"/>
      <c r="J189" s="129"/>
      <c r="K189" s="129"/>
      <c r="L189" s="130"/>
      <c r="M189" s="131"/>
      <c r="N189" s="130"/>
      <c r="O189" s="148">
        <f t="shared" ca="1" si="111"/>
        <v>2023</v>
      </c>
      <c r="P189" s="129"/>
      <c r="Q189" s="129"/>
      <c r="R189" s="129"/>
      <c r="S189" s="129"/>
      <c r="T189" s="129"/>
      <c r="U189" s="129"/>
      <c r="V189" s="129"/>
      <c r="W189" s="129"/>
      <c r="X189" s="129"/>
      <c r="Y189" s="132"/>
      <c r="Z189" s="133"/>
      <c r="AA189" s="133"/>
      <c r="AB189" s="134"/>
      <c r="AE189" s="15" t="str">
        <f t="shared" si="112"/>
        <v>A</v>
      </c>
      <c r="AF189" s="8">
        <f t="shared" si="78"/>
        <v>0</v>
      </c>
      <c r="AG189" s="9">
        <f t="shared" si="86"/>
        <v>0</v>
      </c>
      <c r="AH189" s="9" t="str">
        <f t="shared" si="87"/>
        <v/>
      </c>
      <c r="AI189" s="8">
        <f t="shared" si="79"/>
        <v>0</v>
      </c>
      <c r="AJ189" s="45">
        <f t="shared" si="88"/>
        <v>0</v>
      </c>
      <c r="AK189" s="45">
        <f t="shared" si="89"/>
        <v>0</v>
      </c>
      <c r="AL189" s="45">
        <f t="shared" si="90"/>
        <v>0</v>
      </c>
      <c r="AM189" s="8" t="str">
        <f t="shared" si="91"/>
        <v>--</v>
      </c>
      <c r="AN189" s="10">
        <f t="shared" si="92"/>
        <v>0</v>
      </c>
      <c r="AO189" s="10">
        <f t="shared" si="93"/>
        <v>0</v>
      </c>
      <c r="AP189" s="10">
        <f t="shared" si="94"/>
        <v>0</v>
      </c>
      <c r="AQ189" s="10">
        <f t="shared" si="95"/>
        <v>0</v>
      </c>
      <c r="AR189" s="10">
        <f t="shared" si="96"/>
        <v>0</v>
      </c>
      <c r="AS189" s="8">
        <v>23</v>
      </c>
      <c r="AT189" s="9">
        <f t="shared" si="97"/>
        <v>0</v>
      </c>
      <c r="AU189" s="11">
        <f t="shared" si="98"/>
        <v>0</v>
      </c>
      <c r="AV189" s="6"/>
      <c r="AW189" s="6"/>
      <c r="AX189" s="6"/>
      <c r="AZ189" t="str">
        <f t="shared" si="99"/>
        <v>{"group":"A",</v>
      </c>
      <c r="BA189" t="str">
        <f t="shared" si="80"/>
        <v>"lot":0,</v>
      </c>
      <c r="BB189" t="str">
        <f t="shared" si="100"/>
        <v>"name":"0",</v>
      </c>
      <c r="BC189" t="str">
        <f t="shared" si="101"/>
        <v>"team":"",</v>
      </c>
      <c r="BD189" t="str">
        <f t="shared" si="102"/>
        <v>"year":"0",</v>
      </c>
      <c r="BE189" t="str">
        <f t="shared" si="103"/>
        <v>"gender":"0",</v>
      </c>
      <c r="BF189" t="str">
        <f t="shared" si="104"/>
        <v>"gear":"0",</v>
      </c>
      <c r="BG189" t="str">
        <f t="shared" si="105"/>
        <v>"lifts":"0",</v>
      </c>
      <c r="BH189" t="str">
        <f t="shared" si="106"/>
        <v>"division":"--",</v>
      </c>
      <c r="BI189" t="str">
        <f t="shared" si="107"/>
        <v>"wc":"0",</v>
      </c>
      <c r="BJ189" t="str">
        <f t="shared" si="108"/>
        <v>"bw":"",</v>
      </c>
      <c r="BK189" t="str">
        <f t="shared" si="109"/>
        <v>"pb":[0,0,0,0],</v>
      </c>
      <c r="BL189" t="str">
        <f t="shared" si="81"/>
        <v>"idx":"23",</v>
      </c>
      <c r="BM189" t="str">
        <f t="shared" si="82"/>
        <v>"sr":"0",</v>
      </c>
      <c r="BN189" t="str">
        <f t="shared" si="83"/>
        <v>"br":"0",</v>
      </c>
      <c r="BO189" t="str">
        <f t="shared" si="84"/>
        <v>"row":0,</v>
      </c>
      <c r="BP189" t="s">
        <v>55</v>
      </c>
      <c r="BQ189" t="str">
        <f t="shared" si="85"/>
        <v>"sq":{"a1":0,"a2":"","a3":"","s1":0,"s2":0,"s3":0},"bp":{"a1":0,"a2":"","a3":"","s1":0,"s2":0,"s3":0},"dl":{"a1":0,"a2":"","a3":"","s1":0,"s2":0,"s3":0},"sortOrder":0,"act":{}}</v>
      </c>
      <c r="BR189" t="str">
        <f t="shared" si="110"/>
        <v>{"group":"A","lot":0,"name":"0","team":"","year":"0","gender":"0","gear":"0","lifts":"0","division":"--","wc":"0","bw":"","pb":[0,0,0,0],"idx":"23","sr":"0","br":"0","row":0,"sq":{"a1":0,"a2":"","a3":"","s1":0,"s2":0,"s3":0},"bp":{"a1":0,"a2":"","a3":"","s1":0,"s2":0,"s3":0},"dl":{"a1":0,"a2":"","a3":"","s1":0,"s2":0,"s3":0},"sortOrder":0,"act":{}}</v>
      </c>
    </row>
    <row r="190" spans="5:70" x14ac:dyDescent="0.25">
      <c r="E190" s="128"/>
      <c r="F190" s="129"/>
      <c r="G190" s="129"/>
      <c r="H190" s="129"/>
      <c r="I190" s="129"/>
      <c r="J190" s="129"/>
      <c r="K190" s="129"/>
      <c r="L190" s="130"/>
      <c r="M190" s="131"/>
      <c r="N190" s="130"/>
      <c r="O190" s="148">
        <f t="shared" ca="1" si="111"/>
        <v>2023</v>
      </c>
      <c r="P190" s="129"/>
      <c r="Q190" s="129"/>
      <c r="R190" s="129"/>
      <c r="S190" s="129"/>
      <c r="T190" s="129"/>
      <c r="U190" s="129"/>
      <c r="V190" s="129"/>
      <c r="W190" s="129"/>
      <c r="X190" s="129"/>
      <c r="Y190" s="132"/>
      <c r="Z190" s="133"/>
      <c r="AA190" s="133"/>
      <c r="AB190" s="134"/>
      <c r="AE190" s="15" t="str">
        <f t="shared" si="112"/>
        <v>A</v>
      </c>
      <c r="AF190" s="8">
        <f t="shared" si="78"/>
        <v>0</v>
      </c>
      <c r="AG190" s="9">
        <f t="shared" si="86"/>
        <v>0</v>
      </c>
      <c r="AH190" s="9" t="str">
        <f t="shared" si="87"/>
        <v/>
      </c>
      <c r="AI190" s="8">
        <f t="shared" si="79"/>
        <v>0</v>
      </c>
      <c r="AJ190" s="45">
        <f t="shared" si="88"/>
        <v>0</v>
      </c>
      <c r="AK190" s="45">
        <f t="shared" si="89"/>
        <v>0</v>
      </c>
      <c r="AL190" s="45">
        <f t="shared" si="90"/>
        <v>0</v>
      </c>
      <c r="AM190" s="8" t="str">
        <f t="shared" si="91"/>
        <v>--</v>
      </c>
      <c r="AN190" s="10">
        <f t="shared" si="92"/>
        <v>0</v>
      </c>
      <c r="AO190" s="10">
        <f t="shared" si="93"/>
        <v>0</v>
      </c>
      <c r="AP190" s="10">
        <f t="shared" si="94"/>
        <v>0</v>
      </c>
      <c r="AQ190" s="10">
        <f t="shared" si="95"/>
        <v>0</v>
      </c>
      <c r="AR190" s="10">
        <f t="shared" si="96"/>
        <v>0</v>
      </c>
      <c r="AS190" s="8">
        <v>23</v>
      </c>
      <c r="AT190" s="9">
        <f t="shared" si="97"/>
        <v>0</v>
      </c>
      <c r="AU190" s="11">
        <f t="shared" si="98"/>
        <v>0</v>
      </c>
      <c r="AV190" s="6"/>
      <c r="AW190" s="6"/>
      <c r="AX190" s="6"/>
      <c r="AZ190" t="str">
        <f t="shared" si="99"/>
        <v>{"group":"A",</v>
      </c>
      <c r="BA190" t="str">
        <f t="shared" si="80"/>
        <v>"lot":0,</v>
      </c>
      <c r="BB190" t="str">
        <f t="shared" si="100"/>
        <v>"name":"0",</v>
      </c>
      <c r="BC190" t="str">
        <f t="shared" si="101"/>
        <v>"team":"",</v>
      </c>
      <c r="BD190" t="str">
        <f t="shared" si="102"/>
        <v>"year":"0",</v>
      </c>
      <c r="BE190" t="str">
        <f t="shared" si="103"/>
        <v>"gender":"0",</v>
      </c>
      <c r="BF190" t="str">
        <f t="shared" si="104"/>
        <v>"gear":"0",</v>
      </c>
      <c r="BG190" t="str">
        <f t="shared" si="105"/>
        <v>"lifts":"0",</v>
      </c>
      <c r="BH190" t="str">
        <f t="shared" si="106"/>
        <v>"division":"--",</v>
      </c>
      <c r="BI190" t="str">
        <f t="shared" si="107"/>
        <v>"wc":"0",</v>
      </c>
      <c r="BJ190" t="str">
        <f t="shared" si="108"/>
        <v>"bw":"",</v>
      </c>
      <c r="BK190" t="str">
        <f t="shared" si="109"/>
        <v>"pb":[0,0,0,0],</v>
      </c>
      <c r="BL190" t="str">
        <f t="shared" si="81"/>
        <v>"idx":"23",</v>
      </c>
      <c r="BM190" t="str">
        <f t="shared" si="82"/>
        <v>"sr":"0",</v>
      </c>
      <c r="BN190" t="str">
        <f t="shared" si="83"/>
        <v>"br":"0",</v>
      </c>
      <c r="BO190" t="str">
        <f t="shared" si="84"/>
        <v>"row":0,</v>
      </c>
      <c r="BP190" t="s">
        <v>55</v>
      </c>
      <c r="BQ190" t="str">
        <f t="shared" si="85"/>
        <v>"sq":{"a1":0,"a2":"","a3":"","s1":0,"s2":0,"s3":0},"bp":{"a1":0,"a2":"","a3":"","s1":0,"s2":0,"s3":0},"dl":{"a1":0,"a2":"","a3":"","s1":0,"s2":0,"s3":0},"sortOrder":0,"act":{}}</v>
      </c>
      <c r="BR190" t="str">
        <f t="shared" si="110"/>
        <v>{"group":"A","lot":0,"name":"0","team":"","year":"0","gender":"0","gear":"0","lifts":"0","division":"--","wc":"0","bw":"","pb":[0,0,0,0],"idx":"23","sr":"0","br":"0","row":0,"sq":{"a1":0,"a2":"","a3":"","s1":0,"s2":0,"s3":0},"bp":{"a1":0,"a2":"","a3":"","s1":0,"s2":0,"s3":0},"dl":{"a1":0,"a2":"","a3":"","s1":0,"s2":0,"s3":0},"sortOrder":0,"act":{}}</v>
      </c>
    </row>
    <row r="191" spans="5:70" x14ac:dyDescent="0.25">
      <c r="E191" s="128"/>
      <c r="F191" s="129"/>
      <c r="G191" s="129"/>
      <c r="H191" s="129"/>
      <c r="I191" s="129"/>
      <c r="J191" s="129"/>
      <c r="K191" s="129"/>
      <c r="L191" s="130"/>
      <c r="M191" s="131"/>
      <c r="N191" s="130"/>
      <c r="O191" s="148">
        <f t="shared" ca="1" si="111"/>
        <v>2023</v>
      </c>
      <c r="P191" s="129"/>
      <c r="Q191" s="129"/>
      <c r="R191" s="129"/>
      <c r="S191" s="129"/>
      <c r="T191" s="129"/>
      <c r="U191" s="129"/>
      <c r="V191" s="129"/>
      <c r="W191" s="129"/>
      <c r="X191" s="129"/>
      <c r="Y191" s="132"/>
      <c r="Z191" s="133"/>
      <c r="AA191" s="133"/>
      <c r="AB191" s="134"/>
      <c r="AE191" s="15" t="str">
        <f t="shared" si="112"/>
        <v>A</v>
      </c>
      <c r="AF191" s="8">
        <f t="shared" si="78"/>
        <v>0</v>
      </c>
      <c r="AG191" s="9">
        <f t="shared" si="86"/>
        <v>0</v>
      </c>
      <c r="AH191" s="9" t="str">
        <f t="shared" si="87"/>
        <v/>
      </c>
      <c r="AI191" s="8">
        <f t="shared" si="79"/>
        <v>0</v>
      </c>
      <c r="AJ191" s="45">
        <f t="shared" si="88"/>
        <v>0</v>
      </c>
      <c r="AK191" s="45">
        <f t="shared" si="89"/>
        <v>0</v>
      </c>
      <c r="AL191" s="45">
        <f t="shared" si="90"/>
        <v>0</v>
      </c>
      <c r="AM191" s="8" t="str">
        <f t="shared" si="91"/>
        <v>--</v>
      </c>
      <c r="AN191" s="10">
        <f t="shared" si="92"/>
        <v>0</v>
      </c>
      <c r="AO191" s="10">
        <f t="shared" si="93"/>
        <v>0</v>
      </c>
      <c r="AP191" s="10">
        <f t="shared" si="94"/>
        <v>0</v>
      </c>
      <c r="AQ191" s="10">
        <f t="shared" si="95"/>
        <v>0</v>
      </c>
      <c r="AR191" s="10">
        <f t="shared" si="96"/>
        <v>0</v>
      </c>
      <c r="AS191" s="8">
        <v>23</v>
      </c>
      <c r="AT191" s="9">
        <f t="shared" si="97"/>
        <v>0</v>
      </c>
      <c r="AU191" s="11">
        <f t="shared" si="98"/>
        <v>0</v>
      </c>
      <c r="AV191" s="6"/>
      <c r="AW191" s="6"/>
      <c r="AX191" s="6"/>
      <c r="AZ191" t="str">
        <f t="shared" si="99"/>
        <v>{"group":"A",</v>
      </c>
      <c r="BA191" t="str">
        <f t="shared" si="80"/>
        <v>"lot":0,</v>
      </c>
      <c r="BB191" t="str">
        <f t="shared" si="100"/>
        <v>"name":"0",</v>
      </c>
      <c r="BC191" t="str">
        <f t="shared" si="101"/>
        <v>"team":"",</v>
      </c>
      <c r="BD191" t="str">
        <f t="shared" si="102"/>
        <v>"year":"0",</v>
      </c>
      <c r="BE191" t="str">
        <f t="shared" si="103"/>
        <v>"gender":"0",</v>
      </c>
      <c r="BF191" t="str">
        <f t="shared" si="104"/>
        <v>"gear":"0",</v>
      </c>
      <c r="BG191" t="str">
        <f t="shared" si="105"/>
        <v>"lifts":"0",</v>
      </c>
      <c r="BH191" t="str">
        <f t="shared" si="106"/>
        <v>"division":"--",</v>
      </c>
      <c r="BI191" t="str">
        <f t="shared" si="107"/>
        <v>"wc":"0",</v>
      </c>
      <c r="BJ191" t="str">
        <f t="shared" si="108"/>
        <v>"bw":"",</v>
      </c>
      <c r="BK191" t="str">
        <f t="shared" si="109"/>
        <v>"pb":[0,0,0,0],</v>
      </c>
      <c r="BL191" t="str">
        <f t="shared" si="81"/>
        <v>"idx":"23",</v>
      </c>
      <c r="BM191" t="str">
        <f t="shared" si="82"/>
        <v>"sr":"0",</v>
      </c>
      <c r="BN191" t="str">
        <f t="shared" si="83"/>
        <v>"br":"0",</v>
      </c>
      <c r="BO191" t="str">
        <f t="shared" si="84"/>
        <v>"row":0,</v>
      </c>
      <c r="BP191" t="s">
        <v>55</v>
      </c>
      <c r="BQ191" t="str">
        <f t="shared" si="85"/>
        <v>"sq":{"a1":0,"a2":"","a3":"","s1":0,"s2":0,"s3":0},"bp":{"a1":0,"a2":"","a3":"","s1":0,"s2":0,"s3":0},"dl":{"a1":0,"a2":"","a3":"","s1":0,"s2":0,"s3":0},"sortOrder":0,"act":{}}</v>
      </c>
      <c r="BR191" t="str">
        <f t="shared" si="110"/>
        <v>{"group":"A","lot":0,"name":"0","team":"","year":"0","gender":"0","gear":"0","lifts":"0","division":"--","wc":"0","bw":"","pb":[0,0,0,0],"idx":"23","sr":"0","br":"0","row":0,"sq":{"a1":0,"a2":"","a3":"","s1":0,"s2":0,"s3":0},"bp":{"a1":0,"a2":"","a3":"","s1":0,"s2":0,"s3":0},"dl":{"a1":0,"a2":"","a3":"","s1":0,"s2":0,"s3":0},"sortOrder":0,"act":{}}</v>
      </c>
    </row>
    <row r="192" spans="5:70" x14ac:dyDescent="0.25">
      <c r="E192" s="128"/>
      <c r="F192" s="129"/>
      <c r="G192" s="129"/>
      <c r="H192" s="129"/>
      <c r="I192" s="129"/>
      <c r="J192" s="129"/>
      <c r="K192" s="129"/>
      <c r="L192" s="130"/>
      <c r="M192" s="131"/>
      <c r="N192" s="130"/>
      <c r="O192" s="148">
        <f t="shared" ca="1" si="111"/>
        <v>2023</v>
      </c>
      <c r="P192" s="129"/>
      <c r="Q192" s="129"/>
      <c r="R192" s="129"/>
      <c r="S192" s="129"/>
      <c r="T192" s="129"/>
      <c r="U192" s="129"/>
      <c r="V192" s="129"/>
      <c r="W192" s="129"/>
      <c r="X192" s="129"/>
      <c r="Y192" s="132"/>
      <c r="Z192" s="133"/>
      <c r="AA192" s="133"/>
      <c r="AB192" s="134"/>
      <c r="AE192" s="15" t="str">
        <f t="shared" si="112"/>
        <v>A</v>
      </c>
      <c r="AF192" s="8">
        <f t="shared" si="78"/>
        <v>0</v>
      </c>
      <c r="AG192" s="9">
        <f t="shared" si="86"/>
        <v>0</v>
      </c>
      <c r="AH192" s="9" t="str">
        <f t="shared" si="87"/>
        <v/>
      </c>
      <c r="AI192" s="8">
        <f t="shared" si="79"/>
        <v>0</v>
      </c>
      <c r="AJ192" s="45">
        <f t="shared" si="88"/>
        <v>0</v>
      </c>
      <c r="AK192" s="45">
        <f t="shared" si="89"/>
        <v>0</v>
      </c>
      <c r="AL192" s="45">
        <f t="shared" si="90"/>
        <v>0</v>
      </c>
      <c r="AM192" s="8" t="str">
        <f t="shared" si="91"/>
        <v>--</v>
      </c>
      <c r="AN192" s="10">
        <f t="shared" si="92"/>
        <v>0</v>
      </c>
      <c r="AO192" s="10">
        <f t="shared" si="93"/>
        <v>0</v>
      </c>
      <c r="AP192" s="10">
        <f t="shared" si="94"/>
        <v>0</v>
      </c>
      <c r="AQ192" s="10">
        <f t="shared" si="95"/>
        <v>0</v>
      </c>
      <c r="AR192" s="10">
        <f t="shared" si="96"/>
        <v>0</v>
      </c>
      <c r="AS192" s="8">
        <v>23</v>
      </c>
      <c r="AT192" s="9">
        <f t="shared" si="97"/>
        <v>0</v>
      </c>
      <c r="AU192" s="11">
        <f t="shared" si="98"/>
        <v>0</v>
      </c>
      <c r="AV192" s="6"/>
      <c r="AW192" s="6"/>
      <c r="AX192" s="6"/>
      <c r="AZ192" t="str">
        <f t="shared" si="99"/>
        <v>{"group":"A",</v>
      </c>
      <c r="BA192" t="str">
        <f t="shared" si="80"/>
        <v>"lot":0,</v>
      </c>
      <c r="BB192" t="str">
        <f t="shared" si="100"/>
        <v>"name":"0",</v>
      </c>
      <c r="BC192" t="str">
        <f t="shared" si="101"/>
        <v>"team":"",</v>
      </c>
      <c r="BD192" t="str">
        <f t="shared" si="102"/>
        <v>"year":"0",</v>
      </c>
      <c r="BE192" t="str">
        <f t="shared" si="103"/>
        <v>"gender":"0",</v>
      </c>
      <c r="BF192" t="str">
        <f t="shared" si="104"/>
        <v>"gear":"0",</v>
      </c>
      <c r="BG192" t="str">
        <f t="shared" si="105"/>
        <v>"lifts":"0",</v>
      </c>
      <c r="BH192" t="str">
        <f t="shared" si="106"/>
        <v>"division":"--",</v>
      </c>
      <c r="BI192" t="str">
        <f t="shared" si="107"/>
        <v>"wc":"0",</v>
      </c>
      <c r="BJ192" t="str">
        <f t="shared" si="108"/>
        <v>"bw":"",</v>
      </c>
      <c r="BK192" t="str">
        <f t="shared" si="109"/>
        <v>"pb":[0,0,0,0],</v>
      </c>
      <c r="BL192" t="str">
        <f t="shared" si="81"/>
        <v>"idx":"23",</v>
      </c>
      <c r="BM192" t="str">
        <f t="shared" si="82"/>
        <v>"sr":"0",</v>
      </c>
      <c r="BN192" t="str">
        <f t="shared" si="83"/>
        <v>"br":"0",</v>
      </c>
      <c r="BO192" t="str">
        <f t="shared" si="84"/>
        <v>"row":0,</v>
      </c>
      <c r="BP192" t="s">
        <v>55</v>
      </c>
      <c r="BQ192" t="str">
        <f t="shared" si="85"/>
        <v>"sq":{"a1":0,"a2":"","a3":"","s1":0,"s2":0,"s3":0},"bp":{"a1":0,"a2":"","a3":"","s1":0,"s2":0,"s3":0},"dl":{"a1":0,"a2":"","a3":"","s1":0,"s2":0,"s3":0},"sortOrder":0,"act":{}}</v>
      </c>
      <c r="BR192" t="str">
        <f t="shared" si="110"/>
        <v>{"group":"A","lot":0,"name":"0","team":"","year":"0","gender":"0","gear":"0","lifts":"0","division":"--","wc":"0","bw":"","pb":[0,0,0,0],"idx":"23","sr":"0","br":"0","row":0,"sq":{"a1":0,"a2":"","a3":"","s1":0,"s2":0,"s3":0},"bp":{"a1":0,"a2":"","a3":"","s1":0,"s2":0,"s3":0},"dl":{"a1":0,"a2":"","a3":"","s1":0,"s2":0,"s3":0},"sortOrder":0,"act":{}}</v>
      </c>
    </row>
    <row r="193" spans="5:70" x14ac:dyDescent="0.25">
      <c r="E193" s="128"/>
      <c r="F193" s="129"/>
      <c r="G193" s="129"/>
      <c r="H193" s="129"/>
      <c r="I193" s="129"/>
      <c r="J193" s="129"/>
      <c r="K193" s="129"/>
      <c r="L193" s="130"/>
      <c r="M193" s="131"/>
      <c r="N193" s="130"/>
      <c r="O193" s="148">
        <f t="shared" ca="1" si="111"/>
        <v>2023</v>
      </c>
      <c r="P193" s="129"/>
      <c r="Q193" s="129"/>
      <c r="R193" s="129"/>
      <c r="S193" s="129"/>
      <c r="T193" s="129"/>
      <c r="U193" s="129"/>
      <c r="V193" s="129"/>
      <c r="W193" s="129"/>
      <c r="X193" s="129"/>
      <c r="Y193" s="132"/>
      <c r="Z193" s="133"/>
      <c r="AA193" s="133"/>
      <c r="AB193" s="134"/>
      <c r="AE193" s="15" t="str">
        <f t="shared" si="112"/>
        <v>A</v>
      </c>
      <c r="AF193" s="8">
        <f t="shared" si="78"/>
        <v>0</v>
      </c>
      <c r="AG193" s="9">
        <f t="shared" si="86"/>
        <v>0</v>
      </c>
      <c r="AH193" s="9" t="str">
        <f t="shared" si="87"/>
        <v/>
      </c>
      <c r="AI193" s="8">
        <f t="shared" si="79"/>
        <v>0</v>
      </c>
      <c r="AJ193" s="45">
        <f t="shared" si="88"/>
        <v>0</v>
      </c>
      <c r="AK193" s="45">
        <f t="shared" si="89"/>
        <v>0</v>
      </c>
      <c r="AL193" s="45">
        <f t="shared" si="90"/>
        <v>0</v>
      </c>
      <c r="AM193" s="8" t="str">
        <f t="shared" si="91"/>
        <v>--</v>
      </c>
      <c r="AN193" s="10">
        <f t="shared" si="92"/>
        <v>0</v>
      </c>
      <c r="AO193" s="10">
        <f t="shared" si="93"/>
        <v>0</v>
      </c>
      <c r="AP193" s="10">
        <f t="shared" si="94"/>
        <v>0</v>
      </c>
      <c r="AQ193" s="10">
        <f t="shared" si="95"/>
        <v>0</v>
      </c>
      <c r="AR193" s="10">
        <f t="shared" si="96"/>
        <v>0</v>
      </c>
      <c r="AS193" s="8">
        <v>23</v>
      </c>
      <c r="AT193" s="9">
        <f t="shared" si="97"/>
        <v>0</v>
      </c>
      <c r="AU193" s="11">
        <f t="shared" si="98"/>
        <v>0</v>
      </c>
      <c r="AV193" s="6"/>
      <c r="AW193" s="6"/>
      <c r="AX193" s="6"/>
      <c r="AZ193" t="str">
        <f t="shared" si="99"/>
        <v>{"group":"A",</v>
      </c>
      <c r="BA193" t="str">
        <f t="shared" si="80"/>
        <v>"lot":0,</v>
      </c>
      <c r="BB193" t="str">
        <f t="shared" si="100"/>
        <v>"name":"0",</v>
      </c>
      <c r="BC193" t="str">
        <f t="shared" si="101"/>
        <v>"team":"",</v>
      </c>
      <c r="BD193" t="str">
        <f t="shared" si="102"/>
        <v>"year":"0",</v>
      </c>
      <c r="BE193" t="str">
        <f t="shared" si="103"/>
        <v>"gender":"0",</v>
      </c>
      <c r="BF193" t="str">
        <f t="shared" si="104"/>
        <v>"gear":"0",</v>
      </c>
      <c r="BG193" t="str">
        <f t="shared" si="105"/>
        <v>"lifts":"0",</v>
      </c>
      <c r="BH193" t="str">
        <f t="shared" si="106"/>
        <v>"division":"--",</v>
      </c>
      <c r="BI193" t="str">
        <f t="shared" si="107"/>
        <v>"wc":"0",</v>
      </c>
      <c r="BJ193" t="str">
        <f t="shared" si="108"/>
        <v>"bw":"",</v>
      </c>
      <c r="BK193" t="str">
        <f t="shared" si="109"/>
        <v>"pb":[0,0,0,0],</v>
      </c>
      <c r="BL193" t="str">
        <f t="shared" si="81"/>
        <v>"idx":"23",</v>
      </c>
      <c r="BM193" t="str">
        <f t="shared" si="82"/>
        <v>"sr":"0",</v>
      </c>
      <c r="BN193" t="str">
        <f t="shared" si="83"/>
        <v>"br":"0",</v>
      </c>
      <c r="BO193" t="str">
        <f t="shared" si="84"/>
        <v>"row":0,</v>
      </c>
      <c r="BP193" t="s">
        <v>55</v>
      </c>
      <c r="BQ193" t="str">
        <f t="shared" si="85"/>
        <v>"sq":{"a1":0,"a2":"","a3":"","s1":0,"s2":0,"s3":0},"bp":{"a1":0,"a2":"","a3":"","s1":0,"s2":0,"s3":0},"dl":{"a1":0,"a2":"","a3":"","s1":0,"s2":0,"s3":0},"sortOrder":0,"act":{}}</v>
      </c>
      <c r="BR193" t="str">
        <f t="shared" si="110"/>
        <v>{"group":"A","lot":0,"name":"0","team":"","year":"0","gender":"0","gear":"0","lifts":"0","division":"--","wc":"0","bw":"","pb":[0,0,0,0],"idx":"23","sr":"0","br":"0","row":0,"sq":{"a1":0,"a2":"","a3":"","s1":0,"s2":0,"s3":0},"bp":{"a1":0,"a2":"","a3":"","s1":0,"s2":0,"s3":0},"dl":{"a1":0,"a2":"","a3":"","s1":0,"s2":0,"s3":0},"sortOrder":0,"act":{}}</v>
      </c>
    </row>
    <row r="194" spans="5:70" x14ac:dyDescent="0.25">
      <c r="E194" s="128"/>
      <c r="F194" s="129"/>
      <c r="G194" s="129"/>
      <c r="H194" s="129"/>
      <c r="I194" s="129"/>
      <c r="J194" s="129"/>
      <c r="K194" s="129"/>
      <c r="L194" s="130"/>
      <c r="M194" s="131"/>
      <c r="N194" s="130"/>
      <c r="O194" s="148">
        <f t="shared" ca="1" si="111"/>
        <v>2023</v>
      </c>
      <c r="P194" s="129"/>
      <c r="Q194" s="129"/>
      <c r="R194" s="129"/>
      <c r="S194" s="129"/>
      <c r="T194" s="129"/>
      <c r="U194" s="129"/>
      <c r="V194" s="129"/>
      <c r="W194" s="129"/>
      <c r="X194" s="129"/>
      <c r="Y194" s="132"/>
      <c r="Z194" s="133"/>
      <c r="AA194" s="133"/>
      <c r="AB194" s="134"/>
      <c r="AE194" s="15" t="str">
        <f t="shared" si="112"/>
        <v>A</v>
      </c>
      <c r="AF194" s="8">
        <f t="shared" si="78"/>
        <v>0</v>
      </c>
      <c r="AG194" s="9">
        <f t="shared" si="86"/>
        <v>0</v>
      </c>
      <c r="AH194" s="9" t="str">
        <f t="shared" si="87"/>
        <v/>
      </c>
      <c r="AI194" s="8">
        <f t="shared" si="79"/>
        <v>0</v>
      </c>
      <c r="AJ194" s="45">
        <f t="shared" si="88"/>
        <v>0</v>
      </c>
      <c r="AK194" s="45">
        <f t="shared" si="89"/>
        <v>0</v>
      </c>
      <c r="AL194" s="45">
        <f t="shared" si="90"/>
        <v>0</v>
      </c>
      <c r="AM194" s="8" t="str">
        <f t="shared" si="91"/>
        <v>--</v>
      </c>
      <c r="AN194" s="10">
        <f t="shared" si="92"/>
        <v>0</v>
      </c>
      <c r="AO194" s="10">
        <f t="shared" si="93"/>
        <v>0</v>
      </c>
      <c r="AP194" s="10">
        <f t="shared" si="94"/>
        <v>0</v>
      </c>
      <c r="AQ194" s="10">
        <f t="shared" si="95"/>
        <v>0</v>
      </c>
      <c r="AR194" s="10">
        <f t="shared" si="96"/>
        <v>0</v>
      </c>
      <c r="AS194" s="8">
        <v>23</v>
      </c>
      <c r="AT194" s="9">
        <f t="shared" si="97"/>
        <v>0</v>
      </c>
      <c r="AU194" s="11">
        <f t="shared" si="98"/>
        <v>0</v>
      </c>
      <c r="AV194" s="6"/>
      <c r="AW194" s="6"/>
      <c r="AX194" s="6"/>
      <c r="AZ194" t="str">
        <f t="shared" si="99"/>
        <v>{"group":"A",</v>
      </c>
      <c r="BA194" t="str">
        <f t="shared" si="80"/>
        <v>"lot":0,</v>
      </c>
      <c r="BB194" t="str">
        <f t="shared" si="100"/>
        <v>"name":"0",</v>
      </c>
      <c r="BC194" t="str">
        <f t="shared" si="101"/>
        <v>"team":"",</v>
      </c>
      <c r="BD194" t="str">
        <f t="shared" si="102"/>
        <v>"year":"0",</v>
      </c>
      <c r="BE194" t="str">
        <f t="shared" si="103"/>
        <v>"gender":"0",</v>
      </c>
      <c r="BF194" t="str">
        <f t="shared" si="104"/>
        <v>"gear":"0",</v>
      </c>
      <c r="BG194" t="str">
        <f t="shared" si="105"/>
        <v>"lifts":"0",</v>
      </c>
      <c r="BH194" t="str">
        <f t="shared" si="106"/>
        <v>"division":"--",</v>
      </c>
      <c r="BI194" t="str">
        <f t="shared" si="107"/>
        <v>"wc":"0",</v>
      </c>
      <c r="BJ194" t="str">
        <f t="shared" si="108"/>
        <v>"bw":"",</v>
      </c>
      <c r="BK194" t="str">
        <f t="shared" si="109"/>
        <v>"pb":[0,0,0,0],</v>
      </c>
      <c r="BL194" t="str">
        <f t="shared" si="81"/>
        <v>"idx":"23",</v>
      </c>
      <c r="BM194" t="str">
        <f t="shared" si="82"/>
        <v>"sr":"0",</v>
      </c>
      <c r="BN194" t="str">
        <f t="shared" si="83"/>
        <v>"br":"0",</v>
      </c>
      <c r="BO194" t="str">
        <f t="shared" si="84"/>
        <v>"row":0,</v>
      </c>
      <c r="BP194" t="s">
        <v>55</v>
      </c>
      <c r="BQ194" t="str">
        <f t="shared" si="85"/>
        <v>"sq":{"a1":0,"a2":"","a3":"","s1":0,"s2":0,"s3":0},"bp":{"a1":0,"a2":"","a3":"","s1":0,"s2":0,"s3":0},"dl":{"a1":0,"a2":"","a3":"","s1":0,"s2":0,"s3":0},"sortOrder":0,"act":{}}</v>
      </c>
      <c r="BR194" t="str">
        <f t="shared" si="110"/>
        <v>{"group":"A","lot":0,"name":"0","team":"","year":"0","gender":"0","gear":"0","lifts":"0","division":"--","wc":"0","bw":"","pb":[0,0,0,0],"idx":"23","sr":"0","br":"0","row":0,"sq":{"a1":0,"a2":"","a3":"","s1":0,"s2":0,"s3":0},"bp":{"a1":0,"a2":"","a3":"","s1":0,"s2":0,"s3":0},"dl":{"a1":0,"a2":"","a3":"","s1":0,"s2":0,"s3":0},"sortOrder":0,"act":{}}</v>
      </c>
    </row>
    <row r="195" spans="5:70" x14ac:dyDescent="0.25">
      <c r="E195" s="128"/>
      <c r="F195" s="129"/>
      <c r="G195" s="129"/>
      <c r="H195" s="129"/>
      <c r="I195" s="129"/>
      <c r="J195" s="129"/>
      <c r="K195" s="129"/>
      <c r="L195" s="130"/>
      <c r="M195" s="131"/>
      <c r="N195" s="130"/>
      <c r="O195" s="148">
        <f t="shared" ca="1" si="111"/>
        <v>2023</v>
      </c>
      <c r="P195" s="129"/>
      <c r="Q195" s="129"/>
      <c r="R195" s="129"/>
      <c r="S195" s="129"/>
      <c r="T195" s="129"/>
      <c r="U195" s="129"/>
      <c r="V195" s="129"/>
      <c r="W195" s="129"/>
      <c r="X195" s="129"/>
      <c r="Y195" s="132"/>
      <c r="Z195" s="133"/>
      <c r="AA195" s="133"/>
      <c r="AB195" s="134"/>
      <c r="AE195" s="15" t="str">
        <f t="shared" si="112"/>
        <v>A</v>
      </c>
      <c r="AF195" s="8">
        <f t="shared" si="78"/>
        <v>0</v>
      </c>
      <c r="AG195" s="9">
        <f t="shared" si="86"/>
        <v>0</v>
      </c>
      <c r="AH195" s="9" t="str">
        <f t="shared" si="87"/>
        <v/>
      </c>
      <c r="AI195" s="8">
        <f t="shared" si="79"/>
        <v>0</v>
      </c>
      <c r="AJ195" s="45">
        <f t="shared" si="88"/>
        <v>0</v>
      </c>
      <c r="AK195" s="45">
        <f t="shared" si="89"/>
        <v>0</v>
      </c>
      <c r="AL195" s="45">
        <f t="shared" si="90"/>
        <v>0</v>
      </c>
      <c r="AM195" s="8" t="str">
        <f t="shared" si="91"/>
        <v>--</v>
      </c>
      <c r="AN195" s="10">
        <f t="shared" si="92"/>
        <v>0</v>
      </c>
      <c r="AO195" s="10">
        <f t="shared" si="93"/>
        <v>0</v>
      </c>
      <c r="AP195" s="10">
        <f t="shared" si="94"/>
        <v>0</v>
      </c>
      <c r="AQ195" s="10">
        <f t="shared" si="95"/>
        <v>0</v>
      </c>
      <c r="AR195" s="10">
        <f t="shared" si="96"/>
        <v>0</v>
      </c>
      <c r="AS195" s="8">
        <v>23</v>
      </c>
      <c r="AT195" s="9">
        <f t="shared" si="97"/>
        <v>0</v>
      </c>
      <c r="AU195" s="11">
        <f t="shared" si="98"/>
        <v>0</v>
      </c>
      <c r="AV195" s="6"/>
      <c r="AW195" s="6"/>
      <c r="AX195" s="6"/>
      <c r="AZ195" t="str">
        <f t="shared" si="99"/>
        <v>{"group":"A",</v>
      </c>
      <c r="BA195" t="str">
        <f t="shared" si="80"/>
        <v>"lot":0,</v>
      </c>
      <c r="BB195" t="str">
        <f t="shared" si="100"/>
        <v>"name":"0",</v>
      </c>
      <c r="BC195" t="str">
        <f t="shared" si="101"/>
        <v>"team":"",</v>
      </c>
      <c r="BD195" t="str">
        <f t="shared" si="102"/>
        <v>"year":"0",</v>
      </c>
      <c r="BE195" t="str">
        <f t="shared" si="103"/>
        <v>"gender":"0",</v>
      </c>
      <c r="BF195" t="str">
        <f t="shared" si="104"/>
        <v>"gear":"0",</v>
      </c>
      <c r="BG195" t="str">
        <f t="shared" si="105"/>
        <v>"lifts":"0",</v>
      </c>
      <c r="BH195" t="str">
        <f t="shared" si="106"/>
        <v>"division":"--",</v>
      </c>
      <c r="BI195" t="str">
        <f t="shared" si="107"/>
        <v>"wc":"0",</v>
      </c>
      <c r="BJ195" t="str">
        <f t="shared" si="108"/>
        <v>"bw":"",</v>
      </c>
      <c r="BK195" t="str">
        <f t="shared" si="109"/>
        <v>"pb":[0,0,0,0],</v>
      </c>
      <c r="BL195" t="str">
        <f t="shared" si="81"/>
        <v>"idx":"23",</v>
      </c>
      <c r="BM195" t="str">
        <f t="shared" si="82"/>
        <v>"sr":"0",</v>
      </c>
      <c r="BN195" t="str">
        <f t="shared" si="83"/>
        <v>"br":"0",</v>
      </c>
      <c r="BO195" t="str">
        <f t="shared" si="84"/>
        <v>"row":0,</v>
      </c>
      <c r="BP195" t="s">
        <v>55</v>
      </c>
      <c r="BQ195" t="str">
        <f t="shared" si="85"/>
        <v>"sq":{"a1":0,"a2":"","a3":"","s1":0,"s2":0,"s3":0},"bp":{"a1":0,"a2":"","a3":"","s1":0,"s2":0,"s3":0},"dl":{"a1":0,"a2":"","a3":"","s1":0,"s2":0,"s3":0},"sortOrder":0,"act":{}}</v>
      </c>
      <c r="BR195" t="str">
        <f t="shared" si="110"/>
        <v>{"group":"A","lot":0,"name":"0","team":"","year":"0","gender":"0","gear":"0","lifts":"0","division":"--","wc":"0","bw":"","pb":[0,0,0,0],"idx":"23","sr":"0","br":"0","row":0,"sq":{"a1":0,"a2":"","a3":"","s1":0,"s2":0,"s3":0},"bp":{"a1":0,"a2":"","a3":"","s1":0,"s2":0,"s3":0},"dl":{"a1":0,"a2":"","a3":"","s1":0,"s2":0,"s3":0},"sortOrder":0,"act":{}}</v>
      </c>
    </row>
    <row r="196" spans="5:70" x14ac:dyDescent="0.25">
      <c r="E196" s="128"/>
      <c r="F196" s="129"/>
      <c r="G196" s="129"/>
      <c r="H196" s="129"/>
      <c r="I196" s="129"/>
      <c r="J196" s="129"/>
      <c r="K196" s="129"/>
      <c r="L196" s="130"/>
      <c r="M196" s="131"/>
      <c r="N196" s="130"/>
      <c r="O196" s="148">
        <f t="shared" ca="1" si="111"/>
        <v>2023</v>
      </c>
      <c r="P196" s="129"/>
      <c r="Q196" s="129"/>
      <c r="R196" s="129"/>
      <c r="S196" s="129"/>
      <c r="T196" s="129"/>
      <c r="U196" s="129"/>
      <c r="V196" s="129"/>
      <c r="W196" s="129"/>
      <c r="X196" s="129"/>
      <c r="Y196" s="132"/>
      <c r="Z196" s="133"/>
      <c r="AA196" s="133"/>
      <c r="AB196" s="134"/>
      <c r="AE196" s="15" t="str">
        <f t="shared" si="112"/>
        <v>A</v>
      </c>
      <c r="AF196" s="8">
        <f t="shared" ref="AF196:AF259" si="113">G196</f>
        <v>0</v>
      </c>
      <c r="AG196" s="9">
        <f t="shared" si="86"/>
        <v>0</v>
      </c>
      <c r="AH196" s="9" t="str">
        <f t="shared" si="87"/>
        <v/>
      </c>
      <c r="AI196" s="8">
        <f t="shared" ref="AI196:AI259" si="114">K196</f>
        <v>0</v>
      </c>
      <c r="AJ196" s="45">
        <f t="shared" si="88"/>
        <v>0</v>
      </c>
      <c r="AK196" s="45">
        <f t="shared" si="89"/>
        <v>0</v>
      </c>
      <c r="AL196" s="45">
        <f t="shared" si="90"/>
        <v>0</v>
      </c>
      <c r="AM196" s="8" t="str">
        <f t="shared" si="91"/>
        <v>--</v>
      </c>
      <c r="AN196" s="10">
        <f t="shared" si="92"/>
        <v>0</v>
      </c>
      <c r="AO196" s="10">
        <f t="shared" si="93"/>
        <v>0</v>
      </c>
      <c r="AP196" s="10">
        <f t="shared" si="94"/>
        <v>0</v>
      </c>
      <c r="AQ196" s="10">
        <f t="shared" si="95"/>
        <v>0</v>
      </c>
      <c r="AR196" s="10">
        <f t="shared" si="96"/>
        <v>0</v>
      </c>
      <c r="AS196" s="8">
        <v>23</v>
      </c>
      <c r="AT196" s="9">
        <f t="shared" si="97"/>
        <v>0</v>
      </c>
      <c r="AU196" s="11">
        <f t="shared" si="98"/>
        <v>0</v>
      </c>
      <c r="AV196" s="6"/>
      <c r="AW196" s="6"/>
      <c r="AX196" s="6"/>
      <c r="AZ196" t="str">
        <f t="shared" si="99"/>
        <v>{"group":"A",</v>
      </c>
      <c r="BA196" t="str">
        <f t="shared" ref="BA196:BA259" si="115">AF$3&amp;":"&amp;AF196&amp;","</f>
        <v>"lot":0,</v>
      </c>
      <c r="BB196" t="str">
        <f t="shared" si="100"/>
        <v>"name":"0",</v>
      </c>
      <c r="BC196" t="str">
        <f t="shared" si="101"/>
        <v>"team":"",</v>
      </c>
      <c r="BD196" t="str">
        <f t="shared" si="102"/>
        <v>"year":"0",</v>
      </c>
      <c r="BE196" t="str">
        <f t="shared" si="103"/>
        <v>"gender":"0",</v>
      </c>
      <c r="BF196" t="str">
        <f t="shared" si="104"/>
        <v>"gear":"0",</v>
      </c>
      <c r="BG196" t="str">
        <f t="shared" si="105"/>
        <v>"lifts":"0",</v>
      </c>
      <c r="BH196" t="str">
        <f t="shared" si="106"/>
        <v>"division":"--",</v>
      </c>
      <c r="BI196" t="str">
        <f t="shared" si="107"/>
        <v>"wc":"0",</v>
      </c>
      <c r="BJ196" t="str">
        <f t="shared" si="108"/>
        <v>"bw":"",</v>
      </c>
      <c r="BK196" t="str">
        <f t="shared" si="109"/>
        <v>"pb":[0,0,0,0],</v>
      </c>
      <c r="BL196" t="str">
        <f t="shared" ref="BL196:BL259" si="116">AS$3&amp;":"&amp;CHAR(34)&amp;AS196&amp;CHAR(34)&amp;","</f>
        <v>"idx":"23",</v>
      </c>
      <c r="BM196" t="str">
        <f t="shared" ref="BM196:BM259" si="117">AT$3&amp;":"&amp;CHAR(34)&amp;AT196&amp;CHAR(34)&amp;","</f>
        <v>"sr":"0",</v>
      </c>
      <c r="BN196" t="str">
        <f t="shared" ref="BN196:BN259" si="118">AU$3&amp;":"&amp;CHAR(34)&amp;AU196&amp;CHAR(34)&amp;","</f>
        <v>"br":"0",</v>
      </c>
      <c r="BO196" t="str">
        <f t="shared" ref="BO196:BO259" si="119">CHAR(34)&amp;"row"&amp;CHAR(34)&amp;":"&amp;AF196&amp;","</f>
        <v>"row":0,</v>
      </c>
      <c r="BP196" t="s">
        <v>55</v>
      </c>
      <c r="BQ196" t="str">
        <f t="shared" ref="BQ196:BQ259" si="120">SUBSTITUTE(SUBSTITUTE(SUBSTITUTE(BP196,"999.5",IF(ISBLANK(Z196),"0",Z196)),"888.5",IF(ISBLANK(AA196),"0",AA196)),"555.5",IF(ISBLANK(AB196),"0",AB196))</f>
        <v>"sq":{"a1":0,"a2":"","a3":"","s1":0,"s2":0,"s3":0},"bp":{"a1":0,"a2":"","a3":"","s1":0,"s2":0,"s3":0},"dl":{"a1":0,"a2":"","a3":"","s1":0,"s2":0,"s3":0},"sortOrder":0,"act":{}}</v>
      </c>
      <c r="BR196" t="str">
        <f t="shared" si="110"/>
        <v>{"group":"A","lot":0,"name":"0","team":"","year":"0","gender":"0","gear":"0","lifts":"0","division":"--","wc":"0","bw":"","pb":[0,0,0,0],"idx":"23","sr":"0","br":"0","row":0,"sq":{"a1":0,"a2":"","a3":"","s1":0,"s2":0,"s3":0},"bp":{"a1":0,"a2":"","a3":"","s1":0,"s2":0,"s3":0},"dl":{"a1":0,"a2":"","a3":"","s1":0,"s2":0,"s3":0},"sortOrder":0,"act":{}}</v>
      </c>
    </row>
    <row r="197" spans="5:70" x14ac:dyDescent="0.25">
      <c r="E197" s="128"/>
      <c r="F197" s="129"/>
      <c r="G197" s="129"/>
      <c r="H197" s="129"/>
      <c r="I197" s="129"/>
      <c r="J197" s="129"/>
      <c r="K197" s="129"/>
      <c r="L197" s="130"/>
      <c r="M197" s="131"/>
      <c r="N197" s="130"/>
      <c r="O197" s="148">
        <f t="shared" ca="1" si="111"/>
        <v>2023</v>
      </c>
      <c r="P197" s="129"/>
      <c r="Q197" s="129"/>
      <c r="R197" s="129"/>
      <c r="S197" s="129"/>
      <c r="T197" s="129"/>
      <c r="U197" s="129"/>
      <c r="V197" s="129"/>
      <c r="W197" s="129"/>
      <c r="X197" s="129"/>
      <c r="Y197" s="132"/>
      <c r="Z197" s="133"/>
      <c r="AA197" s="133"/>
      <c r="AB197" s="134"/>
      <c r="AE197" s="15" t="str">
        <f t="shared" si="112"/>
        <v>A</v>
      </c>
      <c r="AF197" s="8">
        <f t="shared" si="113"/>
        <v>0</v>
      </c>
      <c r="AG197" s="9">
        <f t="shared" ref="AG197:AG260" si="121">IF(ISBLANK(H197),I197,H197&amp;" " &amp;I197)</f>
        <v>0</v>
      </c>
      <c r="AH197" s="9" t="str">
        <f t="shared" ref="AH197:AH260" si="122">IF(ISBLANK(J197),"",J197)</f>
        <v/>
      </c>
      <c r="AI197" s="8">
        <f t="shared" si="114"/>
        <v>0</v>
      </c>
      <c r="AJ197" s="45">
        <f t="shared" ref="AJ197:AJ260" si="123">N197</f>
        <v>0</v>
      </c>
      <c r="AK197" s="45">
        <f t="shared" ref="AK197:AK260" si="124">L197</f>
        <v>0</v>
      </c>
      <c r="AL197" s="45">
        <f t="shared" ref="AL197:AL260" si="125">M197</f>
        <v>0</v>
      </c>
      <c r="AM197" s="8" t="str">
        <f t="shared" ref="AM197:AM260" si="126">LEFT(N197,1)&amp;"-"&amp;L197&amp;"-"&amp;M197</f>
        <v>--</v>
      </c>
      <c r="AN197" s="10">
        <f t="shared" ref="AN197:AN260" si="127">W197</f>
        <v>0</v>
      </c>
      <c r="AO197" s="10">
        <f t="shared" ref="AO197:AO260" si="128">R197</f>
        <v>0</v>
      </c>
      <c r="AP197" s="10">
        <f t="shared" ref="AP197:AP260" si="129">S197</f>
        <v>0</v>
      </c>
      <c r="AQ197" s="10">
        <f t="shared" ref="AQ197:AQ260" si="130">T197</f>
        <v>0</v>
      </c>
      <c r="AR197" s="10">
        <f t="shared" ref="AR197:AR260" si="131">U197</f>
        <v>0</v>
      </c>
      <c r="AS197" s="8">
        <v>23</v>
      </c>
      <c r="AT197" s="9">
        <f t="shared" ref="AT197:AT260" si="132">X197</f>
        <v>0</v>
      </c>
      <c r="AU197" s="11">
        <f t="shared" ref="AU197:AU260" si="133">Y197</f>
        <v>0</v>
      </c>
      <c r="AV197" s="6"/>
      <c r="AW197" s="6"/>
      <c r="AX197" s="6"/>
      <c r="AZ197" t="str">
        <f t="shared" ref="AZ197:AZ260" si="134">"{"&amp;AE$3&amp;":"&amp;CHAR(34)&amp;AE197&amp;CHAR(34)&amp;","</f>
        <v>{"group":"A",</v>
      </c>
      <c r="BA197" t="str">
        <f t="shared" si="115"/>
        <v>"lot":0,</v>
      </c>
      <c r="BB197" t="str">
        <f t="shared" ref="BB197:BB260" si="135">AG$3&amp;":"&amp;CHAR(34)&amp;AG197&amp;CHAR(34)&amp;","</f>
        <v>"name":"0",</v>
      </c>
      <c r="BC197" t="str">
        <f t="shared" ref="BC197:BC260" si="136">AH$3&amp;":"&amp;CHAR(34)&amp;AH197&amp;CHAR(34)&amp;","</f>
        <v>"team":"",</v>
      </c>
      <c r="BD197" t="str">
        <f t="shared" ref="BD197:BD260" si="137">AI$3&amp;":"&amp;CHAR(34)&amp;AI197&amp;CHAR(34)&amp;","</f>
        <v>"year":"0",</v>
      </c>
      <c r="BE197" t="str">
        <f t="shared" ref="BE197:BE260" si="138">AJ$3&amp;":"&amp;CHAR(34)&amp;AJ197&amp;CHAR(34)&amp;","</f>
        <v>"gender":"0",</v>
      </c>
      <c r="BF197" t="str">
        <f t="shared" ref="BF197:BF260" si="139">AK$3&amp;":"&amp;CHAR(34)&amp;AK197&amp;CHAR(34)&amp;","</f>
        <v>"gear":"0",</v>
      </c>
      <c r="BG197" t="str">
        <f t="shared" ref="BG197:BG260" si="140">AL$3&amp;":"&amp;CHAR(34)&amp;AL197&amp;CHAR(34)&amp;","</f>
        <v>"lifts":"0",</v>
      </c>
      <c r="BH197" t="str">
        <f t="shared" ref="BH197:BH260" si="141">AM$3&amp;":"&amp;CHAR(34)&amp;AM197&amp;CHAR(34)&amp;","</f>
        <v>"division":"--",</v>
      </c>
      <c r="BI197" t="str">
        <f t="shared" ref="BI197:BI260" si="142">AN$3&amp;":"&amp;CHAR(34)&amp;AN197&amp;CHAR(34)&amp;","</f>
        <v>"wc":"0",</v>
      </c>
      <c r="BJ197" t="str">
        <f t="shared" ref="BJ197:BJ260" si="143">CHAR(34)&amp;W$3&amp;CHAR(34)&amp;":"&amp;CHAR(34)&amp;W197&amp;CHAR(34)&amp;","</f>
        <v>"bw":"",</v>
      </c>
      <c r="BK197" t="str">
        <f t="shared" ref="BK197:BK260" si="144">CHAR(34)&amp;"pb"&amp;CHAR(34)&amp;":["&amp;AO197&amp;","&amp;AP197&amp;","&amp;AQ197&amp;","&amp;AR197&amp;"],"</f>
        <v>"pb":[0,0,0,0],</v>
      </c>
      <c r="BL197" t="str">
        <f t="shared" si="116"/>
        <v>"idx":"23",</v>
      </c>
      <c r="BM197" t="str">
        <f t="shared" si="117"/>
        <v>"sr":"0",</v>
      </c>
      <c r="BN197" t="str">
        <f t="shared" si="118"/>
        <v>"br":"0",</v>
      </c>
      <c r="BO197" t="str">
        <f t="shared" si="119"/>
        <v>"row":0,</v>
      </c>
      <c r="BP197" t="s">
        <v>55</v>
      </c>
      <c r="BQ197" t="str">
        <f t="shared" si="120"/>
        <v>"sq":{"a1":0,"a2":"","a3":"","s1":0,"s2":0,"s3":0},"bp":{"a1":0,"a2":"","a3":"","s1":0,"s2":0,"s3":0},"dl":{"a1":0,"a2":"","a3":"","s1":0,"s2":0,"s3":0},"sortOrder":0,"act":{}}</v>
      </c>
      <c r="BR197" t="str">
        <f t="shared" ref="BR197:BR260" si="145">AZ197&amp;BA197&amp;BB197&amp;BC197&amp;BD197&amp;BE197&amp;BF197&amp;BG197&amp;BH197&amp;BI197&amp;BJ197&amp;BK197&amp;BL197&amp;BM197&amp;BN197&amp;BO197&amp;BQ197</f>
        <v>{"group":"A","lot":0,"name":"0","team":"","year":"0","gender":"0","gear":"0","lifts":"0","division":"--","wc":"0","bw":"","pb":[0,0,0,0],"idx":"23","sr":"0","br":"0","row":0,"sq":{"a1":0,"a2":"","a3":"","s1":0,"s2":0,"s3":0},"bp":{"a1":0,"a2":"","a3":"","s1":0,"s2":0,"s3":0},"dl":{"a1":0,"a2":"","a3":"","s1":0,"s2":0,"s3":0},"sortOrder":0,"act":{}}</v>
      </c>
    </row>
    <row r="198" spans="5:70" x14ac:dyDescent="0.25">
      <c r="E198" s="128"/>
      <c r="F198" s="129"/>
      <c r="G198" s="129"/>
      <c r="H198" s="129"/>
      <c r="I198" s="129"/>
      <c r="J198" s="129"/>
      <c r="K198" s="129"/>
      <c r="L198" s="130"/>
      <c r="M198" s="131"/>
      <c r="N198" s="130"/>
      <c r="O198" s="148">
        <f t="shared" ref="O198:O261" ca="1" si="146">YEAR(TODAY())-K198</f>
        <v>2023</v>
      </c>
      <c r="P198" s="129"/>
      <c r="Q198" s="129"/>
      <c r="R198" s="129"/>
      <c r="S198" s="129"/>
      <c r="T198" s="129"/>
      <c r="U198" s="129"/>
      <c r="V198" s="129"/>
      <c r="W198" s="129"/>
      <c r="X198" s="129"/>
      <c r="Y198" s="132"/>
      <c r="Z198" s="133"/>
      <c r="AA198" s="133"/>
      <c r="AB198" s="134"/>
      <c r="AE198" s="15" t="str">
        <f t="shared" si="112"/>
        <v>A</v>
      </c>
      <c r="AF198" s="8">
        <f t="shared" si="113"/>
        <v>0</v>
      </c>
      <c r="AG198" s="9">
        <f t="shared" si="121"/>
        <v>0</v>
      </c>
      <c r="AH198" s="9" t="str">
        <f t="shared" si="122"/>
        <v/>
      </c>
      <c r="AI198" s="8">
        <f t="shared" si="114"/>
        <v>0</v>
      </c>
      <c r="AJ198" s="45">
        <f t="shared" si="123"/>
        <v>0</v>
      </c>
      <c r="AK198" s="45">
        <f t="shared" si="124"/>
        <v>0</v>
      </c>
      <c r="AL198" s="45">
        <f t="shared" si="125"/>
        <v>0</v>
      </c>
      <c r="AM198" s="8" t="str">
        <f t="shared" si="126"/>
        <v>--</v>
      </c>
      <c r="AN198" s="10">
        <f t="shared" si="127"/>
        <v>0</v>
      </c>
      <c r="AO198" s="10">
        <f t="shared" si="128"/>
        <v>0</v>
      </c>
      <c r="AP198" s="10">
        <f t="shared" si="129"/>
        <v>0</v>
      </c>
      <c r="AQ198" s="10">
        <f t="shared" si="130"/>
        <v>0</v>
      </c>
      <c r="AR198" s="10">
        <f t="shared" si="131"/>
        <v>0</v>
      </c>
      <c r="AS198" s="8">
        <v>23</v>
      </c>
      <c r="AT198" s="9">
        <f t="shared" si="132"/>
        <v>0</v>
      </c>
      <c r="AU198" s="11">
        <f t="shared" si="133"/>
        <v>0</v>
      </c>
      <c r="AV198" s="6"/>
      <c r="AW198" s="6"/>
      <c r="AX198" s="6"/>
      <c r="AZ198" t="str">
        <f t="shared" si="134"/>
        <v>{"group":"A",</v>
      </c>
      <c r="BA198" t="str">
        <f t="shared" si="115"/>
        <v>"lot":0,</v>
      </c>
      <c r="BB198" t="str">
        <f t="shared" si="135"/>
        <v>"name":"0",</v>
      </c>
      <c r="BC198" t="str">
        <f t="shared" si="136"/>
        <v>"team":"",</v>
      </c>
      <c r="BD198" t="str">
        <f t="shared" si="137"/>
        <v>"year":"0",</v>
      </c>
      <c r="BE198" t="str">
        <f t="shared" si="138"/>
        <v>"gender":"0",</v>
      </c>
      <c r="BF198" t="str">
        <f t="shared" si="139"/>
        <v>"gear":"0",</v>
      </c>
      <c r="BG198" t="str">
        <f t="shared" si="140"/>
        <v>"lifts":"0",</v>
      </c>
      <c r="BH198" t="str">
        <f t="shared" si="141"/>
        <v>"division":"--",</v>
      </c>
      <c r="BI198" t="str">
        <f t="shared" si="142"/>
        <v>"wc":"0",</v>
      </c>
      <c r="BJ198" t="str">
        <f t="shared" si="143"/>
        <v>"bw":"",</v>
      </c>
      <c r="BK198" t="str">
        <f t="shared" si="144"/>
        <v>"pb":[0,0,0,0],</v>
      </c>
      <c r="BL198" t="str">
        <f t="shared" si="116"/>
        <v>"idx":"23",</v>
      </c>
      <c r="BM198" t="str">
        <f t="shared" si="117"/>
        <v>"sr":"0",</v>
      </c>
      <c r="BN198" t="str">
        <f t="shared" si="118"/>
        <v>"br":"0",</v>
      </c>
      <c r="BO198" t="str">
        <f t="shared" si="119"/>
        <v>"row":0,</v>
      </c>
      <c r="BP198" t="s">
        <v>55</v>
      </c>
      <c r="BQ198" t="str">
        <f t="shared" si="120"/>
        <v>"sq":{"a1":0,"a2":"","a3":"","s1":0,"s2":0,"s3":0},"bp":{"a1":0,"a2":"","a3":"","s1":0,"s2":0,"s3":0},"dl":{"a1":0,"a2":"","a3":"","s1":0,"s2":0,"s3":0},"sortOrder":0,"act":{}}</v>
      </c>
      <c r="BR198" t="str">
        <f t="shared" si="145"/>
        <v>{"group":"A","lot":0,"name":"0","team":"","year":"0","gender":"0","gear":"0","lifts":"0","division":"--","wc":"0","bw":"","pb":[0,0,0,0],"idx":"23","sr":"0","br":"0","row":0,"sq":{"a1":0,"a2":"","a3":"","s1":0,"s2":0,"s3":0},"bp":{"a1":0,"a2":"","a3":"","s1":0,"s2":0,"s3":0},"dl":{"a1":0,"a2":"","a3":"","s1":0,"s2":0,"s3":0},"sortOrder":0,"act":{}}</v>
      </c>
    </row>
    <row r="199" spans="5:70" x14ac:dyDescent="0.25">
      <c r="E199" s="128"/>
      <c r="F199" s="129"/>
      <c r="G199" s="129"/>
      <c r="H199" s="129"/>
      <c r="I199" s="129"/>
      <c r="J199" s="129"/>
      <c r="K199" s="129"/>
      <c r="L199" s="130"/>
      <c r="M199" s="131"/>
      <c r="N199" s="130"/>
      <c r="O199" s="148">
        <f t="shared" ca="1" si="146"/>
        <v>2023</v>
      </c>
      <c r="P199" s="129"/>
      <c r="Q199" s="129"/>
      <c r="R199" s="129"/>
      <c r="S199" s="129"/>
      <c r="T199" s="129"/>
      <c r="U199" s="129"/>
      <c r="V199" s="129"/>
      <c r="W199" s="129"/>
      <c r="X199" s="129"/>
      <c r="Y199" s="132"/>
      <c r="Z199" s="133"/>
      <c r="AA199" s="133"/>
      <c r="AB199" s="134"/>
      <c r="AE199" s="15" t="str">
        <f t="shared" si="112"/>
        <v>A</v>
      </c>
      <c r="AF199" s="8">
        <f t="shared" si="113"/>
        <v>0</v>
      </c>
      <c r="AG199" s="9">
        <f t="shared" si="121"/>
        <v>0</v>
      </c>
      <c r="AH199" s="9" t="str">
        <f t="shared" si="122"/>
        <v/>
      </c>
      <c r="AI199" s="8">
        <f t="shared" si="114"/>
        <v>0</v>
      </c>
      <c r="AJ199" s="45">
        <f t="shared" si="123"/>
        <v>0</v>
      </c>
      <c r="AK199" s="45">
        <f t="shared" si="124"/>
        <v>0</v>
      </c>
      <c r="AL199" s="45">
        <f t="shared" si="125"/>
        <v>0</v>
      </c>
      <c r="AM199" s="8" t="str">
        <f t="shared" si="126"/>
        <v>--</v>
      </c>
      <c r="AN199" s="10">
        <f t="shared" si="127"/>
        <v>0</v>
      </c>
      <c r="AO199" s="10">
        <f t="shared" si="128"/>
        <v>0</v>
      </c>
      <c r="AP199" s="10">
        <f t="shared" si="129"/>
        <v>0</v>
      </c>
      <c r="AQ199" s="10">
        <f t="shared" si="130"/>
        <v>0</v>
      </c>
      <c r="AR199" s="10">
        <f t="shared" si="131"/>
        <v>0</v>
      </c>
      <c r="AS199" s="8">
        <v>23</v>
      </c>
      <c r="AT199" s="9">
        <f t="shared" si="132"/>
        <v>0</v>
      </c>
      <c r="AU199" s="11">
        <f t="shared" si="133"/>
        <v>0</v>
      </c>
      <c r="AV199" s="6"/>
      <c r="AW199" s="6"/>
      <c r="AX199" s="6"/>
      <c r="AZ199" t="str">
        <f t="shared" si="134"/>
        <v>{"group":"A",</v>
      </c>
      <c r="BA199" t="str">
        <f t="shared" si="115"/>
        <v>"lot":0,</v>
      </c>
      <c r="BB199" t="str">
        <f t="shared" si="135"/>
        <v>"name":"0",</v>
      </c>
      <c r="BC199" t="str">
        <f t="shared" si="136"/>
        <v>"team":"",</v>
      </c>
      <c r="BD199" t="str">
        <f t="shared" si="137"/>
        <v>"year":"0",</v>
      </c>
      <c r="BE199" t="str">
        <f t="shared" si="138"/>
        <v>"gender":"0",</v>
      </c>
      <c r="BF199" t="str">
        <f t="shared" si="139"/>
        <v>"gear":"0",</v>
      </c>
      <c r="BG199" t="str">
        <f t="shared" si="140"/>
        <v>"lifts":"0",</v>
      </c>
      <c r="BH199" t="str">
        <f t="shared" si="141"/>
        <v>"division":"--",</v>
      </c>
      <c r="BI199" t="str">
        <f t="shared" si="142"/>
        <v>"wc":"0",</v>
      </c>
      <c r="BJ199" t="str">
        <f t="shared" si="143"/>
        <v>"bw":"",</v>
      </c>
      <c r="BK199" t="str">
        <f t="shared" si="144"/>
        <v>"pb":[0,0,0,0],</v>
      </c>
      <c r="BL199" t="str">
        <f t="shared" si="116"/>
        <v>"idx":"23",</v>
      </c>
      <c r="BM199" t="str">
        <f t="shared" si="117"/>
        <v>"sr":"0",</v>
      </c>
      <c r="BN199" t="str">
        <f t="shared" si="118"/>
        <v>"br":"0",</v>
      </c>
      <c r="BO199" t="str">
        <f t="shared" si="119"/>
        <v>"row":0,</v>
      </c>
      <c r="BP199" t="s">
        <v>55</v>
      </c>
      <c r="BQ199" t="str">
        <f t="shared" si="120"/>
        <v>"sq":{"a1":0,"a2":"","a3":"","s1":0,"s2":0,"s3":0},"bp":{"a1":0,"a2":"","a3":"","s1":0,"s2":0,"s3":0},"dl":{"a1":0,"a2":"","a3":"","s1":0,"s2":0,"s3":0},"sortOrder":0,"act":{}}</v>
      </c>
      <c r="BR199" t="str">
        <f t="shared" si="145"/>
        <v>{"group":"A","lot":0,"name":"0","team":"","year":"0","gender":"0","gear":"0","lifts":"0","division":"--","wc":"0","bw":"","pb":[0,0,0,0],"idx":"23","sr":"0","br":"0","row":0,"sq":{"a1":0,"a2":"","a3":"","s1":0,"s2":0,"s3":0},"bp":{"a1":0,"a2":"","a3":"","s1":0,"s2":0,"s3":0},"dl":{"a1":0,"a2":"","a3":"","s1":0,"s2":0,"s3":0},"sortOrder":0,"act":{}}</v>
      </c>
    </row>
    <row r="200" spans="5:70" x14ac:dyDescent="0.25">
      <c r="E200" s="128"/>
      <c r="F200" s="129"/>
      <c r="G200" s="129"/>
      <c r="H200" s="129"/>
      <c r="I200" s="129"/>
      <c r="J200" s="129"/>
      <c r="K200" s="129"/>
      <c r="L200" s="130"/>
      <c r="M200" s="131"/>
      <c r="N200" s="130"/>
      <c r="O200" s="148">
        <f t="shared" ca="1" si="146"/>
        <v>2023</v>
      </c>
      <c r="P200" s="129"/>
      <c r="Q200" s="129"/>
      <c r="R200" s="129"/>
      <c r="S200" s="129"/>
      <c r="T200" s="129"/>
      <c r="U200" s="129"/>
      <c r="V200" s="129"/>
      <c r="W200" s="129"/>
      <c r="X200" s="129"/>
      <c r="Y200" s="132"/>
      <c r="Z200" s="133"/>
      <c r="AA200" s="133"/>
      <c r="AB200" s="134"/>
      <c r="AE200" s="15" t="str">
        <f t="shared" si="112"/>
        <v>A</v>
      </c>
      <c r="AF200" s="8">
        <f t="shared" si="113"/>
        <v>0</v>
      </c>
      <c r="AG200" s="9">
        <f t="shared" si="121"/>
        <v>0</v>
      </c>
      <c r="AH200" s="9" t="str">
        <f t="shared" si="122"/>
        <v/>
      </c>
      <c r="AI200" s="8">
        <f t="shared" si="114"/>
        <v>0</v>
      </c>
      <c r="AJ200" s="45">
        <f t="shared" si="123"/>
        <v>0</v>
      </c>
      <c r="AK200" s="45">
        <f t="shared" si="124"/>
        <v>0</v>
      </c>
      <c r="AL200" s="45">
        <f t="shared" si="125"/>
        <v>0</v>
      </c>
      <c r="AM200" s="8" t="str">
        <f t="shared" si="126"/>
        <v>--</v>
      </c>
      <c r="AN200" s="10">
        <f t="shared" si="127"/>
        <v>0</v>
      </c>
      <c r="AO200" s="10">
        <f t="shared" si="128"/>
        <v>0</v>
      </c>
      <c r="AP200" s="10">
        <f t="shared" si="129"/>
        <v>0</v>
      </c>
      <c r="AQ200" s="10">
        <f t="shared" si="130"/>
        <v>0</v>
      </c>
      <c r="AR200" s="10">
        <f t="shared" si="131"/>
        <v>0</v>
      </c>
      <c r="AS200" s="8">
        <v>23</v>
      </c>
      <c r="AT200" s="9">
        <f t="shared" si="132"/>
        <v>0</v>
      </c>
      <c r="AU200" s="11">
        <f t="shared" si="133"/>
        <v>0</v>
      </c>
      <c r="AV200" s="6"/>
      <c r="AW200" s="6"/>
      <c r="AX200" s="6"/>
      <c r="AZ200" t="str">
        <f t="shared" si="134"/>
        <v>{"group":"A",</v>
      </c>
      <c r="BA200" t="str">
        <f t="shared" si="115"/>
        <v>"lot":0,</v>
      </c>
      <c r="BB200" t="str">
        <f t="shared" si="135"/>
        <v>"name":"0",</v>
      </c>
      <c r="BC200" t="str">
        <f t="shared" si="136"/>
        <v>"team":"",</v>
      </c>
      <c r="BD200" t="str">
        <f t="shared" si="137"/>
        <v>"year":"0",</v>
      </c>
      <c r="BE200" t="str">
        <f t="shared" si="138"/>
        <v>"gender":"0",</v>
      </c>
      <c r="BF200" t="str">
        <f t="shared" si="139"/>
        <v>"gear":"0",</v>
      </c>
      <c r="BG200" t="str">
        <f t="shared" si="140"/>
        <v>"lifts":"0",</v>
      </c>
      <c r="BH200" t="str">
        <f t="shared" si="141"/>
        <v>"division":"--",</v>
      </c>
      <c r="BI200" t="str">
        <f t="shared" si="142"/>
        <v>"wc":"0",</v>
      </c>
      <c r="BJ200" t="str">
        <f t="shared" si="143"/>
        <v>"bw":"",</v>
      </c>
      <c r="BK200" t="str">
        <f t="shared" si="144"/>
        <v>"pb":[0,0,0,0],</v>
      </c>
      <c r="BL200" t="str">
        <f t="shared" si="116"/>
        <v>"idx":"23",</v>
      </c>
      <c r="BM200" t="str">
        <f t="shared" si="117"/>
        <v>"sr":"0",</v>
      </c>
      <c r="BN200" t="str">
        <f t="shared" si="118"/>
        <v>"br":"0",</v>
      </c>
      <c r="BO200" t="str">
        <f t="shared" si="119"/>
        <v>"row":0,</v>
      </c>
      <c r="BP200" t="s">
        <v>55</v>
      </c>
      <c r="BQ200" t="str">
        <f t="shared" si="120"/>
        <v>"sq":{"a1":0,"a2":"","a3":"","s1":0,"s2":0,"s3":0},"bp":{"a1":0,"a2":"","a3":"","s1":0,"s2":0,"s3":0},"dl":{"a1":0,"a2":"","a3":"","s1":0,"s2":0,"s3":0},"sortOrder":0,"act":{}}</v>
      </c>
      <c r="BR200" t="str">
        <f t="shared" si="145"/>
        <v>{"group":"A","lot":0,"name":"0","team":"","year":"0","gender":"0","gear":"0","lifts":"0","division":"--","wc":"0","bw":"","pb":[0,0,0,0],"idx":"23","sr":"0","br":"0","row":0,"sq":{"a1":0,"a2":"","a3":"","s1":0,"s2":0,"s3":0},"bp":{"a1":0,"a2":"","a3":"","s1":0,"s2":0,"s3":0},"dl":{"a1":0,"a2":"","a3":"","s1":0,"s2":0,"s3":0},"sortOrder":0,"act":{}}</v>
      </c>
    </row>
    <row r="201" spans="5:70" x14ac:dyDescent="0.25">
      <c r="E201" s="128"/>
      <c r="F201" s="129"/>
      <c r="G201" s="129"/>
      <c r="H201" s="129"/>
      <c r="I201" s="129"/>
      <c r="J201" s="129"/>
      <c r="K201" s="129"/>
      <c r="L201" s="130"/>
      <c r="M201" s="131"/>
      <c r="N201" s="130"/>
      <c r="O201" s="148">
        <f t="shared" ca="1" si="146"/>
        <v>2023</v>
      </c>
      <c r="P201" s="129"/>
      <c r="Q201" s="129"/>
      <c r="R201" s="129"/>
      <c r="S201" s="129"/>
      <c r="T201" s="129"/>
      <c r="U201" s="129"/>
      <c r="V201" s="129"/>
      <c r="W201" s="129"/>
      <c r="X201" s="129"/>
      <c r="Y201" s="132"/>
      <c r="Z201" s="133"/>
      <c r="AA201" s="133"/>
      <c r="AB201" s="134"/>
      <c r="AE201" s="15" t="str">
        <f t="shared" si="112"/>
        <v>A</v>
      </c>
      <c r="AF201" s="8">
        <f t="shared" si="113"/>
        <v>0</v>
      </c>
      <c r="AG201" s="9">
        <f t="shared" si="121"/>
        <v>0</v>
      </c>
      <c r="AH201" s="9" t="str">
        <f t="shared" si="122"/>
        <v/>
      </c>
      <c r="AI201" s="8">
        <f t="shared" si="114"/>
        <v>0</v>
      </c>
      <c r="AJ201" s="45">
        <f t="shared" si="123"/>
        <v>0</v>
      </c>
      <c r="AK201" s="45">
        <f t="shared" si="124"/>
        <v>0</v>
      </c>
      <c r="AL201" s="45">
        <f t="shared" si="125"/>
        <v>0</v>
      </c>
      <c r="AM201" s="8" t="str">
        <f t="shared" si="126"/>
        <v>--</v>
      </c>
      <c r="AN201" s="10">
        <f t="shared" si="127"/>
        <v>0</v>
      </c>
      <c r="AO201" s="10">
        <f t="shared" si="128"/>
        <v>0</v>
      </c>
      <c r="AP201" s="10">
        <f t="shared" si="129"/>
        <v>0</v>
      </c>
      <c r="AQ201" s="10">
        <f t="shared" si="130"/>
        <v>0</v>
      </c>
      <c r="AR201" s="10">
        <f t="shared" si="131"/>
        <v>0</v>
      </c>
      <c r="AS201" s="8">
        <v>23</v>
      </c>
      <c r="AT201" s="9">
        <f t="shared" si="132"/>
        <v>0</v>
      </c>
      <c r="AU201" s="11">
        <f t="shared" si="133"/>
        <v>0</v>
      </c>
      <c r="AV201" s="6"/>
      <c r="AW201" s="6"/>
      <c r="AX201" s="6"/>
      <c r="AZ201" t="str">
        <f t="shared" si="134"/>
        <v>{"group":"A",</v>
      </c>
      <c r="BA201" t="str">
        <f t="shared" si="115"/>
        <v>"lot":0,</v>
      </c>
      <c r="BB201" t="str">
        <f t="shared" si="135"/>
        <v>"name":"0",</v>
      </c>
      <c r="BC201" t="str">
        <f t="shared" si="136"/>
        <v>"team":"",</v>
      </c>
      <c r="BD201" t="str">
        <f t="shared" si="137"/>
        <v>"year":"0",</v>
      </c>
      <c r="BE201" t="str">
        <f t="shared" si="138"/>
        <v>"gender":"0",</v>
      </c>
      <c r="BF201" t="str">
        <f t="shared" si="139"/>
        <v>"gear":"0",</v>
      </c>
      <c r="BG201" t="str">
        <f t="shared" si="140"/>
        <v>"lifts":"0",</v>
      </c>
      <c r="BH201" t="str">
        <f t="shared" si="141"/>
        <v>"division":"--",</v>
      </c>
      <c r="BI201" t="str">
        <f t="shared" si="142"/>
        <v>"wc":"0",</v>
      </c>
      <c r="BJ201" t="str">
        <f t="shared" si="143"/>
        <v>"bw":"",</v>
      </c>
      <c r="BK201" t="str">
        <f t="shared" si="144"/>
        <v>"pb":[0,0,0,0],</v>
      </c>
      <c r="BL201" t="str">
        <f t="shared" si="116"/>
        <v>"idx":"23",</v>
      </c>
      <c r="BM201" t="str">
        <f t="shared" si="117"/>
        <v>"sr":"0",</v>
      </c>
      <c r="BN201" t="str">
        <f t="shared" si="118"/>
        <v>"br":"0",</v>
      </c>
      <c r="BO201" t="str">
        <f t="shared" si="119"/>
        <v>"row":0,</v>
      </c>
      <c r="BP201" t="s">
        <v>55</v>
      </c>
      <c r="BQ201" t="str">
        <f t="shared" si="120"/>
        <v>"sq":{"a1":0,"a2":"","a3":"","s1":0,"s2":0,"s3":0},"bp":{"a1":0,"a2":"","a3":"","s1":0,"s2":0,"s3":0},"dl":{"a1":0,"a2":"","a3":"","s1":0,"s2":0,"s3":0},"sortOrder":0,"act":{}}</v>
      </c>
      <c r="BR201" t="str">
        <f t="shared" si="145"/>
        <v>{"group":"A","lot":0,"name":"0","team":"","year":"0","gender":"0","gear":"0","lifts":"0","division":"--","wc":"0","bw":"","pb":[0,0,0,0],"idx":"23","sr":"0","br":"0","row":0,"sq":{"a1":0,"a2":"","a3":"","s1":0,"s2":0,"s3":0},"bp":{"a1":0,"a2":"","a3":"","s1":0,"s2":0,"s3":0},"dl":{"a1":0,"a2":"","a3":"","s1":0,"s2":0,"s3":0},"sortOrder":0,"act":{}}</v>
      </c>
    </row>
    <row r="202" spans="5:70" x14ac:dyDescent="0.25">
      <c r="E202" s="128"/>
      <c r="F202" s="129"/>
      <c r="G202" s="129"/>
      <c r="H202" s="129"/>
      <c r="I202" s="129"/>
      <c r="J202" s="129"/>
      <c r="K202" s="129"/>
      <c r="L202" s="130"/>
      <c r="M202" s="131"/>
      <c r="N202" s="130"/>
      <c r="O202" s="148">
        <f t="shared" ca="1" si="146"/>
        <v>2023</v>
      </c>
      <c r="P202" s="129"/>
      <c r="Q202" s="129"/>
      <c r="R202" s="129"/>
      <c r="S202" s="129"/>
      <c r="T202" s="129"/>
      <c r="U202" s="129"/>
      <c r="V202" s="129"/>
      <c r="W202" s="129"/>
      <c r="X202" s="129"/>
      <c r="Y202" s="132"/>
      <c r="Z202" s="133"/>
      <c r="AA202" s="133"/>
      <c r="AB202" s="134"/>
      <c r="AE202" s="15" t="str">
        <f t="shared" si="112"/>
        <v>A</v>
      </c>
      <c r="AF202" s="8">
        <f t="shared" si="113"/>
        <v>0</v>
      </c>
      <c r="AG202" s="9">
        <f t="shared" si="121"/>
        <v>0</v>
      </c>
      <c r="AH202" s="9" t="str">
        <f t="shared" si="122"/>
        <v/>
      </c>
      <c r="AI202" s="8">
        <f t="shared" si="114"/>
        <v>0</v>
      </c>
      <c r="AJ202" s="45">
        <f t="shared" si="123"/>
        <v>0</v>
      </c>
      <c r="AK202" s="45">
        <f t="shared" si="124"/>
        <v>0</v>
      </c>
      <c r="AL202" s="45">
        <f t="shared" si="125"/>
        <v>0</v>
      </c>
      <c r="AM202" s="8" t="str">
        <f t="shared" si="126"/>
        <v>--</v>
      </c>
      <c r="AN202" s="10">
        <f t="shared" si="127"/>
        <v>0</v>
      </c>
      <c r="AO202" s="10">
        <f t="shared" si="128"/>
        <v>0</v>
      </c>
      <c r="AP202" s="10">
        <f t="shared" si="129"/>
        <v>0</v>
      </c>
      <c r="AQ202" s="10">
        <f t="shared" si="130"/>
        <v>0</v>
      </c>
      <c r="AR202" s="10">
        <f t="shared" si="131"/>
        <v>0</v>
      </c>
      <c r="AS202" s="8">
        <v>23</v>
      </c>
      <c r="AT202" s="9">
        <f t="shared" si="132"/>
        <v>0</v>
      </c>
      <c r="AU202" s="11">
        <f t="shared" si="133"/>
        <v>0</v>
      </c>
      <c r="AV202" s="6"/>
      <c r="AW202" s="6"/>
      <c r="AX202" s="6"/>
      <c r="AZ202" t="str">
        <f t="shared" si="134"/>
        <v>{"group":"A",</v>
      </c>
      <c r="BA202" t="str">
        <f t="shared" si="115"/>
        <v>"lot":0,</v>
      </c>
      <c r="BB202" t="str">
        <f t="shared" si="135"/>
        <v>"name":"0",</v>
      </c>
      <c r="BC202" t="str">
        <f t="shared" si="136"/>
        <v>"team":"",</v>
      </c>
      <c r="BD202" t="str">
        <f t="shared" si="137"/>
        <v>"year":"0",</v>
      </c>
      <c r="BE202" t="str">
        <f t="shared" si="138"/>
        <v>"gender":"0",</v>
      </c>
      <c r="BF202" t="str">
        <f t="shared" si="139"/>
        <v>"gear":"0",</v>
      </c>
      <c r="BG202" t="str">
        <f t="shared" si="140"/>
        <v>"lifts":"0",</v>
      </c>
      <c r="BH202" t="str">
        <f t="shared" si="141"/>
        <v>"division":"--",</v>
      </c>
      <c r="BI202" t="str">
        <f t="shared" si="142"/>
        <v>"wc":"0",</v>
      </c>
      <c r="BJ202" t="str">
        <f t="shared" si="143"/>
        <v>"bw":"",</v>
      </c>
      <c r="BK202" t="str">
        <f t="shared" si="144"/>
        <v>"pb":[0,0,0,0],</v>
      </c>
      <c r="BL202" t="str">
        <f t="shared" si="116"/>
        <v>"idx":"23",</v>
      </c>
      <c r="BM202" t="str">
        <f t="shared" si="117"/>
        <v>"sr":"0",</v>
      </c>
      <c r="BN202" t="str">
        <f t="shared" si="118"/>
        <v>"br":"0",</v>
      </c>
      <c r="BO202" t="str">
        <f t="shared" si="119"/>
        <v>"row":0,</v>
      </c>
      <c r="BP202" t="s">
        <v>55</v>
      </c>
      <c r="BQ202" t="str">
        <f t="shared" si="120"/>
        <v>"sq":{"a1":0,"a2":"","a3":"","s1":0,"s2":0,"s3":0},"bp":{"a1":0,"a2":"","a3":"","s1":0,"s2":0,"s3":0},"dl":{"a1":0,"a2":"","a3":"","s1":0,"s2":0,"s3":0},"sortOrder":0,"act":{}}</v>
      </c>
      <c r="BR202" t="str">
        <f t="shared" si="145"/>
        <v>{"group":"A","lot":0,"name":"0","team":"","year":"0","gender":"0","gear":"0","lifts":"0","division":"--","wc":"0","bw":"","pb":[0,0,0,0],"idx":"23","sr":"0","br":"0","row":0,"sq":{"a1":0,"a2":"","a3":"","s1":0,"s2":0,"s3":0},"bp":{"a1":0,"a2":"","a3":"","s1":0,"s2":0,"s3":0},"dl":{"a1":0,"a2":"","a3":"","s1":0,"s2":0,"s3":0},"sortOrder":0,"act":{}}</v>
      </c>
    </row>
    <row r="203" spans="5:70" x14ac:dyDescent="0.25">
      <c r="E203" s="128"/>
      <c r="F203" s="129"/>
      <c r="G203" s="129"/>
      <c r="H203" s="129"/>
      <c r="I203" s="129"/>
      <c r="J203" s="129"/>
      <c r="K203" s="129"/>
      <c r="L203" s="130"/>
      <c r="M203" s="131"/>
      <c r="N203" s="130"/>
      <c r="O203" s="148">
        <f t="shared" ca="1" si="146"/>
        <v>2023</v>
      </c>
      <c r="P203" s="129"/>
      <c r="Q203" s="129"/>
      <c r="R203" s="129"/>
      <c r="S203" s="129"/>
      <c r="T203" s="129"/>
      <c r="U203" s="129"/>
      <c r="V203" s="129"/>
      <c r="W203" s="129"/>
      <c r="X203" s="129"/>
      <c r="Y203" s="132"/>
      <c r="Z203" s="133"/>
      <c r="AA203" s="133"/>
      <c r="AB203" s="134"/>
      <c r="AE203" s="15" t="str">
        <f t="shared" si="112"/>
        <v>A</v>
      </c>
      <c r="AF203" s="8">
        <f t="shared" si="113"/>
        <v>0</v>
      </c>
      <c r="AG203" s="9">
        <f t="shared" si="121"/>
        <v>0</v>
      </c>
      <c r="AH203" s="9" t="str">
        <f t="shared" si="122"/>
        <v/>
      </c>
      <c r="AI203" s="8">
        <f t="shared" si="114"/>
        <v>0</v>
      </c>
      <c r="AJ203" s="45">
        <f t="shared" si="123"/>
        <v>0</v>
      </c>
      <c r="AK203" s="45">
        <f t="shared" si="124"/>
        <v>0</v>
      </c>
      <c r="AL203" s="45">
        <f t="shared" si="125"/>
        <v>0</v>
      </c>
      <c r="AM203" s="8" t="str">
        <f t="shared" si="126"/>
        <v>--</v>
      </c>
      <c r="AN203" s="10">
        <f t="shared" si="127"/>
        <v>0</v>
      </c>
      <c r="AO203" s="10">
        <f t="shared" si="128"/>
        <v>0</v>
      </c>
      <c r="AP203" s="10">
        <f t="shared" si="129"/>
        <v>0</v>
      </c>
      <c r="AQ203" s="10">
        <f t="shared" si="130"/>
        <v>0</v>
      </c>
      <c r="AR203" s="10">
        <f t="shared" si="131"/>
        <v>0</v>
      </c>
      <c r="AS203" s="8">
        <v>23</v>
      </c>
      <c r="AT203" s="9">
        <f t="shared" si="132"/>
        <v>0</v>
      </c>
      <c r="AU203" s="11">
        <f t="shared" si="133"/>
        <v>0</v>
      </c>
      <c r="AV203" s="6"/>
      <c r="AW203" s="6"/>
      <c r="AX203" s="6"/>
      <c r="AZ203" t="str">
        <f t="shared" si="134"/>
        <v>{"group":"A",</v>
      </c>
      <c r="BA203" t="str">
        <f t="shared" si="115"/>
        <v>"lot":0,</v>
      </c>
      <c r="BB203" t="str">
        <f t="shared" si="135"/>
        <v>"name":"0",</v>
      </c>
      <c r="BC203" t="str">
        <f t="shared" si="136"/>
        <v>"team":"",</v>
      </c>
      <c r="BD203" t="str">
        <f t="shared" si="137"/>
        <v>"year":"0",</v>
      </c>
      <c r="BE203" t="str">
        <f t="shared" si="138"/>
        <v>"gender":"0",</v>
      </c>
      <c r="BF203" t="str">
        <f t="shared" si="139"/>
        <v>"gear":"0",</v>
      </c>
      <c r="BG203" t="str">
        <f t="shared" si="140"/>
        <v>"lifts":"0",</v>
      </c>
      <c r="BH203" t="str">
        <f t="shared" si="141"/>
        <v>"division":"--",</v>
      </c>
      <c r="BI203" t="str">
        <f t="shared" si="142"/>
        <v>"wc":"0",</v>
      </c>
      <c r="BJ203" t="str">
        <f t="shared" si="143"/>
        <v>"bw":"",</v>
      </c>
      <c r="BK203" t="str">
        <f t="shared" si="144"/>
        <v>"pb":[0,0,0,0],</v>
      </c>
      <c r="BL203" t="str">
        <f t="shared" si="116"/>
        <v>"idx":"23",</v>
      </c>
      <c r="BM203" t="str">
        <f t="shared" si="117"/>
        <v>"sr":"0",</v>
      </c>
      <c r="BN203" t="str">
        <f t="shared" si="118"/>
        <v>"br":"0",</v>
      </c>
      <c r="BO203" t="str">
        <f t="shared" si="119"/>
        <v>"row":0,</v>
      </c>
      <c r="BP203" t="s">
        <v>55</v>
      </c>
      <c r="BQ203" t="str">
        <f t="shared" si="120"/>
        <v>"sq":{"a1":0,"a2":"","a3":"","s1":0,"s2":0,"s3":0},"bp":{"a1":0,"a2":"","a3":"","s1":0,"s2":0,"s3":0},"dl":{"a1":0,"a2":"","a3":"","s1":0,"s2":0,"s3":0},"sortOrder":0,"act":{}}</v>
      </c>
      <c r="BR203" t="str">
        <f t="shared" si="145"/>
        <v>{"group":"A","lot":0,"name":"0","team":"","year":"0","gender":"0","gear":"0","lifts":"0","division":"--","wc":"0","bw":"","pb":[0,0,0,0],"idx":"23","sr":"0","br":"0","row":0,"sq":{"a1":0,"a2":"","a3":"","s1":0,"s2":0,"s3":0},"bp":{"a1":0,"a2":"","a3":"","s1":0,"s2":0,"s3":0},"dl":{"a1":0,"a2":"","a3":"","s1":0,"s2":0,"s3":0},"sortOrder":0,"act":{}}</v>
      </c>
    </row>
    <row r="204" spans="5:70" x14ac:dyDescent="0.25">
      <c r="E204" s="128"/>
      <c r="F204" s="129"/>
      <c r="G204" s="129"/>
      <c r="H204" s="129"/>
      <c r="I204" s="129"/>
      <c r="J204" s="129"/>
      <c r="K204" s="129"/>
      <c r="L204" s="130"/>
      <c r="M204" s="131"/>
      <c r="N204" s="130"/>
      <c r="O204" s="148">
        <f t="shared" ca="1" si="146"/>
        <v>2023</v>
      </c>
      <c r="P204" s="129"/>
      <c r="Q204" s="129"/>
      <c r="R204" s="129"/>
      <c r="S204" s="129"/>
      <c r="T204" s="129"/>
      <c r="U204" s="129"/>
      <c r="V204" s="129"/>
      <c r="W204" s="129"/>
      <c r="X204" s="129"/>
      <c r="Y204" s="132"/>
      <c r="Z204" s="133"/>
      <c r="AA204" s="133"/>
      <c r="AB204" s="134"/>
      <c r="AE204" s="15" t="str">
        <f t="shared" si="112"/>
        <v>A</v>
      </c>
      <c r="AF204" s="8">
        <f t="shared" si="113"/>
        <v>0</v>
      </c>
      <c r="AG204" s="9">
        <f t="shared" si="121"/>
        <v>0</v>
      </c>
      <c r="AH204" s="9" t="str">
        <f t="shared" si="122"/>
        <v/>
      </c>
      <c r="AI204" s="8">
        <f t="shared" si="114"/>
        <v>0</v>
      </c>
      <c r="AJ204" s="45">
        <f t="shared" si="123"/>
        <v>0</v>
      </c>
      <c r="AK204" s="45">
        <f t="shared" si="124"/>
        <v>0</v>
      </c>
      <c r="AL204" s="45">
        <f t="shared" si="125"/>
        <v>0</v>
      </c>
      <c r="AM204" s="8" t="str">
        <f t="shared" si="126"/>
        <v>--</v>
      </c>
      <c r="AN204" s="10">
        <f t="shared" si="127"/>
        <v>0</v>
      </c>
      <c r="AO204" s="10">
        <f t="shared" si="128"/>
        <v>0</v>
      </c>
      <c r="AP204" s="10">
        <f t="shared" si="129"/>
        <v>0</v>
      </c>
      <c r="AQ204" s="10">
        <f t="shared" si="130"/>
        <v>0</v>
      </c>
      <c r="AR204" s="10">
        <f t="shared" si="131"/>
        <v>0</v>
      </c>
      <c r="AS204" s="8">
        <v>23</v>
      </c>
      <c r="AT204" s="9">
        <f t="shared" si="132"/>
        <v>0</v>
      </c>
      <c r="AU204" s="11">
        <f t="shared" si="133"/>
        <v>0</v>
      </c>
      <c r="AV204" s="6"/>
      <c r="AW204" s="6"/>
      <c r="AX204" s="6"/>
      <c r="AZ204" t="str">
        <f t="shared" si="134"/>
        <v>{"group":"A",</v>
      </c>
      <c r="BA204" t="str">
        <f t="shared" si="115"/>
        <v>"lot":0,</v>
      </c>
      <c r="BB204" t="str">
        <f t="shared" si="135"/>
        <v>"name":"0",</v>
      </c>
      <c r="BC204" t="str">
        <f t="shared" si="136"/>
        <v>"team":"",</v>
      </c>
      <c r="BD204" t="str">
        <f t="shared" si="137"/>
        <v>"year":"0",</v>
      </c>
      <c r="BE204" t="str">
        <f t="shared" si="138"/>
        <v>"gender":"0",</v>
      </c>
      <c r="BF204" t="str">
        <f t="shared" si="139"/>
        <v>"gear":"0",</v>
      </c>
      <c r="BG204" t="str">
        <f t="shared" si="140"/>
        <v>"lifts":"0",</v>
      </c>
      <c r="BH204" t="str">
        <f t="shared" si="141"/>
        <v>"division":"--",</v>
      </c>
      <c r="BI204" t="str">
        <f t="shared" si="142"/>
        <v>"wc":"0",</v>
      </c>
      <c r="BJ204" t="str">
        <f t="shared" si="143"/>
        <v>"bw":"",</v>
      </c>
      <c r="BK204" t="str">
        <f t="shared" si="144"/>
        <v>"pb":[0,0,0,0],</v>
      </c>
      <c r="BL204" t="str">
        <f t="shared" si="116"/>
        <v>"idx":"23",</v>
      </c>
      <c r="BM204" t="str">
        <f t="shared" si="117"/>
        <v>"sr":"0",</v>
      </c>
      <c r="BN204" t="str">
        <f t="shared" si="118"/>
        <v>"br":"0",</v>
      </c>
      <c r="BO204" t="str">
        <f t="shared" si="119"/>
        <v>"row":0,</v>
      </c>
      <c r="BP204" t="s">
        <v>55</v>
      </c>
      <c r="BQ204" t="str">
        <f t="shared" si="120"/>
        <v>"sq":{"a1":0,"a2":"","a3":"","s1":0,"s2":0,"s3":0},"bp":{"a1":0,"a2":"","a3":"","s1":0,"s2":0,"s3":0},"dl":{"a1":0,"a2":"","a3":"","s1":0,"s2":0,"s3":0},"sortOrder":0,"act":{}}</v>
      </c>
      <c r="BR204" t="str">
        <f t="shared" si="145"/>
        <v>{"group":"A","lot":0,"name":"0","team":"","year":"0","gender":"0","gear":"0","lifts":"0","division":"--","wc":"0","bw":"","pb":[0,0,0,0],"idx":"23","sr":"0","br":"0","row":0,"sq":{"a1":0,"a2":"","a3":"","s1":0,"s2":0,"s3":0},"bp":{"a1":0,"a2":"","a3":"","s1":0,"s2":0,"s3":0},"dl":{"a1":0,"a2":"","a3":"","s1":0,"s2":0,"s3":0},"sortOrder":0,"act":{}}</v>
      </c>
    </row>
    <row r="205" spans="5:70" x14ac:dyDescent="0.25">
      <c r="E205" s="128"/>
      <c r="F205" s="129"/>
      <c r="G205" s="129"/>
      <c r="H205" s="129"/>
      <c r="I205" s="129"/>
      <c r="J205" s="129"/>
      <c r="K205" s="129"/>
      <c r="L205" s="130"/>
      <c r="M205" s="131"/>
      <c r="N205" s="130"/>
      <c r="O205" s="148">
        <f t="shared" ca="1" si="146"/>
        <v>2023</v>
      </c>
      <c r="P205" s="129"/>
      <c r="Q205" s="129"/>
      <c r="R205" s="129"/>
      <c r="S205" s="129"/>
      <c r="T205" s="129"/>
      <c r="U205" s="129"/>
      <c r="V205" s="129"/>
      <c r="W205" s="129"/>
      <c r="X205" s="129"/>
      <c r="Y205" s="132"/>
      <c r="Z205" s="133"/>
      <c r="AA205" s="133"/>
      <c r="AB205" s="134"/>
      <c r="AE205" s="15" t="str">
        <f t="shared" si="112"/>
        <v>A</v>
      </c>
      <c r="AF205" s="8">
        <f t="shared" si="113"/>
        <v>0</v>
      </c>
      <c r="AG205" s="9">
        <f t="shared" si="121"/>
        <v>0</v>
      </c>
      <c r="AH205" s="9" t="str">
        <f t="shared" si="122"/>
        <v/>
      </c>
      <c r="AI205" s="8">
        <f t="shared" si="114"/>
        <v>0</v>
      </c>
      <c r="AJ205" s="45">
        <f t="shared" si="123"/>
        <v>0</v>
      </c>
      <c r="AK205" s="45">
        <f t="shared" si="124"/>
        <v>0</v>
      </c>
      <c r="AL205" s="45">
        <f t="shared" si="125"/>
        <v>0</v>
      </c>
      <c r="AM205" s="8" t="str">
        <f t="shared" si="126"/>
        <v>--</v>
      </c>
      <c r="AN205" s="10">
        <f t="shared" si="127"/>
        <v>0</v>
      </c>
      <c r="AO205" s="10">
        <f t="shared" si="128"/>
        <v>0</v>
      </c>
      <c r="AP205" s="10">
        <f t="shared" si="129"/>
        <v>0</v>
      </c>
      <c r="AQ205" s="10">
        <f t="shared" si="130"/>
        <v>0</v>
      </c>
      <c r="AR205" s="10">
        <f t="shared" si="131"/>
        <v>0</v>
      </c>
      <c r="AS205" s="8">
        <v>23</v>
      </c>
      <c r="AT205" s="9">
        <f t="shared" si="132"/>
        <v>0</v>
      </c>
      <c r="AU205" s="11">
        <f t="shared" si="133"/>
        <v>0</v>
      </c>
      <c r="AV205" s="6"/>
      <c r="AW205" s="6"/>
      <c r="AX205" s="6"/>
      <c r="AZ205" t="str">
        <f t="shared" si="134"/>
        <v>{"group":"A",</v>
      </c>
      <c r="BA205" t="str">
        <f t="shared" si="115"/>
        <v>"lot":0,</v>
      </c>
      <c r="BB205" t="str">
        <f t="shared" si="135"/>
        <v>"name":"0",</v>
      </c>
      <c r="BC205" t="str">
        <f t="shared" si="136"/>
        <v>"team":"",</v>
      </c>
      <c r="BD205" t="str">
        <f t="shared" si="137"/>
        <v>"year":"0",</v>
      </c>
      <c r="BE205" t="str">
        <f t="shared" si="138"/>
        <v>"gender":"0",</v>
      </c>
      <c r="BF205" t="str">
        <f t="shared" si="139"/>
        <v>"gear":"0",</v>
      </c>
      <c r="BG205" t="str">
        <f t="shared" si="140"/>
        <v>"lifts":"0",</v>
      </c>
      <c r="BH205" t="str">
        <f t="shared" si="141"/>
        <v>"division":"--",</v>
      </c>
      <c r="BI205" t="str">
        <f t="shared" si="142"/>
        <v>"wc":"0",</v>
      </c>
      <c r="BJ205" t="str">
        <f t="shared" si="143"/>
        <v>"bw":"",</v>
      </c>
      <c r="BK205" t="str">
        <f t="shared" si="144"/>
        <v>"pb":[0,0,0,0],</v>
      </c>
      <c r="BL205" t="str">
        <f t="shared" si="116"/>
        <v>"idx":"23",</v>
      </c>
      <c r="BM205" t="str">
        <f t="shared" si="117"/>
        <v>"sr":"0",</v>
      </c>
      <c r="BN205" t="str">
        <f t="shared" si="118"/>
        <v>"br":"0",</v>
      </c>
      <c r="BO205" t="str">
        <f t="shared" si="119"/>
        <v>"row":0,</v>
      </c>
      <c r="BP205" t="s">
        <v>55</v>
      </c>
      <c r="BQ205" t="str">
        <f t="shared" si="120"/>
        <v>"sq":{"a1":0,"a2":"","a3":"","s1":0,"s2":0,"s3":0},"bp":{"a1":0,"a2":"","a3":"","s1":0,"s2":0,"s3":0},"dl":{"a1":0,"a2":"","a3":"","s1":0,"s2":0,"s3":0},"sortOrder":0,"act":{}}</v>
      </c>
      <c r="BR205" t="str">
        <f t="shared" si="145"/>
        <v>{"group":"A","lot":0,"name":"0","team":"","year":"0","gender":"0","gear":"0","lifts":"0","division":"--","wc":"0","bw":"","pb":[0,0,0,0],"idx":"23","sr":"0","br":"0","row":0,"sq":{"a1":0,"a2":"","a3":"","s1":0,"s2":0,"s3":0},"bp":{"a1":0,"a2":"","a3":"","s1":0,"s2":0,"s3":0},"dl":{"a1":0,"a2":"","a3":"","s1":0,"s2":0,"s3":0},"sortOrder":0,"act":{}}</v>
      </c>
    </row>
    <row r="206" spans="5:70" x14ac:dyDescent="0.25">
      <c r="E206" s="128"/>
      <c r="F206" s="129"/>
      <c r="G206" s="129"/>
      <c r="H206" s="129"/>
      <c r="I206" s="129"/>
      <c r="J206" s="129"/>
      <c r="K206" s="129"/>
      <c r="L206" s="130"/>
      <c r="M206" s="131"/>
      <c r="N206" s="130"/>
      <c r="O206" s="148">
        <f t="shared" ca="1" si="146"/>
        <v>2023</v>
      </c>
      <c r="P206" s="129"/>
      <c r="Q206" s="129"/>
      <c r="R206" s="129"/>
      <c r="S206" s="129"/>
      <c r="T206" s="129"/>
      <c r="U206" s="129"/>
      <c r="V206" s="129"/>
      <c r="W206" s="129"/>
      <c r="X206" s="129"/>
      <c r="Y206" s="132"/>
      <c r="Z206" s="133"/>
      <c r="AA206" s="133"/>
      <c r="AB206" s="134"/>
      <c r="AE206" s="15" t="str">
        <f t="shared" si="112"/>
        <v>A</v>
      </c>
      <c r="AF206" s="8">
        <f t="shared" si="113"/>
        <v>0</v>
      </c>
      <c r="AG206" s="9">
        <f t="shared" si="121"/>
        <v>0</v>
      </c>
      <c r="AH206" s="9" t="str">
        <f t="shared" si="122"/>
        <v/>
      </c>
      <c r="AI206" s="8">
        <f t="shared" si="114"/>
        <v>0</v>
      </c>
      <c r="AJ206" s="45">
        <f t="shared" si="123"/>
        <v>0</v>
      </c>
      <c r="AK206" s="45">
        <f t="shared" si="124"/>
        <v>0</v>
      </c>
      <c r="AL206" s="45">
        <f t="shared" si="125"/>
        <v>0</v>
      </c>
      <c r="AM206" s="8" t="str">
        <f t="shared" si="126"/>
        <v>--</v>
      </c>
      <c r="AN206" s="10">
        <f t="shared" si="127"/>
        <v>0</v>
      </c>
      <c r="AO206" s="10">
        <f t="shared" si="128"/>
        <v>0</v>
      </c>
      <c r="AP206" s="10">
        <f t="shared" si="129"/>
        <v>0</v>
      </c>
      <c r="AQ206" s="10">
        <f t="shared" si="130"/>
        <v>0</v>
      </c>
      <c r="AR206" s="10">
        <f t="shared" si="131"/>
        <v>0</v>
      </c>
      <c r="AS206" s="8">
        <v>23</v>
      </c>
      <c r="AT206" s="9">
        <f t="shared" si="132"/>
        <v>0</v>
      </c>
      <c r="AU206" s="11">
        <f t="shared" si="133"/>
        <v>0</v>
      </c>
      <c r="AV206" s="6"/>
      <c r="AW206" s="6"/>
      <c r="AX206" s="6"/>
      <c r="AZ206" t="str">
        <f t="shared" si="134"/>
        <v>{"group":"A",</v>
      </c>
      <c r="BA206" t="str">
        <f t="shared" si="115"/>
        <v>"lot":0,</v>
      </c>
      <c r="BB206" t="str">
        <f t="shared" si="135"/>
        <v>"name":"0",</v>
      </c>
      <c r="BC206" t="str">
        <f t="shared" si="136"/>
        <v>"team":"",</v>
      </c>
      <c r="BD206" t="str">
        <f t="shared" si="137"/>
        <v>"year":"0",</v>
      </c>
      <c r="BE206" t="str">
        <f t="shared" si="138"/>
        <v>"gender":"0",</v>
      </c>
      <c r="BF206" t="str">
        <f t="shared" si="139"/>
        <v>"gear":"0",</v>
      </c>
      <c r="BG206" t="str">
        <f t="shared" si="140"/>
        <v>"lifts":"0",</v>
      </c>
      <c r="BH206" t="str">
        <f t="shared" si="141"/>
        <v>"division":"--",</v>
      </c>
      <c r="BI206" t="str">
        <f t="shared" si="142"/>
        <v>"wc":"0",</v>
      </c>
      <c r="BJ206" t="str">
        <f t="shared" si="143"/>
        <v>"bw":"",</v>
      </c>
      <c r="BK206" t="str">
        <f t="shared" si="144"/>
        <v>"pb":[0,0,0,0],</v>
      </c>
      <c r="BL206" t="str">
        <f t="shared" si="116"/>
        <v>"idx":"23",</v>
      </c>
      <c r="BM206" t="str">
        <f t="shared" si="117"/>
        <v>"sr":"0",</v>
      </c>
      <c r="BN206" t="str">
        <f t="shared" si="118"/>
        <v>"br":"0",</v>
      </c>
      <c r="BO206" t="str">
        <f t="shared" si="119"/>
        <v>"row":0,</v>
      </c>
      <c r="BP206" t="s">
        <v>55</v>
      </c>
      <c r="BQ206" t="str">
        <f t="shared" si="120"/>
        <v>"sq":{"a1":0,"a2":"","a3":"","s1":0,"s2":0,"s3":0},"bp":{"a1":0,"a2":"","a3":"","s1":0,"s2":0,"s3":0},"dl":{"a1":0,"a2":"","a3":"","s1":0,"s2":0,"s3":0},"sortOrder":0,"act":{}}</v>
      </c>
      <c r="BR206" t="str">
        <f t="shared" si="145"/>
        <v>{"group":"A","lot":0,"name":"0","team":"","year":"0","gender":"0","gear":"0","lifts":"0","division":"--","wc":"0","bw":"","pb":[0,0,0,0],"idx":"23","sr":"0","br":"0","row":0,"sq":{"a1":0,"a2":"","a3":"","s1":0,"s2":0,"s3":0},"bp":{"a1":0,"a2":"","a3":"","s1":0,"s2":0,"s3":0},"dl":{"a1":0,"a2":"","a3":"","s1":0,"s2":0,"s3":0},"sortOrder":0,"act":{}}</v>
      </c>
    </row>
    <row r="207" spans="5:70" x14ac:dyDescent="0.25">
      <c r="E207" s="128"/>
      <c r="F207" s="129"/>
      <c r="G207" s="129"/>
      <c r="H207" s="129"/>
      <c r="I207" s="129"/>
      <c r="J207" s="129"/>
      <c r="K207" s="129"/>
      <c r="L207" s="130"/>
      <c r="M207" s="131"/>
      <c r="N207" s="130"/>
      <c r="O207" s="148">
        <f t="shared" ca="1" si="146"/>
        <v>2023</v>
      </c>
      <c r="P207" s="129"/>
      <c r="Q207" s="129"/>
      <c r="R207" s="129"/>
      <c r="S207" s="129"/>
      <c r="T207" s="129"/>
      <c r="U207" s="129"/>
      <c r="V207" s="129"/>
      <c r="W207" s="129"/>
      <c r="X207" s="129"/>
      <c r="Y207" s="132"/>
      <c r="Z207" s="133"/>
      <c r="AA207" s="133"/>
      <c r="AB207" s="134"/>
      <c r="AE207" s="15" t="str">
        <f t="shared" si="112"/>
        <v>A</v>
      </c>
      <c r="AF207" s="8">
        <f t="shared" si="113"/>
        <v>0</v>
      </c>
      <c r="AG207" s="9">
        <f t="shared" si="121"/>
        <v>0</v>
      </c>
      <c r="AH207" s="9" t="str">
        <f t="shared" si="122"/>
        <v/>
      </c>
      <c r="AI207" s="8">
        <f t="shared" si="114"/>
        <v>0</v>
      </c>
      <c r="AJ207" s="45">
        <f t="shared" si="123"/>
        <v>0</v>
      </c>
      <c r="AK207" s="45">
        <f t="shared" si="124"/>
        <v>0</v>
      </c>
      <c r="AL207" s="45">
        <f t="shared" si="125"/>
        <v>0</v>
      </c>
      <c r="AM207" s="8" t="str">
        <f t="shared" si="126"/>
        <v>--</v>
      </c>
      <c r="AN207" s="10">
        <f t="shared" si="127"/>
        <v>0</v>
      </c>
      <c r="AO207" s="10">
        <f t="shared" si="128"/>
        <v>0</v>
      </c>
      <c r="AP207" s="10">
        <f t="shared" si="129"/>
        <v>0</v>
      </c>
      <c r="AQ207" s="10">
        <f t="shared" si="130"/>
        <v>0</v>
      </c>
      <c r="AR207" s="10">
        <f t="shared" si="131"/>
        <v>0</v>
      </c>
      <c r="AS207" s="8">
        <v>23</v>
      </c>
      <c r="AT207" s="9">
        <f t="shared" si="132"/>
        <v>0</v>
      </c>
      <c r="AU207" s="11">
        <f t="shared" si="133"/>
        <v>0</v>
      </c>
      <c r="AV207" s="6"/>
      <c r="AW207" s="6"/>
      <c r="AX207" s="6"/>
      <c r="AZ207" t="str">
        <f t="shared" si="134"/>
        <v>{"group":"A",</v>
      </c>
      <c r="BA207" t="str">
        <f t="shared" si="115"/>
        <v>"lot":0,</v>
      </c>
      <c r="BB207" t="str">
        <f t="shared" si="135"/>
        <v>"name":"0",</v>
      </c>
      <c r="BC207" t="str">
        <f t="shared" si="136"/>
        <v>"team":"",</v>
      </c>
      <c r="BD207" t="str">
        <f t="shared" si="137"/>
        <v>"year":"0",</v>
      </c>
      <c r="BE207" t="str">
        <f t="shared" si="138"/>
        <v>"gender":"0",</v>
      </c>
      <c r="BF207" t="str">
        <f t="shared" si="139"/>
        <v>"gear":"0",</v>
      </c>
      <c r="BG207" t="str">
        <f t="shared" si="140"/>
        <v>"lifts":"0",</v>
      </c>
      <c r="BH207" t="str">
        <f t="shared" si="141"/>
        <v>"division":"--",</v>
      </c>
      <c r="BI207" t="str">
        <f t="shared" si="142"/>
        <v>"wc":"0",</v>
      </c>
      <c r="BJ207" t="str">
        <f t="shared" si="143"/>
        <v>"bw":"",</v>
      </c>
      <c r="BK207" t="str">
        <f t="shared" si="144"/>
        <v>"pb":[0,0,0,0],</v>
      </c>
      <c r="BL207" t="str">
        <f t="shared" si="116"/>
        <v>"idx":"23",</v>
      </c>
      <c r="BM207" t="str">
        <f t="shared" si="117"/>
        <v>"sr":"0",</v>
      </c>
      <c r="BN207" t="str">
        <f t="shared" si="118"/>
        <v>"br":"0",</v>
      </c>
      <c r="BO207" t="str">
        <f t="shared" si="119"/>
        <v>"row":0,</v>
      </c>
      <c r="BP207" t="s">
        <v>55</v>
      </c>
      <c r="BQ207" t="str">
        <f t="shared" si="120"/>
        <v>"sq":{"a1":0,"a2":"","a3":"","s1":0,"s2":0,"s3":0},"bp":{"a1":0,"a2":"","a3":"","s1":0,"s2":0,"s3":0},"dl":{"a1":0,"a2":"","a3":"","s1":0,"s2":0,"s3":0},"sortOrder":0,"act":{}}</v>
      </c>
      <c r="BR207" t="str">
        <f t="shared" si="145"/>
        <v>{"group":"A","lot":0,"name":"0","team":"","year":"0","gender":"0","gear":"0","lifts":"0","division":"--","wc":"0","bw":"","pb":[0,0,0,0],"idx":"23","sr":"0","br":"0","row":0,"sq":{"a1":0,"a2":"","a3":"","s1":0,"s2":0,"s3":0},"bp":{"a1":0,"a2":"","a3":"","s1":0,"s2":0,"s3":0},"dl":{"a1":0,"a2":"","a3":"","s1":0,"s2":0,"s3":0},"sortOrder":0,"act":{}}</v>
      </c>
    </row>
    <row r="208" spans="5:70" x14ac:dyDescent="0.25">
      <c r="E208" s="128"/>
      <c r="F208" s="129"/>
      <c r="G208" s="129"/>
      <c r="H208" s="129"/>
      <c r="I208" s="129"/>
      <c r="J208" s="129"/>
      <c r="K208" s="129"/>
      <c r="L208" s="130"/>
      <c r="M208" s="131"/>
      <c r="N208" s="130"/>
      <c r="O208" s="148">
        <f t="shared" ca="1" si="146"/>
        <v>2023</v>
      </c>
      <c r="P208" s="129"/>
      <c r="Q208" s="129"/>
      <c r="R208" s="129"/>
      <c r="S208" s="129"/>
      <c r="T208" s="129"/>
      <c r="U208" s="129"/>
      <c r="V208" s="129"/>
      <c r="W208" s="129"/>
      <c r="X208" s="129"/>
      <c r="Y208" s="132"/>
      <c r="Z208" s="133"/>
      <c r="AA208" s="133"/>
      <c r="AB208" s="134"/>
      <c r="AE208" s="15" t="str">
        <f t="shared" si="112"/>
        <v>A</v>
      </c>
      <c r="AF208" s="8">
        <f t="shared" si="113"/>
        <v>0</v>
      </c>
      <c r="AG208" s="9">
        <f t="shared" si="121"/>
        <v>0</v>
      </c>
      <c r="AH208" s="9" t="str">
        <f t="shared" si="122"/>
        <v/>
      </c>
      <c r="AI208" s="8">
        <f t="shared" si="114"/>
        <v>0</v>
      </c>
      <c r="AJ208" s="45">
        <f t="shared" si="123"/>
        <v>0</v>
      </c>
      <c r="AK208" s="45">
        <f t="shared" si="124"/>
        <v>0</v>
      </c>
      <c r="AL208" s="45">
        <f t="shared" si="125"/>
        <v>0</v>
      </c>
      <c r="AM208" s="8" t="str">
        <f t="shared" si="126"/>
        <v>--</v>
      </c>
      <c r="AN208" s="10">
        <f t="shared" si="127"/>
        <v>0</v>
      </c>
      <c r="AO208" s="10">
        <f t="shared" si="128"/>
        <v>0</v>
      </c>
      <c r="AP208" s="10">
        <f t="shared" si="129"/>
        <v>0</v>
      </c>
      <c r="AQ208" s="10">
        <f t="shared" si="130"/>
        <v>0</v>
      </c>
      <c r="AR208" s="10">
        <f t="shared" si="131"/>
        <v>0</v>
      </c>
      <c r="AS208" s="8">
        <v>23</v>
      </c>
      <c r="AT208" s="9">
        <f t="shared" si="132"/>
        <v>0</v>
      </c>
      <c r="AU208" s="11">
        <f t="shared" si="133"/>
        <v>0</v>
      </c>
      <c r="AV208" s="6"/>
      <c r="AW208" s="6"/>
      <c r="AX208" s="6"/>
      <c r="AZ208" t="str">
        <f t="shared" si="134"/>
        <v>{"group":"A",</v>
      </c>
      <c r="BA208" t="str">
        <f t="shared" si="115"/>
        <v>"lot":0,</v>
      </c>
      <c r="BB208" t="str">
        <f t="shared" si="135"/>
        <v>"name":"0",</v>
      </c>
      <c r="BC208" t="str">
        <f t="shared" si="136"/>
        <v>"team":"",</v>
      </c>
      <c r="BD208" t="str">
        <f t="shared" si="137"/>
        <v>"year":"0",</v>
      </c>
      <c r="BE208" t="str">
        <f t="shared" si="138"/>
        <v>"gender":"0",</v>
      </c>
      <c r="BF208" t="str">
        <f t="shared" si="139"/>
        <v>"gear":"0",</v>
      </c>
      <c r="BG208" t="str">
        <f t="shared" si="140"/>
        <v>"lifts":"0",</v>
      </c>
      <c r="BH208" t="str">
        <f t="shared" si="141"/>
        <v>"division":"--",</v>
      </c>
      <c r="BI208" t="str">
        <f t="shared" si="142"/>
        <v>"wc":"0",</v>
      </c>
      <c r="BJ208" t="str">
        <f t="shared" si="143"/>
        <v>"bw":"",</v>
      </c>
      <c r="BK208" t="str">
        <f t="shared" si="144"/>
        <v>"pb":[0,0,0,0],</v>
      </c>
      <c r="BL208" t="str">
        <f t="shared" si="116"/>
        <v>"idx":"23",</v>
      </c>
      <c r="BM208" t="str">
        <f t="shared" si="117"/>
        <v>"sr":"0",</v>
      </c>
      <c r="BN208" t="str">
        <f t="shared" si="118"/>
        <v>"br":"0",</v>
      </c>
      <c r="BO208" t="str">
        <f t="shared" si="119"/>
        <v>"row":0,</v>
      </c>
      <c r="BP208" t="s">
        <v>55</v>
      </c>
      <c r="BQ208" t="str">
        <f t="shared" si="120"/>
        <v>"sq":{"a1":0,"a2":"","a3":"","s1":0,"s2":0,"s3":0},"bp":{"a1":0,"a2":"","a3":"","s1":0,"s2":0,"s3":0},"dl":{"a1":0,"a2":"","a3":"","s1":0,"s2":0,"s3":0},"sortOrder":0,"act":{}}</v>
      </c>
      <c r="BR208" t="str">
        <f t="shared" si="145"/>
        <v>{"group":"A","lot":0,"name":"0","team":"","year":"0","gender":"0","gear":"0","lifts":"0","division":"--","wc":"0","bw":"","pb":[0,0,0,0],"idx":"23","sr":"0","br":"0","row":0,"sq":{"a1":0,"a2":"","a3":"","s1":0,"s2":0,"s3":0},"bp":{"a1":0,"a2":"","a3":"","s1":0,"s2":0,"s3":0},"dl":{"a1":0,"a2":"","a3":"","s1":0,"s2":0,"s3":0},"sortOrder":0,"act":{}}</v>
      </c>
    </row>
    <row r="209" spans="5:70" x14ac:dyDescent="0.25">
      <c r="E209" s="128"/>
      <c r="F209" s="129"/>
      <c r="G209" s="129"/>
      <c r="H209" s="129"/>
      <c r="I209" s="129"/>
      <c r="J209" s="129"/>
      <c r="K209" s="129"/>
      <c r="L209" s="130"/>
      <c r="M209" s="131"/>
      <c r="N209" s="130"/>
      <c r="O209" s="148">
        <f t="shared" ca="1" si="146"/>
        <v>2023</v>
      </c>
      <c r="P209" s="129"/>
      <c r="Q209" s="129"/>
      <c r="R209" s="129"/>
      <c r="S209" s="129"/>
      <c r="T209" s="129"/>
      <c r="U209" s="129"/>
      <c r="V209" s="129"/>
      <c r="W209" s="129"/>
      <c r="X209" s="129"/>
      <c r="Y209" s="132"/>
      <c r="Z209" s="133"/>
      <c r="AA209" s="133"/>
      <c r="AB209" s="134"/>
      <c r="AE209" s="15" t="str">
        <f t="shared" si="112"/>
        <v>A</v>
      </c>
      <c r="AF209" s="8">
        <f t="shared" si="113"/>
        <v>0</v>
      </c>
      <c r="AG209" s="9">
        <f t="shared" si="121"/>
        <v>0</v>
      </c>
      <c r="AH209" s="9" t="str">
        <f t="shared" si="122"/>
        <v/>
      </c>
      <c r="AI209" s="8">
        <f t="shared" si="114"/>
        <v>0</v>
      </c>
      <c r="AJ209" s="45">
        <f t="shared" si="123"/>
        <v>0</v>
      </c>
      <c r="AK209" s="45">
        <f t="shared" si="124"/>
        <v>0</v>
      </c>
      <c r="AL209" s="45">
        <f t="shared" si="125"/>
        <v>0</v>
      </c>
      <c r="AM209" s="8" t="str">
        <f t="shared" si="126"/>
        <v>--</v>
      </c>
      <c r="AN209" s="10">
        <f t="shared" si="127"/>
        <v>0</v>
      </c>
      <c r="AO209" s="10">
        <f t="shared" si="128"/>
        <v>0</v>
      </c>
      <c r="AP209" s="10">
        <f t="shared" si="129"/>
        <v>0</v>
      </c>
      <c r="AQ209" s="10">
        <f t="shared" si="130"/>
        <v>0</v>
      </c>
      <c r="AR209" s="10">
        <f t="shared" si="131"/>
        <v>0</v>
      </c>
      <c r="AS209" s="8">
        <v>23</v>
      </c>
      <c r="AT209" s="9">
        <f t="shared" si="132"/>
        <v>0</v>
      </c>
      <c r="AU209" s="11">
        <f t="shared" si="133"/>
        <v>0</v>
      </c>
      <c r="AV209" s="6"/>
      <c r="AW209" s="6"/>
      <c r="AX209" s="6"/>
      <c r="AZ209" t="str">
        <f t="shared" si="134"/>
        <v>{"group":"A",</v>
      </c>
      <c r="BA209" t="str">
        <f t="shared" si="115"/>
        <v>"lot":0,</v>
      </c>
      <c r="BB209" t="str">
        <f t="shared" si="135"/>
        <v>"name":"0",</v>
      </c>
      <c r="BC209" t="str">
        <f t="shared" si="136"/>
        <v>"team":"",</v>
      </c>
      <c r="BD209" t="str">
        <f t="shared" si="137"/>
        <v>"year":"0",</v>
      </c>
      <c r="BE209" t="str">
        <f t="shared" si="138"/>
        <v>"gender":"0",</v>
      </c>
      <c r="BF209" t="str">
        <f t="shared" si="139"/>
        <v>"gear":"0",</v>
      </c>
      <c r="BG209" t="str">
        <f t="shared" si="140"/>
        <v>"lifts":"0",</v>
      </c>
      <c r="BH209" t="str">
        <f t="shared" si="141"/>
        <v>"division":"--",</v>
      </c>
      <c r="BI209" t="str">
        <f t="shared" si="142"/>
        <v>"wc":"0",</v>
      </c>
      <c r="BJ209" t="str">
        <f t="shared" si="143"/>
        <v>"bw":"",</v>
      </c>
      <c r="BK209" t="str">
        <f t="shared" si="144"/>
        <v>"pb":[0,0,0,0],</v>
      </c>
      <c r="BL209" t="str">
        <f t="shared" si="116"/>
        <v>"idx":"23",</v>
      </c>
      <c r="BM209" t="str">
        <f t="shared" si="117"/>
        <v>"sr":"0",</v>
      </c>
      <c r="BN209" t="str">
        <f t="shared" si="118"/>
        <v>"br":"0",</v>
      </c>
      <c r="BO209" t="str">
        <f t="shared" si="119"/>
        <v>"row":0,</v>
      </c>
      <c r="BP209" t="s">
        <v>55</v>
      </c>
      <c r="BQ209" t="str">
        <f t="shared" si="120"/>
        <v>"sq":{"a1":0,"a2":"","a3":"","s1":0,"s2":0,"s3":0},"bp":{"a1":0,"a2":"","a3":"","s1":0,"s2":0,"s3":0},"dl":{"a1":0,"a2":"","a3":"","s1":0,"s2":0,"s3":0},"sortOrder":0,"act":{}}</v>
      </c>
      <c r="BR209" t="str">
        <f t="shared" si="145"/>
        <v>{"group":"A","lot":0,"name":"0","team":"","year":"0","gender":"0","gear":"0","lifts":"0","division":"--","wc":"0","bw":"","pb":[0,0,0,0],"idx":"23","sr":"0","br":"0","row":0,"sq":{"a1":0,"a2":"","a3":"","s1":0,"s2":0,"s3":0},"bp":{"a1":0,"a2":"","a3":"","s1":0,"s2":0,"s3":0},"dl":{"a1":0,"a2":"","a3":"","s1":0,"s2":0,"s3":0},"sortOrder":0,"act":{}}</v>
      </c>
    </row>
    <row r="210" spans="5:70" x14ac:dyDescent="0.25">
      <c r="E210" s="128"/>
      <c r="F210" s="129"/>
      <c r="G210" s="129"/>
      <c r="H210" s="129"/>
      <c r="I210" s="129"/>
      <c r="J210" s="129"/>
      <c r="K210" s="129"/>
      <c r="L210" s="130"/>
      <c r="M210" s="131"/>
      <c r="N210" s="130"/>
      <c r="O210" s="148">
        <f t="shared" ca="1" si="146"/>
        <v>2023</v>
      </c>
      <c r="P210" s="129"/>
      <c r="Q210" s="129"/>
      <c r="R210" s="129"/>
      <c r="S210" s="129"/>
      <c r="T210" s="129"/>
      <c r="U210" s="129"/>
      <c r="V210" s="129"/>
      <c r="W210" s="129"/>
      <c r="X210" s="129"/>
      <c r="Y210" s="132"/>
      <c r="Z210" s="133"/>
      <c r="AA210" s="133"/>
      <c r="AB210" s="134"/>
      <c r="AE210" s="15" t="str">
        <f t="shared" si="112"/>
        <v>A</v>
      </c>
      <c r="AF210" s="8">
        <f t="shared" si="113"/>
        <v>0</v>
      </c>
      <c r="AG210" s="9">
        <f t="shared" si="121"/>
        <v>0</v>
      </c>
      <c r="AH210" s="9" t="str">
        <f t="shared" si="122"/>
        <v/>
      </c>
      <c r="AI210" s="8">
        <f t="shared" si="114"/>
        <v>0</v>
      </c>
      <c r="AJ210" s="45">
        <f t="shared" si="123"/>
        <v>0</v>
      </c>
      <c r="AK210" s="45">
        <f t="shared" si="124"/>
        <v>0</v>
      </c>
      <c r="AL210" s="45">
        <f t="shared" si="125"/>
        <v>0</v>
      </c>
      <c r="AM210" s="8" t="str">
        <f t="shared" si="126"/>
        <v>--</v>
      </c>
      <c r="AN210" s="10">
        <f t="shared" si="127"/>
        <v>0</v>
      </c>
      <c r="AO210" s="10">
        <f t="shared" si="128"/>
        <v>0</v>
      </c>
      <c r="AP210" s="10">
        <f t="shared" si="129"/>
        <v>0</v>
      </c>
      <c r="AQ210" s="10">
        <f t="shared" si="130"/>
        <v>0</v>
      </c>
      <c r="AR210" s="10">
        <f t="shared" si="131"/>
        <v>0</v>
      </c>
      <c r="AS210" s="8">
        <v>23</v>
      </c>
      <c r="AT210" s="9">
        <f t="shared" si="132"/>
        <v>0</v>
      </c>
      <c r="AU210" s="11">
        <f t="shared" si="133"/>
        <v>0</v>
      </c>
      <c r="AV210" s="6"/>
      <c r="AW210" s="6"/>
      <c r="AX210" s="6"/>
      <c r="AZ210" t="str">
        <f t="shared" si="134"/>
        <v>{"group":"A",</v>
      </c>
      <c r="BA210" t="str">
        <f t="shared" si="115"/>
        <v>"lot":0,</v>
      </c>
      <c r="BB210" t="str">
        <f t="shared" si="135"/>
        <v>"name":"0",</v>
      </c>
      <c r="BC210" t="str">
        <f t="shared" si="136"/>
        <v>"team":"",</v>
      </c>
      <c r="BD210" t="str">
        <f t="shared" si="137"/>
        <v>"year":"0",</v>
      </c>
      <c r="BE210" t="str">
        <f t="shared" si="138"/>
        <v>"gender":"0",</v>
      </c>
      <c r="BF210" t="str">
        <f t="shared" si="139"/>
        <v>"gear":"0",</v>
      </c>
      <c r="BG210" t="str">
        <f t="shared" si="140"/>
        <v>"lifts":"0",</v>
      </c>
      <c r="BH210" t="str">
        <f t="shared" si="141"/>
        <v>"division":"--",</v>
      </c>
      <c r="BI210" t="str">
        <f t="shared" si="142"/>
        <v>"wc":"0",</v>
      </c>
      <c r="BJ210" t="str">
        <f t="shared" si="143"/>
        <v>"bw":"",</v>
      </c>
      <c r="BK210" t="str">
        <f t="shared" si="144"/>
        <v>"pb":[0,0,0,0],</v>
      </c>
      <c r="BL210" t="str">
        <f t="shared" si="116"/>
        <v>"idx":"23",</v>
      </c>
      <c r="BM210" t="str">
        <f t="shared" si="117"/>
        <v>"sr":"0",</v>
      </c>
      <c r="BN210" t="str">
        <f t="shared" si="118"/>
        <v>"br":"0",</v>
      </c>
      <c r="BO210" t="str">
        <f t="shared" si="119"/>
        <v>"row":0,</v>
      </c>
      <c r="BP210" t="s">
        <v>55</v>
      </c>
      <c r="BQ210" t="str">
        <f t="shared" si="120"/>
        <v>"sq":{"a1":0,"a2":"","a3":"","s1":0,"s2":0,"s3":0},"bp":{"a1":0,"a2":"","a3":"","s1":0,"s2":0,"s3":0},"dl":{"a1":0,"a2":"","a3":"","s1":0,"s2":0,"s3":0},"sortOrder":0,"act":{}}</v>
      </c>
      <c r="BR210" t="str">
        <f t="shared" si="145"/>
        <v>{"group":"A","lot":0,"name":"0","team":"","year":"0","gender":"0","gear":"0","lifts":"0","division":"--","wc":"0","bw":"","pb":[0,0,0,0],"idx":"23","sr":"0","br":"0","row":0,"sq":{"a1":0,"a2":"","a3":"","s1":0,"s2":0,"s3":0},"bp":{"a1":0,"a2":"","a3":"","s1":0,"s2":0,"s3":0},"dl":{"a1":0,"a2":"","a3":"","s1":0,"s2":0,"s3":0},"sortOrder":0,"act":{}}</v>
      </c>
    </row>
    <row r="211" spans="5:70" x14ac:dyDescent="0.25">
      <c r="E211" s="128"/>
      <c r="F211" s="129"/>
      <c r="G211" s="129"/>
      <c r="H211" s="129"/>
      <c r="I211" s="129"/>
      <c r="J211" s="129"/>
      <c r="K211" s="129"/>
      <c r="L211" s="130"/>
      <c r="M211" s="131"/>
      <c r="N211" s="130"/>
      <c r="O211" s="148">
        <f t="shared" ca="1" si="146"/>
        <v>2023</v>
      </c>
      <c r="P211" s="129"/>
      <c r="Q211" s="129"/>
      <c r="R211" s="129"/>
      <c r="S211" s="129"/>
      <c r="T211" s="129"/>
      <c r="U211" s="129"/>
      <c r="V211" s="129"/>
      <c r="W211" s="129"/>
      <c r="X211" s="129"/>
      <c r="Y211" s="132"/>
      <c r="Z211" s="133"/>
      <c r="AA211" s="133"/>
      <c r="AB211" s="134"/>
      <c r="AE211" s="15" t="str">
        <f t="shared" si="112"/>
        <v>A</v>
      </c>
      <c r="AF211" s="8">
        <f t="shared" si="113"/>
        <v>0</v>
      </c>
      <c r="AG211" s="9">
        <f t="shared" si="121"/>
        <v>0</v>
      </c>
      <c r="AH211" s="9" t="str">
        <f t="shared" si="122"/>
        <v/>
      </c>
      <c r="AI211" s="8">
        <f t="shared" si="114"/>
        <v>0</v>
      </c>
      <c r="AJ211" s="45">
        <f t="shared" si="123"/>
        <v>0</v>
      </c>
      <c r="AK211" s="45">
        <f t="shared" si="124"/>
        <v>0</v>
      </c>
      <c r="AL211" s="45">
        <f t="shared" si="125"/>
        <v>0</v>
      </c>
      <c r="AM211" s="8" t="str">
        <f t="shared" si="126"/>
        <v>--</v>
      </c>
      <c r="AN211" s="10">
        <f t="shared" si="127"/>
        <v>0</v>
      </c>
      <c r="AO211" s="10">
        <f t="shared" si="128"/>
        <v>0</v>
      </c>
      <c r="AP211" s="10">
        <f t="shared" si="129"/>
        <v>0</v>
      </c>
      <c r="AQ211" s="10">
        <f t="shared" si="130"/>
        <v>0</v>
      </c>
      <c r="AR211" s="10">
        <f t="shared" si="131"/>
        <v>0</v>
      </c>
      <c r="AS211" s="8">
        <v>23</v>
      </c>
      <c r="AT211" s="9">
        <f t="shared" si="132"/>
        <v>0</v>
      </c>
      <c r="AU211" s="11">
        <f t="shared" si="133"/>
        <v>0</v>
      </c>
      <c r="AV211" s="6"/>
      <c r="AW211" s="6"/>
      <c r="AX211" s="6"/>
      <c r="AZ211" t="str">
        <f t="shared" si="134"/>
        <v>{"group":"A",</v>
      </c>
      <c r="BA211" t="str">
        <f t="shared" si="115"/>
        <v>"lot":0,</v>
      </c>
      <c r="BB211" t="str">
        <f t="shared" si="135"/>
        <v>"name":"0",</v>
      </c>
      <c r="BC211" t="str">
        <f t="shared" si="136"/>
        <v>"team":"",</v>
      </c>
      <c r="BD211" t="str">
        <f t="shared" si="137"/>
        <v>"year":"0",</v>
      </c>
      <c r="BE211" t="str">
        <f t="shared" si="138"/>
        <v>"gender":"0",</v>
      </c>
      <c r="BF211" t="str">
        <f t="shared" si="139"/>
        <v>"gear":"0",</v>
      </c>
      <c r="BG211" t="str">
        <f t="shared" si="140"/>
        <v>"lifts":"0",</v>
      </c>
      <c r="BH211" t="str">
        <f t="shared" si="141"/>
        <v>"division":"--",</v>
      </c>
      <c r="BI211" t="str">
        <f t="shared" si="142"/>
        <v>"wc":"0",</v>
      </c>
      <c r="BJ211" t="str">
        <f t="shared" si="143"/>
        <v>"bw":"",</v>
      </c>
      <c r="BK211" t="str">
        <f t="shared" si="144"/>
        <v>"pb":[0,0,0,0],</v>
      </c>
      <c r="BL211" t="str">
        <f t="shared" si="116"/>
        <v>"idx":"23",</v>
      </c>
      <c r="BM211" t="str">
        <f t="shared" si="117"/>
        <v>"sr":"0",</v>
      </c>
      <c r="BN211" t="str">
        <f t="shared" si="118"/>
        <v>"br":"0",</v>
      </c>
      <c r="BO211" t="str">
        <f t="shared" si="119"/>
        <v>"row":0,</v>
      </c>
      <c r="BP211" t="s">
        <v>55</v>
      </c>
      <c r="BQ211" t="str">
        <f t="shared" si="120"/>
        <v>"sq":{"a1":0,"a2":"","a3":"","s1":0,"s2":0,"s3":0},"bp":{"a1":0,"a2":"","a3":"","s1":0,"s2":0,"s3":0},"dl":{"a1":0,"a2":"","a3":"","s1":0,"s2":0,"s3":0},"sortOrder":0,"act":{}}</v>
      </c>
      <c r="BR211" t="str">
        <f t="shared" si="145"/>
        <v>{"group":"A","lot":0,"name":"0","team":"","year":"0","gender":"0","gear":"0","lifts":"0","division":"--","wc":"0","bw":"","pb":[0,0,0,0],"idx":"23","sr":"0","br":"0","row":0,"sq":{"a1":0,"a2":"","a3":"","s1":0,"s2":0,"s3":0},"bp":{"a1":0,"a2":"","a3":"","s1":0,"s2":0,"s3":0},"dl":{"a1":0,"a2":"","a3":"","s1":0,"s2":0,"s3":0},"sortOrder":0,"act":{}}</v>
      </c>
    </row>
    <row r="212" spans="5:70" x14ac:dyDescent="0.25">
      <c r="E212" s="128"/>
      <c r="F212" s="129"/>
      <c r="G212" s="129"/>
      <c r="H212" s="129"/>
      <c r="I212" s="129"/>
      <c r="J212" s="129"/>
      <c r="K212" s="129"/>
      <c r="L212" s="130"/>
      <c r="M212" s="131"/>
      <c r="N212" s="130"/>
      <c r="O212" s="148">
        <f t="shared" ca="1" si="146"/>
        <v>2023</v>
      </c>
      <c r="P212" s="129"/>
      <c r="Q212" s="129"/>
      <c r="R212" s="129"/>
      <c r="S212" s="129"/>
      <c r="T212" s="129"/>
      <c r="U212" s="129"/>
      <c r="V212" s="129"/>
      <c r="W212" s="129"/>
      <c r="X212" s="129"/>
      <c r="Y212" s="132"/>
      <c r="Z212" s="133"/>
      <c r="AA212" s="133"/>
      <c r="AB212" s="134"/>
      <c r="AE212" s="15" t="str">
        <f t="shared" si="112"/>
        <v>A</v>
      </c>
      <c r="AF212" s="8">
        <f t="shared" si="113"/>
        <v>0</v>
      </c>
      <c r="AG212" s="9">
        <f t="shared" si="121"/>
        <v>0</v>
      </c>
      <c r="AH212" s="9" t="str">
        <f t="shared" si="122"/>
        <v/>
      </c>
      <c r="AI212" s="8">
        <f t="shared" si="114"/>
        <v>0</v>
      </c>
      <c r="AJ212" s="45">
        <f t="shared" si="123"/>
        <v>0</v>
      </c>
      <c r="AK212" s="45">
        <f t="shared" si="124"/>
        <v>0</v>
      </c>
      <c r="AL212" s="45">
        <f t="shared" si="125"/>
        <v>0</v>
      </c>
      <c r="AM212" s="8" t="str">
        <f t="shared" si="126"/>
        <v>--</v>
      </c>
      <c r="AN212" s="10">
        <f t="shared" si="127"/>
        <v>0</v>
      </c>
      <c r="AO212" s="10">
        <f t="shared" si="128"/>
        <v>0</v>
      </c>
      <c r="AP212" s="10">
        <f t="shared" si="129"/>
        <v>0</v>
      </c>
      <c r="AQ212" s="10">
        <f t="shared" si="130"/>
        <v>0</v>
      </c>
      <c r="AR212" s="10">
        <f t="shared" si="131"/>
        <v>0</v>
      </c>
      <c r="AS212" s="8">
        <v>23</v>
      </c>
      <c r="AT212" s="9">
        <f t="shared" si="132"/>
        <v>0</v>
      </c>
      <c r="AU212" s="11">
        <f t="shared" si="133"/>
        <v>0</v>
      </c>
      <c r="AV212" s="6"/>
      <c r="AW212" s="6"/>
      <c r="AX212" s="6"/>
      <c r="AZ212" t="str">
        <f t="shared" si="134"/>
        <v>{"group":"A",</v>
      </c>
      <c r="BA212" t="str">
        <f t="shared" si="115"/>
        <v>"lot":0,</v>
      </c>
      <c r="BB212" t="str">
        <f t="shared" si="135"/>
        <v>"name":"0",</v>
      </c>
      <c r="BC212" t="str">
        <f t="shared" si="136"/>
        <v>"team":"",</v>
      </c>
      <c r="BD212" t="str">
        <f t="shared" si="137"/>
        <v>"year":"0",</v>
      </c>
      <c r="BE212" t="str">
        <f t="shared" si="138"/>
        <v>"gender":"0",</v>
      </c>
      <c r="BF212" t="str">
        <f t="shared" si="139"/>
        <v>"gear":"0",</v>
      </c>
      <c r="BG212" t="str">
        <f t="shared" si="140"/>
        <v>"lifts":"0",</v>
      </c>
      <c r="BH212" t="str">
        <f t="shared" si="141"/>
        <v>"division":"--",</v>
      </c>
      <c r="BI212" t="str">
        <f t="shared" si="142"/>
        <v>"wc":"0",</v>
      </c>
      <c r="BJ212" t="str">
        <f t="shared" si="143"/>
        <v>"bw":"",</v>
      </c>
      <c r="BK212" t="str">
        <f t="shared" si="144"/>
        <v>"pb":[0,0,0,0],</v>
      </c>
      <c r="BL212" t="str">
        <f t="shared" si="116"/>
        <v>"idx":"23",</v>
      </c>
      <c r="BM212" t="str">
        <f t="shared" si="117"/>
        <v>"sr":"0",</v>
      </c>
      <c r="BN212" t="str">
        <f t="shared" si="118"/>
        <v>"br":"0",</v>
      </c>
      <c r="BO212" t="str">
        <f t="shared" si="119"/>
        <v>"row":0,</v>
      </c>
      <c r="BP212" t="s">
        <v>55</v>
      </c>
      <c r="BQ212" t="str">
        <f t="shared" si="120"/>
        <v>"sq":{"a1":0,"a2":"","a3":"","s1":0,"s2":0,"s3":0},"bp":{"a1":0,"a2":"","a3":"","s1":0,"s2":0,"s3":0},"dl":{"a1":0,"a2":"","a3":"","s1":0,"s2":0,"s3":0},"sortOrder":0,"act":{}}</v>
      </c>
      <c r="BR212" t="str">
        <f t="shared" si="145"/>
        <v>{"group":"A","lot":0,"name":"0","team":"","year":"0","gender":"0","gear":"0","lifts":"0","division":"--","wc":"0","bw":"","pb":[0,0,0,0],"idx":"23","sr":"0","br":"0","row":0,"sq":{"a1":0,"a2":"","a3":"","s1":0,"s2":0,"s3":0},"bp":{"a1":0,"a2":"","a3":"","s1":0,"s2":0,"s3":0},"dl":{"a1":0,"a2":"","a3":"","s1":0,"s2":0,"s3":0},"sortOrder":0,"act":{}}</v>
      </c>
    </row>
    <row r="213" spans="5:70" x14ac:dyDescent="0.25">
      <c r="E213" s="128"/>
      <c r="F213" s="129"/>
      <c r="G213" s="129"/>
      <c r="H213" s="129"/>
      <c r="I213" s="129"/>
      <c r="J213" s="129"/>
      <c r="K213" s="129"/>
      <c r="L213" s="130"/>
      <c r="M213" s="131"/>
      <c r="N213" s="130"/>
      <c r="O213" s="148">
        <f t="shared" ca="1" si="146"/>
        <v>2023</v>
      </c>
      <c r="P213" s="129"/>
      <c r="Q213" s="129"/>
      <c r="R213" s="129"/>
      <c r="S213" s="129"/>
      <c r="T213" s="129"/>
      <c r="U213" s="129"/>
      <c r="V213" s="129"/>
      <c r="W213" s="129"/>
      <c r="X213" s="129"/>
      <c r="Y213" s="132"/>
      <c r="Z213" s="133"/>
      <c r="AA213" s="133"/>
      <c r="AB213" s="134"/>
      <c r="AE213" s="15" t="str">
        <f t="shared" si="112"/>
        <v>A</v>
      </c>
      <c r="AF213" s="8">
        <f t="shared" si="113"/>
        <v>0</v>
      </c>
      <c r="AG213" s="9">
        <f t="shared" si="121"/>
        <v>0</v>
      </c>
      <c r="AH213" s="9" t="str">
        <f t="shared" si="122"/>
        <v/>
      </c>
      <c r="AI213" s="8">
        <f t="shared" si="114"/>
        <v>0</v>
      </c>
      <c r="AJ213" s="45">
        <f t="shared" si="123"/>
        <v>0</v>
      </c>
      <c r="AK213" s="45">
        <f t="shared" si="124"/>
        <v>0</v>
      </c>
      <c r="AL213" s="45">
        <f t="shared" si="125"/>
        <v>0</v>
      </c>
      <c r="AM213" s="8" t="str">
        <f t="shared" si="126"/>
        <v>--</v>
      </c>
      <c r="AN213" s="10">
        <f t="shared" si="127"/>
        <v>0</v>
      </c>
      <c r="AO213" s="10">
        <f t="shared" si="128"/>
        <v>0</v>
      </c>
      <c r="AP213" s="10">
        <f t="shared" si="129"/>
        <v>0</v>
      </c>
      <c r="AQ213" s="10">
        <f t="shared" si="130"/>
        <v>0</v>
      </c>
      <c r="AR213" s="10">
        <f t="shared" si="131"/>
        <v>0</v>
      </c>
      <c r="AS213" s="8">
        <v>23</v>
      </c>
      <c r="AT213" s="9">
        <f t="shared" si="132"/>
        <v>0</v>
      </c>
      <c r="AU213" s="11">
        <f t="shared" si="133"/>
        <v>0</v>
      </c>
      <c r="AV213" s="6"/>
      <c r="AW213" s="6"/>
      <c r="AX213" s="6"/>
      <c r="AZ213" t="str">
        <f t="shared" si="134"/>
        <v>{"group":"A",</v>
      </c>
      <c r="BA213" t="str">
        <f t="shared" si="115"/>
        <v>"lot":0,</v>
      </c>
      <c r="BB213" t="str">
        <f t="shared" si="135"/>
        <v>"name":"0",</v>
      </c>
      <c r="BC213" t="str">
        <f t="shared" si="136"/>
        <v>"team":"",</v>
      </c>
      <c r="BD213" t="str">
        <f t="shared" si="137"/>
        <v>"year":"0",</v>
      </c>
      <c r="BE213" t="str">
        <f t="shared" si="138"/>
        <v>"gender":"0",</v>
      </c>
      <c r="BF213" t="str">
        <f t="shared" si="139"/>
        <v>"gear":"0",</v>
      </c>
      <c r="BG213" t="str">
        <f t="shared" si="140"/>
        <v>"lifts":"0",</v>
      </c>
      <c r="BH213" t="str">
        <f t="shared" si="141"/>
        <v>"division":"--",</v>
      </c>
      <c r="BI213" t="str">
        <f t="shared" si="142"/>
        <v>"wc":"0",</v>
      </c>
      <c r="BJ213" t="str">
        <f t="shared" si="143"/>
        <v>"bw":"",</v>
      </c>
      <c r="BK213" t="str">
        <f t="shared" si="144"/>
        <v>"pb":[0,0,0,0],</v>
      </c>
      <c r="BL213" t="str">
        <f t="shared" si="116"/>
        <v>"idx":"23",</v>
      </c>
      <c r="BM213" t="str">
        <f t="shared" si="117"/>
        <v>"sr":"0",</v>
      </c>
      <c r="BN213" t="str">
        <f t="shared" si="118"/>
        <v>"br":"0",</v>
      </c>
      <c r="BO213" t="str">
        <f t="shared" si="119"/>
        <v>"row":0,</v>
      </c>
      <c r="BP213" t="s">
        <v>55</v>
      </c>
      <c r="BQ213" t="str">
        <f t="shared" si="120"/>
        <v>"sq":{"a1":0,"a2":"","a3":"","s1":0,"s2":0,"s3":0},"bp":{"a1":0,"a2":"","a3":"","s1":0,"s2":0,"s3":0},"dl":{"a1":0,"a2":"","a3":"","s1":0,"s2":0,"s3":0},"sortOrder":0,"act":{}}</v>
      </c>
      <c r="BR213" t="str">
        <f t="shared" si="145"/>
        <v>{"group":"A","lot":0,"name":"0","team":"","year":"0","gender":"0","gear":"0","lifts":"0","division":"--","wc":"0","bw":"","pb":[0,0,0,0],"idx":"23","sr":"0","br":"0","row":0,"sq":{"a1":0,"a2":"","a3":"","s1":0,"s2":0,"s3":0},"bp":{"a1":0,"a2":"","a3":"","s1":0,"s2":0,"s3":0},"dl":{"a1":0,"a2":"","a3":"","s1":0,"s2":0,"s3":0},"sortOrder":0,"act":{}}</v>
      </c>
    </row>
    <row r="214" spans="5:70" x14ac:dyDescent="0.25">
      <c r="E214" s="128"/>
      <c r="F214" s="129"/>
      <c r="G214" s="129"/>
      <c r="H214" s="129"/>
      <c r="I214" s="129"/>
      <c r="J214" s="129"/>
      <c r="K214" s="129"/>
      <c r="L214" s="130"/>
      <c r="M214" s="131"/>
      <c r="N214" s="130"/>
      <c r="O214" s="148">
        <f t="shared" ca="1" si="146"/>
        <v>2023</v>
      </c>
      <c r="P214" s="129"/>
      <c r="Q214" s="129"/>
      <c r="R214" s="129"/>
      <c r="S214" s="129"/>
      <c r="T214" s="129"/>
      <c r="U214" s="129"/>
      <c r="V214" s="129"/>
      <c r="W214" s="129"/>
      <c r="X214" s="129"/>
      <c r="Y214" s="132"/>
      <c r="Z214" s="133"/>
      <c r="AA214" s="133"/>
      <c r="AB214" s="134"/>
      <c r="AE214" s="15" t="str">
        <f t="shared" si="112"/>
        <v>A</v>
      </c>
      <c r="AF214" s="8">
        <f t="shared" si="113"/>
        <v>0</v>
      </c>
      <c r="AG214" s="9">
        <f t="shared" si="121"/>
        <v>0</v>
      </c>
      <c r="AH214" s="9" t="str">
        <f t="shared" si="122"/>
        <v/>
      </c>
      <c r="AI214" s="8">
        <f t="shared" si="114"/>
        <v>0</v>
      </c>
      <c r="AJ214" s="45">
        <f t="shared" si="123"/>
        <v>0</v>
      </c>
      <c r="AK214" s="45">
        <f t="shared" si="124"/>
        <v>0</v>
      </c>
      <c r="AL214" s="45">
        <f t="shared" si="125"/>
        <v>0</v>
      </c>
      <c r="AM214" s="8" t="str">
        <f t="shared" si="126"/>
        <v>--</v>
      </c>
      <c r="AN214" s="10">
        <f t="shared" si="127"/>
        <v>0</v>
      </c>
      <c r="AO214" s="10">
        <f t="shared" si="128"/>
        <v>0</v>
      </c>
      <c r="AP214" s="10">
        <f t="shared" si="129"/>
        <v>0</v>
      </c>
      <c r="AQ214" s="10">
        <f t="shared" si="130"/>
        <v>0</v>
      </c>
      <c r="AR214" s="10">
        <f t="shared" si="131"/>
        <v>0</v>
      </c>
      <c r="AS214" s="8">
        <v>23</v>
      </c>
      <c r="AT214" s="9">
        <f t="shared" si="132"/>
        <v>0</v>
      </c>
      <c r="AU214" s="11">
        <f t="shared" si="133"/>
        <v>0</v>
      </c>
      <c r="AV214" s="6"/>
      <c r="AW214" s="6"/>
      <c r="AX214" s="6"/>
      <c r="AZ214" t="str">
        <f t="shared" si="134"/>
        <v>{"group":"A",</v>
      </c>
      <c r="BA214" t="str">
        <f t="shared" si="115"/>
        <v>"lot":0,</v>
      </c>
      <c r="BB214" t="str">
        <f t="shared" si="135"/>
        <v>"name":"0",</v>
      </c>
      <c r="BC214" t="str">
        <f t="shared" si="136"/>
        <v>"team":"",</v>
      </c>
      <c r="BD214" t="str">
        <f t="shared" si="137"/>
        <v>"year":"0",</v>
      </c>
      <c r="BE214" t="str">
        <f t="shared" si="138"/>
        <v>"gender":"0",</v>
      </c>
      <c r="BF214" t="str">
        <f t="shared" si="139"/>
        <v>"gear":"0",</v>
      </c>
      <c r="BG214" t="str">
        <f t="shared" si="140"/>
        <v>"lifts":"0",</v>
      </c>
      <c r="BH214" t="str">
        <f t="shared" si="141"/>
        <v>"division":"--",</v>
      </c>
      <c r="BI214" t="str">
        <f t="shared" si="142"/>
        <v>"wc":"0",</v>
      </c>
      <c r="BJ214" t="str">
        <f t="shared" si="143"/>
        <v>"bw":"",</v>
      </c>
      <c r="BK214" t="str">
        <f t="shared" si="144"/>
        <v>"pb":[0,0,0,0],</v>
      </c>
      <c r="BL214" t="str">
        <f t="shared" si="116"/>
        <v>"idx":"23",</v>
      </c>
      <c r="BM214" t="str">
        <f t="shared" si="117"/>
        <v>"sr":"0",</v>
      </c>
      <c r="BN214" t="str">
        <f t="shared" si="118"/>
        <v>"br":"0",</v>
      </c>
      <c r="BO214" t="str">
        <f t="shared" si="119"/>
        <v>"row":0,</v>
      </c>
      <c r="BP214" t="s">
        <v>55</v>
      </c>
      <c r="BQ214" t="str">
        <f t="shared" si="120"/>
        <v>"sq":{"a1":0,"a2":"","a3":"","s1":0,"s2":0,"s3":0},"bp":{"a1":0,"a2":"","a3":"","s1":0,"s2":0,"s3":0},"dl":{"a1":0,"a2":"","a3":"","s1":0,"s2":0,"s3":0},"sortOrder":0,"act":{}}</v>
      </c>
      <c r="BR214" t="str">
        <f t="shared" si="145"/>
        <v>{"group":"A","lot":0,"name":"0","team":"","year":"0","gender":"0","gear":"0","lifts":"0","division":"--","wc":"0","bw":"","pb":[0,0,0,0],"idx":"23","sr":"0","br":"0","row":0,"sq":{"a1":0,"a2":"","a3":"","s1":0,"s2":0,"s3":0},"bp":{"a1":0,"a2":"","a3":"","s1":0,"s2":0,"s3":0},"dl":{"a1":0,"a2":"","a3":"","s1":0,"s2":0,"s3":0},"sortOrder":0,"act":{}}</v>
      </c>
    </row>
    <row r="215" spans="5:70" x14ac:dyDescent="0.25">
      <c r="E215" s="128"/>
      <c r="F215" s="129"/>
      <c r="G215" s="129"/>
      <c r="H215" s="129"/>
      <c r="I215" s="129"/>
      <c r="J215" s="129"/>
      <c r="K215" s="129"/>
      <c r="L215" s="130"/>
      <c r="M215" s="131"/>
      <c r="N215" s="130"/>
      <c r="O215" s="148">
        <f t="shared" ca="1" si="146"/>
        <v>2023</v>
      </c>
      <c r="P215" s="129"/>
      <c r="Q215" s="129"/>
      <c r="R215" s="129"/>
      <c r="S215" s="129"/>
      <c r="T215" s="129"/>
      <c r="U215" s="129"/>
      <c r="V215" s="129"/>
      <c r="W215" s="129"/>
      <c r="X215" s="129"/>
      <c r="Y215" s="132"/>
      <c r="Z215" s="133"/>
      <c r="AA215" s="133"/>
      <c r="AB215" s="134"/>
      <c r="AE215" s="15" t="str">
        <f t="shared" si="112"/>
        <v>A</v>
      </c>
      <c r="AF215" s="8">
        <f t="shared" si="113"/>
        <v>0</v>
      </c>
      <c r="AG215" s="9">
        <f t="shared" si="121"/>
        <v>0</v>
      </c>
      <c r="AH215" s="9" t="str">
        <f t="shared" si="122"/>
        <v/>
      </c>
      <c r="AI215" s="8">
        <f t="shared" si="114"/>
        <v>0</v>
      </c>
      <c r="AJ215" s="45">
        <f t="shared" si="123"/>
        <v>0</v>
      </c>
      <c r="AK215" s="45">
        <f t="shared" si="124"/>
        <v>0</v>
      </c>
      <c r="AL215" s="45">
        <f t="shared" si="125"/>
        <v>0</v>
      </c>
      <c r="AM215" s="8" t="str">
        <f t="shared" si="126"/>
        <v>--</v>
      </c>
      <c r="AN215" s="10">
        <f t="shared" si="127"/>
        <v>0</v>
      </c>
      <c r="AO215" s="10">
        <f t="shared" si="128"/>
        <v>0</v>
      </c>
      <c r="AP215" s="10">
        <f t="shared" si="129"/>
        <v>0</v>
      </c>
      <c r="AQ215" s="10">
        <f t="shared" si="130"/>
        <v>0</v>
      </c>
      <c r="AR215" s="10">
        <f t="shared" si="131"/>
        <v>0</v>
      </c>
      <c r="AS215" s="8">
        <v>23</v>
      </c>
      <c r="AT215" s="9">
        <f t="shared" si="132"/>
        <v>0</v>
      </c>
      <c r="AU215" s="11">
        <f t="shared" si="133"/>
        <v>0</v>
      </c>
      <c r="AV215" s="6"/>
      <c r="AW215" s="6"/>
      <c r="AX215" s="6"/>
      <c r="AZ215" t="str">
        <f t="shared" si="134"/>
        <v>{"group":"A",</v>
      </c>
      <c r="BA215" t="str">
        <f t="shared" si="115"/>
        <v>"lot":0,</v>
      </c>
      <c r="BB215" t="str">
        <f t="shared" si="135"/>
        <v>"name":"0",</v>
      </c>
      <c r="BC215" t="str">
        <f t="shared" si="136"/>
        <v>"team":"",</v>
      </c>
      <c r="BD215" t="str">
        <f t="shared" si="137"/>
        <v>"year":"0",</v>
      </c>
      <c r="BE215" t="str">
        <f t="shared" si="138"/>
        <v>"gender":"0",</v>
      </c>
      <c r="BF215" t="str">
        <f t="shared" si="139"/>
        <v>"gear":"0",</v>
      </c>
      <c r="BG215" t="str">
        <f t="shared" si="140"/>
        <v>"lifts":"0",</v>
      </c>
      <c r="BH215" t="str">
        <f t="shared" si="141"/>
        <v>"division":"--",</v>
      </c>
      <c r="BI215" t="str">
        <f t="shared" si="142"/>
        <v>"wc":"0",</v>
      </c>
      <c r="BJ215" t="str">
        <f t="shared" si="143"/>
        <v>"bw":"",</v>
      </c>
      <c r="BK215" t="str">
        <f t="shared" si="144"/>
        <v>"pb":[0,0,0,0],</v>
      </c>
      <c r="BL215" t="str">
        <f t="shared" si="116"/>
        <v>"idx":"23",</v>
      </c>
      <c r="BM215" t="str">
        <f t="shared" si="117"/>
        <v>"sr":"0",</v>
      </c>
      <c r="BN215" t="str">
        <f t="shared" si="118"/>
        <v>"br":"0",</v>
      </c>
      <c r="BO215" t="str">
        <f t="shared" si="119"/>
        <v>"row":0,</v>
      </c>
      <c r="BP215" t="s">
        <v>55</v>
      </c>
      <c r="BQ215" t="str">
        <f t="shared" si="120"/>
        <v>"sq":{"a1":0,"a2":"","a3":"","s1":0,"s2":0,"s3":0},"bp":{"a1":0,"a2":"","a3":"","s1":0,"s2":0,"s3":0},"dl":{"a1":0,"a2":"","a3":"","s1":0,"s2":0,"s3":0},"sortOrder":0,"act":{}}</v>
      </c>
      <c r="BR215" t="str">
        <f t="shared" si="145"/>
        <v>{"group":"A","lot":0,"name":"0","team":"","year":"0","gender":"0","gear":"0","lifts":"0","division":"--","wc":"0","bw":"","pb":[0,0,0,0],"idx":"23","sr":"0","br":"0","row":0,"sq":{"a1":0,"a2":"","a3":"","s1":0,"s2":0,"s3":0},"bp":{"a1":0,"a2":"","a3":"","s1":0,"s2":0,"s3":0},"dl":{"a1":0,"a2":"","a3":"","s1":0,"s2":0,"s3":0},"sortOrder":0,"act":{}}</v>
      </c>
    </row>
    <row r="216" spans="5:70" x14ac:dyDescent="0.25">
      <c r="E216" s="128"/>
      <c r="F216" s="129"/>
      <c r="G216" s="129"/>
      <c r="H216" s="129"/>
      <c r="I216" s="129"/>
      <c r="J216" s="129"/>
      <c r="K216" s="129"/>
      <c r="L216" s="130"/>
      <c r="M216" s="131"/>
      <c r="N216" s="130"/>
      <c r="O216" s="148">
        <f t="shared" ca="1" si="146"/>
        <v>2023</v>
      </c>
      <c r="P216" s="129"/>
      <c r="Q216" s="129"/>
      <c r="R216" s="129"/>
      <c r="S216" s="129"/>
      <c r="T216" s="129"/>
      <c r="U216" s="129"/>
      <c r="V216" s="129"/>
      <c r="W216" s="129"/>
      <c r="X216" s="129"/>
      <c r="Y216" s="132"/>
      <c r="Z216" s="133"/>
      <c r="AA216" s="133"/>
      <c r="AB216" s="134"/>
      <c r="AE216" s="15" t="str">
        <f t="shared" si="112"/>
        <v>A</v>
      </c>
      <c r="AF216" s="8">
        <f t="shared" si="113"/>
        <v>0</v>
      </c>
      <c r="AG216" s="9">
        <f t="shared" si="121"/>
        <v>0</v>
      </c>
      <c r="AH216" s="9" t="str">
        <f t="shared" si="122"/>
        <v/>
      </c>
      <c r="AI216" s="8">
        <f t="shared" si="114"/>
        <v>0</v>
      </c>
      <c r="AJ216" s="45">
        <f t="shared" si="123"/>
        <v>0</v>
      </c>
      <c r="AK216" s="45">
        <f t="shared" si="124"/>
        <v>0</v>
      </c>
      <c r="AL216" s="45">
        <f t="shared" si="125"/>
        <v>0</v>
      </c>
      <c r="AM216" s="8" t="str">
        <f t="shared" si="126"/>
        <v>--</v>
      </c>
      <c r="AN216" s="10">
        <f t="shared" si="127"/>
        <v>0</v>
      </c>
      <c r="AO216" s="10">
        <f t="shared" si="128"/>
        <v>0</v>
      </c>
      <c r="AP216" s="10">
        <f t="shared" si="129"/>
        <v>0</v>
      </c>
      <c r="AQ216" s="10">
        <f t="shared" si="130"/>
        <v>0</v>
      </c>
      <c r="AR216" s="10">
        <f t="shared" si="131"/>
        <v>0</v>
      </c>
      <c r="AS216" s="8">
        <v>23</v>
      </c>
      <c r="AT216" s="9">
        <f t="shared" si="132"/>
        <v>0</v>
      </c>
      <c r="AU216" s="11">
        <f t="shared" si="133"/>
        <v>0</v>
      </c>
      <c r="AV216" s="6"/>
      <c r="AW216" s="6"/>
      <c r="AX216" s="6"/>
      <c r="AZ216" t="str">
        <f t="shared" si="134"/>
        <v>{"group":"A",</v>
      </c>
      <c r="BA216" t="str">
        <f t="shared" si="115"/>
        <v>"lot":0,</v>
      </c>
      <c r="BB216" t="str">
        <f t="shared" si="135"/>
        <v>"name":"0",</v>
      </c>
      <c r="BC216" t="str">
        <f t="shared" si="136"/>
        <v>"team":"",</v>
      </c>
      <c r="BD216" t="str">
        <f t="shared" si="137"/>
        <v>"year":"0",</v>
      </c>
      <c r="BE216" t="str">
        <f t="shared" si="138"/>
        <v>"gender":"0",</v>
      </c>
      <c r="BF216" t="str">
        <f t="shared" si="139"/>
        <v>"gear":"0",</v>
      </c>
      <c r="BG216" t="str">
        <f t="shared" si="140"/>
        <v>"lifts":"0",</v>
      </c>
      <c r="BH216" t="str">
        <f t="shared" si="141"/>
        <v>"division":"--",</v>
      </c>
      <c r="BI216" t="str">
        <f t="shared" si="142"/>
        <v>"wc":"0",</v>
      </c>
      <c r="BJ216" t="str">
        <f t="shared" si="143"/>
        <v>"bw":"",</v>
      </c>
      <c r="BK216" t="str">
        <f t="shared" si="144"/>
        <v>"pb":[0,0,0,0],</v>
      </c>
      <c r="BL216" t="str">
        <f t="shared" si="116"/>
        <v>"idx":"23",</v>
      </c>
      <c r="BM216" t="str">
        <f t="shared" si="117"/>
        <v>"sr":"0",</v>
      </c>
      <c r="BN216" t="str">
        <f t="shared" si="118"/>
        <v>"br":"0",</v>
      </c>
      <c r="BO216" t="str">
        <f t="shared" si="119"/>
        <v>"row":0,</v>
      </c>
      <c r="BP216" t="s">
        <v>55</v>
      </c>
      <c r="BQ216" t="str">
        <f t="shared" si="120"/>
        <v>"sq":{"a1":0,"a2":"","a3":"","s1":0,"s2":0,"s3":0},"bp":{"a1":0,"a2":"","a3":"","s1":0,"s2":0,"s3":0},"dl":{"a1":0,"a2":"","a3":"","s1":0,"s2":0,"s3":0},"sortOrder":0,"act":{}}</v>
      </c>
      <c r="BR216" t="str">
        <f t="shared" si="145"/>
        <v>{"group":"A","lot":0,"name":"0","team":"","year":"0","gender":"0","gear":"0","lifts":"0","division":"--","wc":"0","bw":"","pb":[0,0,0,0],"idx":"23","sr":"0","br":"0","row":0,"sq":{"a1":0,"a2":"","a3":"","s1":0,"s2":0,"s3":0},"bp":{"a1":0,"a2":"","a3":"","s1":0,"s2":0,"s3":0},"dl":{"a1":0,"a2":"","a3":"","s1":0,"s2":0,"s3":0},"sortOrder":0,"act":{}}</v>
      </c>
    </row>
    <row r="217" spans="5:70" x14ac:dyDescent="0.25">
      <c r="E217" s="128"/>
      <c r="F217" s="129"/>
      <c r="G217" s="129"/>
      <c r="H217" s="129"/>
      <c r="I217" s="129"/>
      <c r="J217" s="129"/>
      <c r="K217" s="129"/>
      <c r="L217" s="130"/>
      <c r="M217" s="131"/>
      <c r="N217" s="130"/>
      <c r="O217" s="148">
        <f t="shared" ca="1" si="146"/>
        <v>2023</v>
      </c>
      <c r="P217" s="129"/>
      <c r="Q217" s="129"/>
      <c r="R217" s="129"/>
      <c r="S217" s="129"/>
      <c r="T217" s="129"/>
      <c r="U217" s="129"/>
      <c r="V217" s="129"/>
      <c r="W217" s="129"/>
      <c r="X217" s="129"/>
      <c r="Y217" s="132"/>
      <c r="Z217" s="133"/>
      <c r="AA217" s="133"/>
      <c r="AB217" s="134"/>
      <c r="AE217" s="15" t="str">
        <f t="shared" si="112"/>
        <v>A</v>
      </c>
      <c r="AF217" s="8">
        <f t="shared" si="113"/>
        <v>0</v>
      </c>
      <c r="AG217" s="9">
        <f t="shared" si="121"/>
        <v>0</v>
      </c>
      <c r="AH217" s="9" t="str">
        <f t="shared" si="122"/>
        <v/>
      </c>
      <c r="AI217" s="8">
        <f t="shared" si="114"/>
        <v>0</v>
      </c>
      <c r="AJ217" s="45">
        <f t="shared" si="123"/>
        <v>0</v>
      </c>
      <c r="AK217" s="45">
        <f t="shared" si="124"/>
        <v>0</v>
      </c>
      <c r="AL217" s="45">
        <f t="shared" si="125"/>
        <v>0</v>
      </c>
      <c r="AM217" s="8" t="str">
        <f t="shared" si="126"/>
        <v>--</v>
      </c>
      <c r="AN217" s="10">
        <f t="shared" si="127"/>
        <v>0</v>
      </c>
      <c r="AO217" s="10">
        <f t="shared" si="128"/>
        <v>0</v>
      </c>
      <c r="AP217" s="10">
        <f t="shared" si="129"/>
        <v>0</v>
      </c>
      <c r="AQ217" s="10">
        <f t="shared" si="130"/>
        <v>0</v>
      </c>
      <c r="AR217" s="10">
        <f t="shared" si="131"/>
        <v>0</v>
      </c>
      <c r="AS217" s="8">
        <v>23</v>
      </c>
      <c r="AT217" s="9">
        <f t="shared" si="132"/>
        <v>0</v>
      </c>
      <c r="AU217" s="11">
        <f t="shared" si="133"/>
        <v>0</v>
      </c>
      <c r="AV217" s="6"/>
      <c r="AW217" s="6"/>
      <c r="AX217" s="6"/>
      <c r="AZ217" t="str">
        <f t="shared" si="134"/>
        <v>{"group":"A",</v>
      </c>
      <c r="BA217" t="str">
        <f t="shared" si="115"/>
        <v>"lot":0,</v>
      </c>
      <c r="BB217" t="str">
        <f t="shared" si="135"/>
        <v>"name":"0",</v>
      </c>
      <c r="BC217" t="str">
        <f t="shared" si="136"/>
        <v>"team":"",</v>
      </c>
      <c r="BD217" t="str">
        <f t="shared" si="137"/>
        <v>"year":"0",</v>
      </c>
      <c r="BE217" t="str">
        <f t="shared" si="138"/>
        <v>"gender":"0",</v>
      </c>
      <c r="BF217" t="str">
        <f t="shared" si="139"/>
        <v>"gear":"0",</v>
      </c>
      <c r="BG217" t="str">
        <f t="shared" si="140"/>
        <v>"lifts":"0",</v>
      </c>
      <c r="BH217" t="str">
        <f t="shared" si="141"/>
        <v>"division":"--",</v>
      </c>
      <c r="BI217" t="str">
        <f t="shared" si="142"/>
        <v>"wc":"0",</v>
      </c>
      <c r="BJ217" t="str">
        <f t="shared" si="143"/>
        <v>"bw":"",</v>
      </c>
      <c r="BK217" t="str">
        <f t="shared" si="144"/>
        <v>"pb":[0,0,0,0],</v>
      </c>
      <c r="BL217" t="str">
        <f t="shared" si="116"/>
        <v>"idx":"23",</v>
      </c>
      <c r="BM217" t="str">
        <f t="shared" si="117"/>
        <v>"sr":"0",</v>
      </c>
      <c r="BN217" t="str">
        <f t="shared" si="118"/>
        <v>"br":"0",</v>
      </c>
      <c r="BO217" t="str">
        <f t="shared" si="119"/>
        <v>"row":0,</v>
      </c>
      <c r="BP217" t="s">
        <v>55</v>
      </c>
      <c r="BQ217" t="str">
        <f t="shared" si="120"/>
        <v>"sq":{"a1":0,"a2":"","a3":"","s1":0,"s2":0,"s3":0},"bp":{"a1":0,"a2":"","a3":"","s1":0,"s2":0,"s3":0},"dl":{"a1":0,"a2":"","a3":"","s1":0,"s2":0,"s3":0},"sortOrder":0,"act":{}}</v>
      </c>
      <c r="BR217" t="str">
        <f t="shared" si="145"/>
        <v>{"group":"A","lot":0,"name":"0","team":"","year":"0","gender":"0","gear":"0","lifts":"0","division":"--","wc":"0","bw":"","pb":[0,0,0,0],"idx":"23","sr":"0","br":"0","row":0,"sq":{"a1":0,"a2":"","a3":"","s1":0,"s2":0,"s3":0},"bp":{"a1":0,"a2":"","a3":"","s1":0,"s2":0,"s3":0},"dl":{"a1":0,"a2":"","a3":"","s1":0,"s2":0,"s3":0},"sortOrder":0,"act":{}}</v>
      </c>
    </row>
    <row r="218" spans="5:70" x14ac:dyDescent="0.25">
      <c r="E218" s="128"/>
      <c r="F218" s="129"/>
      <c r="G218" s="129"/>
      <c r="H218" s="129"/>
      <c r="I218" s="129"/>
      <c r="J218" s="129"/>
      <c r="K218" s="129"/>
      <c r="L218" s="130"/>
      <c r="M218" s="131"/>
      <c r="N218" s="130"/>
      <c r="O218" s="148">
        <f t="shared" ca="1" si="146"/>
        <v>2023</v>
      </c>
      <c r="P218" s="129"/>
      <c r="Q218" s="129"/>
      <c r="R218" s="129"/>
      <c r="S218" s="129"/>
      <c r="T218" s="129"/>
      <c r="U218" s="129"/>
      <c r="V218" s="129"/>
      <c r="W218" s="129"/>
      <c r="X218" s="129"/>
      <c r="Y218" s="132"/>
      <c r="Z218" s="133"/>
      <c r="AA218" s="133"/>
      <c r="AB218" s="134"/>
      <c r="AE218" s="15" t="str">
        <f t="shared" si="112"/>
        <v>A</v>
      </c>
      <c r="AF218" s="8">
        <f t="shared" si="113"/>
        <v>0</v>
      </c>
      <c r="AG218" s="9">
        <f t="shared" si="121"/>
        <v>0</v>
      </c>
      <c r="AH218" s="9" t="str">
        <f t="shared" si="122"/>
        <v/>
      </c>
      <c r="AI218" s="8">
        <f t="shared" si="114"/>
        <v>0</v>
      </c>
      <c r="AJ218" s="45">
        <f t="shared" si="123"/>
        <v>0</v>
      </c>
      <c r="AK218" s="45">
        <f t="shared" si="124"/>
        <v>0</v>
      </c>
      <c r="AL218" s="45">
        <f t="shared" si="125"/>
        <v>0</v>
      </c>
      <c r="AM218" s="8" t="str">
        <f t="shared" si="126"/>
        <v>--</v>
      </c>
      <c r="AN218" s="10">
        <f t="shared" si="127"/>
        <v>0</v>
      </c>
      <c r="AO218" s="10">
        <f t="shared" si="128"/>
        <v>0</v>
      </c>
      <c r="AP218" s="10">
        <f t="shared" si="129"/>
        <v>0</v>
      </c>
      <c r="AQ218" s="10">
        <f t="shared" si="130"/>
        <v>0</v>
      </c>
      <c r="AR218" s="10">
        <f t="shared" si="131"/>
        <v>0</v>
      </c>
      <c r="AS218" s="8">
        <v>23</v>
      </c>
      <c r="AT218" s="9">
        <f t="shared" si="132"/>
        <v>0</v>
      </c>
      <c r="AU218" s="11">
        <f t="shared" si="133"/>
        <v>0</v>
      </c>
      <c r="AV218" s="6"/>
      <c r="AW218" s="6"/>
      <c r="AX218" s="6"/>
      <c r="AZ218" t="str">
        <f t="shared" si="134"/>
        <v>{"group":"A",</v>
      </c>
      <c r="BA218" t="str">
        <f t="shared" si="115"/>
        <v>"lot":0,</v>
      </c>
      <c r="BB218" t="str">
        <f t="shared" si="135"/>
        <v>"name":"0",</v>
      </c>
      <c r="BC218" t="str">
        <f t="shared" si="136"/>
        <v>"team":"",</v>
      </c>
      <c r="BD218" t="str">
        <f t="shared" si="137"/>
        <v>"year":"0",</v>
      </c>
      <c r="BE218" t="str">
        <f t="shared" si="138"/>
        <v>"gender":"0",</v>
      </c>
      <c r="BF218" t="str">
        <f t="shared" si="139"/>
        <v>"gear":"0",</v>
      </c>
      <c r="BG218" t="str">
        <f t="shared" si="140"/>
        <v>"lifts":"0",</v>
      </c>
      <c r="BH218" t="str">
        <f t="shared" si="141"/>
        <v>"division":"--",</v>
      </c>
      <c r="BI218" t="str">
        <f t="shared" si="142"/>
        <v>"wc":"0",</v>
      </c>
      <c r="BJ218" t="str">
        <f t="shared" si="143"/>
        <v>"bw":"",</v>
      </c>
      <c r="BK218" t="str">
        <f t="shared" si="144"/>
        <v>"pb":[0,0,0,0],</v>
      </c>
      <c r="BL218" t="str">
        <f t="shared" si="116"/>
        <v>"idx":"23",</v>
      </c>
      <c r="BM218" t="str">
        <f t="shared" si="117"/>
        <v>"sr":"0",</v>
      </c>
      <c r="BN218" t="str">
        <f t="shared" si="118"/>
        <v>"br":"0",</v>
      </c>
      <c r="BO218" t="str">
        <f t="shared" si="119"/>
        <v>"row":0,</v>
      </c>
      <c r="BP218" t="s">
        <v>55</v>
      </c>
      <c r="BQ218" t="str">
        <f t="shared" si="120"/>
        <v>"sq":{"a1":0,"a2":"","a3":"","s1":0,"s2":0,"s3":0},"bp":{"a1":0,"a2":"","a3":"","s1":0,"s2":0,"s3":0},"dl":{"a1":0,"a2":"","a3":"","s1":0,"s2":0,"s3":0},"sortOrder":0,"act":{}}</v>
      </c>
      <c r="BR218" t="str">
        <f t="shared" si="145"/>
        <v>{"group":"A","lot":0,"name":"0","team":"","year":"0","gender":"0","gear":"0","lifts":"0","division":"--","wc":"0","bw":"","pb":[0,0,0,0],"idx":"23","sr":"0","br":"0","row":0,"sq":{"a1":0,"a2":"","a3":"","s1":0,"s2":0,"s3":0},"bp":{"a1":0,"a2":"","a3":"","s1":0,"s2":0,"s3":0},"dl":{"a1":0,"a2":"","a3":"","s1":0,"s2":0,"s3":0},"sortOrder":0,"act":{}}</v>
      </c>
    </row>
    <row r="219" spans="5:70" x14ac:dyDescent="0.25">
      <c r="E219" s="128"/>
      <c r="F219" s="129"/>
      <c r="G219" s="129"/>
      <c r="H219" s="129"/>
      <c r="I219" s="129"/>
      <c r="J219" s="129"/>
      <c r="K219" s="129"/>
      <c r="L219" s="130"/>
      <c r="M219" s="131"/>
      <c r="N219" s="130"/>
      <c r="O219" s="148">
        <f t="shared" ca="1" si="146"/>
        <v>2023</v>
      </c>
      <c r="P219" s="129"/>
      <c r="Q219" s="129"/>
      <c r="R219" s="129"/>
      <c r="S219" s="129"/>
      <c r="T219" s="129"/>
      <c r="U219" s="129"/>
      <c r="V219" s="129"/>
      <c r="W219" s="129"/>
      <c r="X219" s="129"/>
      <c r="Y219" s="132"/>
      <c r="Z219" s="133"/>
      <c r="AA219" s="133"/>
      <c r="AB219" s="134"/>
      <c r="AE219" s="15" t="str">
        <f t="shared" si="112"/>
        <v>A</v>
      </c>
      <c r="AF219" s="8">
        <f t="shared" si="113"/>
        <v>0</v>
      </c>
      <c r="AG219" s="9">
        <f t="shared" si="121"/>
        <v>0</v>
      </c>
      <c r="AH219" s="9" t="str">
        <f t="shared" si="122"/>
        <v/>
      </c>
      <c r="AI219" s="8">
        <f t="shared" si="114"/>
        <v>0</v>
      </c>
      <c r="AJ219" s="45">
        <f t="shared" si="123"/>
        <v>0</v>
      </c>
      <c r="AK219" s="45">
        <f t="shared" si="124"/>
        <v>0</v>
      </c>
      <c r="AL219" s="45">
        <f t="shared" si="125"/>
        <v>0</v>
      </c>
      <c r="AM219" s="8" t="str">
        <f t="shared" si="126"/>
        <v>--</v>
      </c>
      <c r="AN219" s="10">
        <f t="shared" si="127"/>
        <v>0</v>
      </c>
      <c r="AO219" s="10">
        <f t="shared" si="128"/>
        <v>0</v>
      </c>
      <c r="AP219" s="10">
        <f t="shared" si="129"/>
        <v>0</v>
      </c>
      <c r="AQ219" s="10">
        <f t="shared" si="130"/>
        <v>0</v>
      </c>
      <c r="AR219" s="10">
        <f t="shared" si="131"/>
        <v>0</v>
      </c>
      <c r="AS219" s="8">
        <v>23</v>
      </c>
      <c r="AT219" s="9">
        <f t="shared" si="132"/>
        <v>0</v>
      </c>
      <c r="AU219" s="11">
        <f t="shared" si="133"/>
        <v>0</v>
      </c>
      <c r="AV219" s="6"/>
      <c r="AW219" s="6"/>
      <c r="AX219" s="6"/>
      <c r="AZ219" t="str">
        <f t="shared" si="134"/>
        <v>{"group":"A",</v>
      </c>
      <c r="BA219" t="str">
        <f t="shared" si="115"/>
        <v>"lot":0,</v>
      </c>
      <c r="BB219" t="str">
        <f t="shared" si="135"/>
        <v>"name":"0",</v>
      </c>
      <c r="BC219" t="str">
        <f t="shared" si="136"/>
        <v>"team":"",</v>
      </c>
      <c r="BD219" t="str">
        <f t="shared" si="137"/>
        <v>"year":"0",</v>
      </c>
      <c r="BE219" t="str">
        <f t="shared" si="138"/>
        <v>"gender":"0",</v>
      </c>
      <c r="BF219" t="str">
        <f t="shared" si="139"/>
        <v>"gear":"0",</v>
      </c>
      <c r="BG219" t="str">
        <f t="shared" si="140"/>
        <v>"lifts":"0",</v>
      </c>
      <c r="BH219" t="str">
        <f t="shared" si="141"/>
        <v>"division":"--",</v>
      </c>
      <c r="BI219" t="str">
        <f t="shared" si="142"/>
        <v>"wc":"0",</v>
      </c>
      <c r="BJ219" t="str">
        <f t="shared" si="143"/>
        <v>"bw":"",</v>
      </c>
      <c r="BK219" t="str">
        <f t="shared" si="144"/>
        <v>"pb":[0,0,0,0],</v>
      </c>
      <c r="BL219" t="str">
        <f t="shared" si="116"/>
        <v>"idx":"23",</v>
      </c>
      <c r="BM219" t="str">
        <f t="shared" si="117"/>
        <v>"sr":"0",</v>
      </c>
      <c r="BN219" t="str">
        <f t="shared" si="118"/>
        <v>"br":"0",</v>
      </c>
      <c r="BO219" t="str">
        <f t="shared" si="119"/>
        <v>"row":0,</v>
      </c>
      <c r="BP219" t="s">
        <v>55</v>
      </c>
      <c r="BQ219" t="str">
        <f t="shared" si="120"/>
        <v>"sq":{"a1":0,"a2":"","a3":"","s1":0,"s2":0,"s3":0},"bp":{"a1":0,"a2":"","a3":"","s1":0,"s2":0,"s3":0},"dl":{"a1":0,"a2":"","a3":"","s1":0,"s2":0,"s3":0},"sortOrder":0,"act":{}}</v>
      </c>
      <c r="BR219" t="str">
        <f t="shared" si="145"/>
        <v>{"group":"A","lot":0,"name":"0","team":"","year":"0","gender":"0","gear":"0","lifts":"0","division":"--","wc":"0","bw":"","pb":[0,0,0,0],"idx":"23","sr":"0","br":"0","row":0,"sq":{"a1":0,"a2":"","a3":"","s1":0,"s2":0,"s3":0},"bp":{"a1":0,"a2":"","a3":"","s1":0,"s2":0,"s3":0},"dl":{"a1":0,"a2":"","a3":"","s1":0,"s2":0,"s3":0},"sortOrder":0,"act":{}}</v>
      </c>
    </row>
    <row r="220" spans="5:70" x14ac:dyDescent="0.25">
      <c r="E220" s="128"/>
      <c r="F220" s="129"/>
      <c r="G220" s="129"/>
      <c r="H220" s="129"/>
      <c r="I220" s="129"/>
      <c r="J220" s="129"/>
      <c r="K220" s="129"/>
      <c r="L220" s="130"/>
      <c r="M220" s="131"/>
      <c r="N220" s="130"/>
      <c r="O220" s="148">
        <f t="shared" ca="1" si="146"/>
        <v>2023</v>
      </c>
      <c r="P220" s="129"/>
      <c r="Q220" s="129"/>
      <c r="R220" s="129"/>
      <c r="S220" s="129"/>
      <c r="T220" s="129"/>
      <c r="U220" s="129"/>
      <c r="V220" s="129"/>
      <c r="W220" s="129"/>
      <c r="X220" s="129"/>
      <c r="Y220" s="132"/>
      <c r="Z220" s="133"/>
      <c r="AA220" s="133"/>
      <c r="AB220" s="134"/>
      <c r="AE220" s="15" t="str">
        <f t="shared" si="112"/>
        <v>A</v>
      </c>
      <c r="AF220" s="8">
        <f t="shared" si="113"/>
        <v>0</v>
      </c>
      <c r="AG220" s="9">
        <f t="shared" si="121"/>
        <v>0</v>
      </c>
      <c r="AH220" s="9" t="str">
        <f t="shared" si="122"/>
        <v/>
      </c>
      <c r="AI220" s="8">
        <f t="shared" si="114"/>
        <v>0</v>
      </c>
      <c r="AJ220" s="45">
        <f t="shared" si="123"/>
        <v>0</v>
      </c>
      <c r="AK220" s="45">
        <f t="shared" si="124"/>
        <v>0</v>
      </c>
      <c r="AL220" s="45">
        <f t="shared" si="125"/>
        <v>0</v>
      </c>
      <c r="AM220" s="8" t="str">
        <f t="shared" si="126"/>
        <v>--</v>
      </c>
      <c r="AN220" s="10">
        <f t="shared" si="127"/>
        <v>0</v>
      </c>
      <c r="AO220" s="10">
        <f t="shared" si="128"/>
        <v>0</v>
      </c>
      <c r="AP220" s="10">
        <f t="shared" si="129"/>
        <v>0</v>
      </c>
      <c r="AQ220" s="10">
        <f t="shared" si="130"/>
        <v>0</v>
      </c>
      <c r="AR220" s="10">
        <f t="shared" si="131"/>
        <v>0</v>
      </c>
      <c r="AS220" s="8">
        <v>23</v>
      </c>
      <c r="AT220" s="9">
        <f t="shared" si="132"/>
        <v>0</v>
      </c>
      <c r="AU220" s="11">
        <f t="shared" si="133"/>
        <v>0</v>
      </c>
      <c r="AV220" s="6"/>
      <c r="AW220" s="6"/>
      <c r="AX220" s="6"/>
      <c r="AZ220" t="str">
        <f t="shared" si="134"/>
        <v>{"group":"A",</v>
      </c>
      <c r="BA220" t="str">
        <f t="shared" si="115"/>
        <v>"lot":0,</v>
      </c>
      <c r="BB220" t="str">
        <f t="shared" si="135"/>
        <v>"name":"0",</v>
      </c>
      <c r="BC220" t="str">
        <f t="shared" si="136"/>
        <v>"team":"",</v>
      </c>
      <c r="BD220" t="str">
        <f t="shared" si="137"/>
        <v>"year":"0",</v>
      </c>
      <c r="BE220" t="str">
        <f t="shared" si="138"/>
        <v>"gender":"0",</v>
      </c>
      <c r="BF220" t="str">
        <f t="shared" si="139"/>
        <v>"gear":"0",</v>
      </c>
      <c r="BG220" t="str">
        <f t="shared" si="140"/>
        <v>"lifts":"0",</v>
      </c>
      <c r="BH220" t="str">
        <f t="shared" si="141"/>
        <v>"division":"--",</v>
      </c>
      <c r="BI220" t="str">
        <f t="shared" si="142"/>
        <v>"wc":"0",</v>
      </c>
      <c r="BJ220" t="str">
        <f t="shared" si="143"/>
        <v>"bw":"",</v>
      </c>
      <c r="BK220" t="str">
        <f t="shared" si="144"/>
        <v>"pb":[0,0,0,0],</v>
      </c>
      <c r="BL220" t="str">
        <f t="shared" si="116"/>
        <v>"idx":"23",</v>
      </c>
      <c r="BM220" t="str">
        <f t="shared" si="117"/>
        <v>"sr":"0",</v>
      </c>
      <c r="BN220" t="str">
        <f t="shared" si="118"/>
        <v>"br":"0",</v>
      </c>
      <c r="BO220" t="str">
        <f t="shared" si="119"/>
        <v>"row":0,</v>
      </c>
      <c r="BP220" t="s">
        <v>55</v>
      </c>
      <c r="BQ220" t="str">
        <f t="shared" si="120"/>
        <v>"sq":{"a1":0,"a2":"","a3":"","s1":0,"s2":0,"s3":0},"bp":{"a1":0,"a2":"","a3":"","s1":0,"s2":0,"s3":0},"dl":{"a1":0,"a2":"","a3":"","s1":0,"s2":0,"s3":0},"sortOrder":0,"act":{}}</v>
      </c>
      <c r="BR220" t="str">
        <f t="shared" si="145"/>
        <v>{"group":"A","lot":0,"name":"0","team":"","year":"0","gender":"0","gear":"0","lifts":"0","division":"--","wc":"0","bw":"","pb":[0,0,0,0],"idx":"23","sr":"0","br":"0","row":0,"sq":{"a1":0,"a2":"","a3":"","s1":0,"s2":0,"s3":0},"bp":{"a1":0,"a2":"","a3":"","s1":0,"s2":0,"s3":0},"dl":{"a1":0,"a2":"","a3":"","s1":0,"s2":0,"s3":0},"sortOrder":0,"act":{}}</v>
      </c>
    </row>
    <row r="221" spans="5:70" x14ac:dyDescent="0.25">
      <c r="E221" s="128"/>
      <c r="F221" s="129"/>
      <c r="G221" s="129"/>
      <c r="H221" s="129"/>
      <c r="I221" s="129"/>
      <c r="J221" s="129"/>
      <c r="K221" s="129"/>
      <c r="L221" s="130"/>
      <c r="M221" s="131"/>
      <c r="N221" s="130"/>
      <c r="O221" s="148">
        <f t="shared" ca="1" si="146"/>
        <v>2023</v>
      </c>
      <c r="P221" s="129"/>
      <c r="Q221" s="129"/>
      <c r="R221" s="129"/>
      <c r="S221" s="129"/>
      <c r="T221" s="129"/>
      <c r="U221" s="129"/>
      <c r="V221" s="129"/>
      <c r="W221" s="129"/>
      <c r="X221" s="129"/>
      <c r="Y221" s="132"/>
      <c r="Z221" s="133"/>
      <c r="AA221" s="133"/>
      <c r="AB221" s="134"/>
      <c r="AE221" s="15" t="str">
        <f t="shared" si="112"/>
        <v>A</v>
      </c>
      <c r="AF221" s="8">
        <f t="shared" si="113"/>
        <v>0</v>
      </c>
      <c r="AG221" s="9">
        <f t="shared" si="121"/>
        <v>0</v>
      </c>
      <c r="AH221" s="9" t="str">
        <f t="shared" si="122"/>
        <v/>
      </c>
      <c r="AI221" s="8">
        <f t="shared" si="114"/>
        <v>0</v>
      </c>
      <c r="AJ221" s="45">
        <f t="shared" si="123"/>
        <v>0</v>
      </c>
      <c r="AK221" s="45">
        <f t="shared" si="124"/>
        <v>0</v>
      </c>
      <c r="AL221" s="45">
        <f t="shared" si="125"/>
        <v>0</v>
      </c>
      <c r="AM221" s="8" t="str">
        <f t="shared" si="126"/>
        <v>--</v>
      </c>
      <c r="AN221" s="10">
        <f t="shared" si="127"/>
        <v>0</v>
      </c>
      <c r="AO221" s="10">
        <f t="shared" si="128"/>
        <v>0</v>
      </c>
      <c r="AP221" s="10">
        <f t="shared" si="129"/>
        <v>0</v>
      </c>
      <c r="AQ221" s="10">
        <f t="shared" si="130"/>
        <v>0</v>
      </c>
      <c r="AR221" s="10">
        <f t="shared" si="131"/>
        <v>0</v>
      </c>
      <c r="AS221" s="8">
        <v>23</v>
      </c>
      <c r="AT221" s="9">
        <f t="shared" si="132"/>
        <v>0</v>
      </c>
      <c r="AU221" s="11">
        <f t="shared" si="133"/>
        <v>0</v>
      </c>
      <c r="AV221" s="6"/>
      <c r="AW221" s="6"/>
      <c r="AX221" s="6"/>
      <c r="AZ221" t="str">
        <f t="shared" si="134"/>
        <v>{"group":"A",</v>
      </c>
      <c r="BA221" t="str">
        <f t="shared" si="115"/>
        <v>"lot":0,</v>
      </c>
      <c r="BB221" t="str">
        <f t="shared" si="135"/>
        <v>"name":"0",</v>
      </c>
      <c r="BC221" t="str">
        <f t="shared" si="136"/>
        <v>"team":"",</v>
      </c>
      <c r="BD221" t="str">
        <f t="shared" si="137"/>
        <v>"year":"0",</v>
      </c>
      <c r="BE221" t="str">
        <f t="shared" si="138"/>
        <v>"gender":"0",</v>
      </c>
      <c r="BF221" t="str">
        <f t="shared" si="139"/>
        <v>"gear":"0",</v>
      </c>
      <c r="BG221" t="str">
        <f t="shared" si="140"/>
        <v>"lifts":"0",</v>
      </c>
      <c r="BH221" t="str">
        <f t="shared" si="141"/>
        <v>"division":"--",</v>
      </c>
      <c r="BI221" t="str">
        <f t="shared" si="142"/>
        <v>"wc":"0",</v>
      </c>
      <c r="BJ221" t="str">
        <f t="shared" si="143"/>
        <v>"bw":"",</v>
      </c>
      <c r="BK221" t="str">
        <f t="shared" si="144"/>
        <v>"pb":[0,0,0,0],</v>
      </c>
      <c r="BL221" t="str">
        <f t="shared" si="116"/>
        <v>"idx":"23",</v>
      </c>
      <c r="BM221" t="str">
        <f t="shared" si="117"/>
        <v>"sr":"0",</v>
      </c>
      <c r="BN221" t="str">
        <f t="shared" si="118"/>
        <v>"br":"0",</v>
      </c>
      <c r="BO221" t="str">
        <f t="shared" si="119"/>
        <v>"row":0,</v>
      </c>
      <c r="BP221" t="s">
        <v>55</v>
      </c>
      <c r="BQ221" t="str">
        <f t="shared" si="120"/>
        <v>"sq":{"a1":0,"a2":"","a3":"","s1":0,"s2":0,"s3":0},"bp":{"a1":0,"a2":"","a3":"","s1":0,"s2":0,"s3":0},"dl":{"a1":0,"a2":"","a3":"","s1":0,"s2":0,"s3":0},"sortOrder":0,"act":{}}</v>
      </c>
      <c r="BR221" t="str">
        <f t="shared" si="145"/>
        <v>{"group":"A","lot":0,"name":"0","team":"","year":"0","gender":"0","gear":"0","lifts":"0","division":"--","wc":"0","bw":"","pb":[0,0,0,0],"idx":"23","sr":"0","br":"0","row":0,"sq":{"a1":0,"a2":"","a3":"","s1":0,"s2":0,"s3":0},"bp":{"a1":0,"a2":"","a3":"","s1":0,"s2":0,"s3":0},"dl":{"a1":0,"a2":"","a3":"","s1":0,"s2":0,"s3":0},"sortOrder":0,"act":{}}</v>
      </c>
    </row>
    <row r="222" spans="5:70" x14ac:dyDescent="0.25">
      <c r="E222" s="128"/>
      <c r="F222" s="129"/>
      <c r="G222" s="129"/>
      <c r="H222" s="129"/>
      <c r="I222" s="129"/>
      <c r="J222" s="129"/>
      <c r="K222" s="129"/>
      <c r="L222" s="130"/>
      <c r="M222" s="131"/>
      <c r="N222" s="130"/>
      <c r="O222" s="148">
        <f t="shared" ca="1" si="146"/>
        <v>2023</v>
      </c>
      <c r="P222" s="129"/>
      <c r="Q222" s="129"/>
      <c r="R222" s="129"/>
      <c r="S222" s="129"/>
      <c r="T222" s="129"/>
      <c r="U222" s="129"/>
      <c r="V222" s="129"/>
      <c r="W222" s="129"/>
      <c r="X222" s="129"/>
      <c r="Y222" s="132"/>
      <c r="Z222" s="133"/>
      <c r="AA222" s="133"/>
      <c r="AB222" s="134"/>
      <c r="AE222" s="15" t="str">
        <f t="shared" si="112"/>
        <v>A</v>
      </c>
      <c r="AF222" s="8">
        <f t="shared" si="113"/>
        <v>0</v>
      </c>
      <c r="AG222" s="9">
        <f t="shared" si="121"/>
        <v>0</v>
      </c>
      <c r="AH222" s="9" t="str">
        <f t="shared" si="122"/>
        <v/>
      </c>
      <c r="AI222" s="8">
        <f t="shared" si="114"/>
        <v>0</v>
      </c>
      <c r="AJ222" s="45">
        <f t="shared" si="123"/>
        <v>0</v>
      </c>
      <c r="AK222" s="45">
        <f t="shared" si="124"/>
        <v>0</v>
      </c>
      <c r="AL222" s="45">
        <f t="shared" si="125"/>
        <v>0</v>
      </c>
      <c r="AM222" s="8" t="str">
        <f t="shared" si="126"/>
        <v>--</v>
      </c>
      <c r="AN222" s="10">
        <f t="shared" si="127"/>
        <v>0</v>
      </c>
      <c r="AO222" s="10">
        <f t="shared" si="128"/>
        <v>0</v>
      </c>
      <c r="AP222" s="10">
        <f t="shared" si="129"/>
        <v>0</v>
      </c>
      <c r="AQ222" s="10">
        <f t="shared" si="130"/>
        <v>0</v>
      </c>
      <c r="AR222" s="10">
        <f t="shared" si="131"/>
        <v>0</v>
      </c>
      <c r="AS222" s="8">
        <v>23</v>
      </c>
      <c r="AT222" s="9">
        <f t="shared" si="132"/>
        <v>0</v>
      </c>
      <c r="AU222" s="11">
        <f t="shared" si="133"/>
        <v>0</v>
      </c>
      <c r="AV222" s="6"/>
      <c r="AW222" s="6"/>
      <c r="AX222" s="6"/>
      <c r="AZ222" t="str">
        <f t="shared" si="134"/>
        <v>{"group":"A",</v>
      </c>
      <c r="BA222" t="str">
        <f t="shared" si="115"/>
        <v>"lot":0,</v>
      </c>
      <c r="BB222" t="str">
        <f t="shared" si="135"/>
        <v>"name":"0",</v>
      </c>
      <c r="BC222" t="str">
        <f t="shared" si="136"/>
        <v>"team":"",</v>
      </c>
      <c r="BD222" t="str">
        <f t="shared" si="137"/>
        <v>"year":"0",</v>
      </c>
      <c r="BE222" t="str">
        <f t="shared" si="138"/>
        <v>"gender":"0",</v>
      </c>
      <c r="BF222" t="str">
        <f t="shared" si="139"/>
        <v>"gear":"0",</v>
      </c>
      <c r="BG222" t="str">
        <f t="shared" si="140"/>
        <v>"lifts":"0",</v>
      </c>
      <c r="BH222" t="str">
        <f t="shared" si="141"/>
        <v>"division":"--",</v>
      </c>
      <c r="BI222" t="str">
        <f t="shared" si="142"/>
        <v>"wc":"0",</v>
      </c>
      <c r="BJ222" t="str">
        <f t="shared" si="143"/>
        <v>"bw":"",</v>
      </c>
      <c r="BK222" t="str">
        <f t="shared" si="144"/>
        <v>"pb":[0,0,0,0],</v>
      </c>
      <c r="BL222" t="str">
        <f t="shared" si="116"/>
        <v>"idx":"23",</v>
      </c>
      <c r="BM222" t="str">
        <f t="shared" si="117"/>
        <v>"sr":"0",</v>
      </c>
      <c r="BN222" t="str">
        <f t="shared" si="118"/>
        <v>"br":"0",</v>
      </c>
      <c r="BO222" t="str">
        <f t="shared" si="119"/>
        <v>"row":0,</v>
      </c>
      <c r="BP222" t="s">
        <v>55</v>
      </c>
      <c r="BQ222" t="str">
        <f t="shared" si="120"/>
        <v>"sq":{"a1":0,"a2":"","a3":"","s1":0,"s2":0,"s3":0},"bp":{"a1":0,"a2":"","a3":"","s1":0,"s2":0,"s3":0},"dl":{"a1":0,"a2":"","a3":"","s1":0,"s2":0,"s3":0},"sortOrder":0,"act":{}}</v>
      </c>
      <c r="BR222" t="str">
        <f t="shared" si="145"/>
        <v>{"group":"A","lot":0,"name":"0","team":"","year":"0","gender":"0","gear":"0","lifts":"0","division":"--","wc":"0","bw":"","pb":[0,0,0,0],"idx":"23","sr":"0","br":"0","row":0,"sq":{"a1":0,"a2":"","a3":"","s1":0,"s2":0,"s3":0},"bp":{"a1":0,"a2":"","a3":"","s1":0,"s2":0,"s3":0},"dl":{"a1":0,"a2":"","a3":"","s1":0,"s2":0,"s3":0},"sortOrder":0,"act":{}}</v>
      </c>
    </row>
    <row r="223" spans="5:70" x14ac:dyDescent="0.25">
      <c r="E223" s="128"/>
      <c r="F223" s="129"/>
      <c r="G223" s="129"/>
      <c r="H223" s="129"/>
      <c r="I223" s="129"/>
      <c r="J223" s="129"/>
      <c r="K223" s="129"/>
      <c r="L223" s="130"/>
      <c r="M223" s="131"/>
      <c r="N223" s="130"/>
      <c r="O223" s="148">
        <f t="shared" ca="1" si="146"/>
        <v>2023</v>
      </c>
      <c r="P223" s="129"/>
      <c r="Q223" s="129"/>
      <c r="R223" s="129"/>
      <c r="S223" s="129"/>
      <c r="T223" s="129"/>
      <c r="U223" s="129"/>
      <c r="V223" s="129"/>
      <c r="W223" s="129"/>
      <c r="X223" s="129"/>
      <c r="Y223" s="132"/>
      <c r="Z223" s="133"/>
      <c r="AA223" s="133"/>
      <c r="AB223" s="134"/>
      <c r="AE223" s="15" t="str">
        <f t="shared" si="112"/>
        <v>A</v>
      </c>
      <c r="AF223" s="8">
        <f t="shared" si="113"/>
        <v>0</v>
      </c>
      <c r="AG223" s="9">
        <f t="shared" si="121"/>
        <v>0</v>
      </c>
      <c r="AH223" s="9" t="str">
        <f t="shared" si="122"/>
        <v/>
      </c>
      <c r="AI223" s="8">
        <f t="shared" si="114"/>
        <v>0</v>
      </c>
      <c r="AJ223" s="45">
        <f t="shared" si="123"/>
        <v>0</v>
      </c>
      <c r="AK223" s="45">
        <f t="shared" si="124"/>
        <v>0</v>
      </c>
      <c r="AL223" s="45">
        <f t="shared" si="125"/>
        <v>0</v>
      </c>
      <c r="AM223" s="8" t="str">
        <f t="shared" si="126"/>
        <v>--</v>
      </c>
      <c r="AN223" s="10">
        <f t="shared" si="127"/>
        <v>0</v>
      </c>
      <c r="AO223" s="10">
        <f t="shared" si="128"/>
        <v>0</v>
      </c>
      <c r="AP223" s="10">
        <f t="shared" si="129"/>
        <v>0</v>
      </c>
      <c r="AQ223" s="10">
        <f t="shared" si="130"/>
        <v>0</v>
      </c>
      <c r="AR223" s="10">
        <f t="shared" si="131"/>
        <v>0</v>
      </c>
      <c r="AS223" s="8">
        <v>23</v>
      </c>
      <c r="AT223" s="9">
        <f t="shared" si="132"/>
        <v>0</v>
      </c>
      <c r="AU223" s="11">
        <f t="shared" si="133"/>
        <v>0</v>
      </c>
      <c r="AV223" s="6"/>
      <c r="AW223" s="6"/>
      <c r="AX223" s="6"/>
      <c r="AZ223" t="str">
        <f t="shared" si="134"/>
        <v>{"group":"A",</v>
      </c>
      <c r="BA223" t="str">
        <f t="shared" si="115"/>
        <v>"lot":0,</v>
      </c>
      <c r="BB223" t="str">
        <f t="shared" si="135"/>
        <v>"name":"0",</v>
      </c>
      <c r="BC223" t="str">
        <f t="shared" si="136"/>
        <v>"team":"",</v>
      </c>
      <c r="BD223" t="str">
        <f t="shared" si="137"/>
        <v>"year":"0",</v>
      </c>
      <c r="BE223" t="str">
        <f t="shared" si="138"/>
        <v>"gender":"0",</v>
      </c>
      <c r="BF223" t="str">
        <f t="shared" si="139"/>
        <v>"gear":"0",</v>
      </c>
      <c r="BG223" t="str">
        <f t="shared" si="140"/>
        <v>"lifts":"0",</v>
      </c>
      <c r="BH223" t="str">
        <f t="shared" si="141"/>
        <v>"division":"--",</v>
      </c>
      <c r="BI223" t="str">
        <f t="shared" si="142"/>
        <v>"wc":"0",</v>
      </c>
      <c r="BJ223" t="str">
        <f t="shared" si="143"/>
        <v>"bw":"",</v>
      </c>
      <c r="BK223" t="str">
        <f t="shared" si="144"/>
        <v>"pb":[0,0,0,0],</v>
      </c>
      <c r="BL223" t="str">
        <f t="shared" si="116"/>
        <v>"idx":"23",</v>
      </c>
      <c r="BM223" t="str">
        <f t="shared" si="117"/>
        <v>"sr":"0",</v>
      </c>
      <c r="BN223" t="str">
        <f t="shared" si="118"/>
        <v>"br":"0",</v>
      </c>
      <c r="BO223" t="str">
        <f t="shared" si="119"/>
        <v>"row":0,</v>
      </c>
      <c r="BP223" t="s">
        <v>55</v>
      </c>
      <c r="BQ223" t="str">
        <f t="shared" si="120"/>
        <v>"sq":{"a1":0,"a2":"","a3":"","s1":0,"s2":0,"s3":0},"bp":{"a1":0,"a2":"","a3":"","s1":0,"s2":0,"s3":0},"dl":{"a1":0,"a2":"","a3":"","s1":0,"s2":0,"s3":0},"sortOrder":0,"act":{}}</v>
      </c>
      <c r="BR223" t="str">
        <f t="shared" si="145"/>
        <v>{"group":"A","lot":0,"name":"0","team":"","year":"0","gender":"0","gear":"0","lifts":"0","division":"--","wc":"0","bw":"","pb":[0,0,0,0],"idx":"23","sr":"0","br":"0","row":0,"sq":{"a1":0,"a2":"","a3":"","s1":0,"s2":0,"s3":0},"bp":{"a1":0,"a2":"","a3":"","s1":0,"s2":0,"s3":0},"dl":{"a1":0,"a2":"","a3":"","s1":0,"s2":0,"s3":0},"sortOrder":0,"act":{}}</v>
      </c>
    </row>
    <row r="224" spans="5:70" x14ac:dyDescent="0.25">
      <c r="E224" s="128"/>
      <c r="F224" s="129"/>
      <c r="G224" s="129"/>
      <c r="H224" s="129"/>
      <c r="I224" s="129"/>
      <c r="J224" s="129"/>
      <c r="K224" s="129"/>
      <c r="L224" s="130"/>
      <c r="M224" s="131"/>
      <c r="N224" s="130"/>
      <c r="O224" s="148">
        <f t="shared" ca="1" si="146"/>
        <v>2023</v>
      </c>
      <c r="P224" s="129"/>
      <c r="Q224" s="129"/>
      <c r="R224" s="129"/>
      <c r="S224" s="129"/>
      <c r="T224" s="129"/>
      <c r="U224" s="129"/>
      <c r="V224" s="129"/>
      <c r="W224" s="129"/>
      <c r="X224" s="129"/>
      <c r="Y224" s="132"/>
      <c r="Z224" s="133"/>
      <c r="AA224" s="133"/>
      <c r="AB224" s="134"/>
      <c r="AE224" s="15" t="str">
        <f t="shared" si="112"/>
        <v>A</v>
      </c>
      <c r="AF224" s="8">
        <f t="shared" si="113"/>
        <v>0</v>
      </c>
      <c r="AG224" s="9">
        <f t="shared" si="121"/>
        <v>0</v>
      </c>
      <c r="AH224" s="9" t="str">
        <f t="shared" si="122"/>
        <v/>
      </c>
      <c r="AI224" s="8">
        <f t="shared" si="114"/>
        <v>0</v>
      </c>
      <c r="AJ224" s="45">
        <f t="shared" si="123"/>
        <v>0</v>
      </c>
      <c r="AK224" s="45">
        <f t="shared" si="124"/>
        <v>0</v>
      </c>
      <c r="AL224" s="45">
        <f t="shared" si="125"/>
        <v>0</v>
      </c>
      <c r="AM224" s="8" t="str">
        <f t="shared" si="126"/>
        <v>--</v>
      </c>
      <c r="AN224" s="10">
        <f t="shared" si="127"/>
        <v>0</v>
      </c>
      <c r="AO224" s="10">
        <f t="shared" si="128"/>
        <v>0</v>
      </c>
      <c r="AP224" s="10">
        <f t="shared" si="129"/>
        <v>0</v>
      </c>
      <c r="AQ224" s="10">
        <f t="shared" si="130"/>
        <v>0</v>
      </c>
      <c r="AR224" s="10">
        <f t="shared" si="131"/>
        <v>0</v>
      </c>
      <c r="AS224" s="8">
        <v>23</v>
      </c>
      <c r="AT224" s="9">
        <f t="shared" si="132"/>
        <v>0</v>
      </c>
      <c r="AU224" s="11">
        <f t="shared" si="133"/>
        <v>0</v>
      </c>
      <c r="AV224" s="6"/>
      <c r="AW224" s="6"/>
      <c r="AX224" s="6"/>
      <c r="AZ224" t="str">
        <f t="shared" si="134"/>
        <v>{"group":"A",</v>
      </c>
      <c r="BA224" t="str">
        <f t="shared" si="115"/>
        <v>"lot":0,</v>
      </c>
      <c r="BB224" t="str">
        <f t="shared" si="135"/>
        <v>"name":"0",</v>
      </c>
      <c r="BC224" t="str">
        <f t="shared" si="136"/>
        <v>"team":"",</v>
      </c>
      <c r="BD224" t="str">
        <f t="shared" si="137"/>
        <v>"year":"0",</v>
      </c>
      <c r="BE224" t="str">
        <f t="shared" si="138"/>
        <v>"gender":"0",</v>
      </c>
      <c r="BF224" t="str">
        <f t="shared" si="139"/>
        <v>"gear":"0",</v>
      </c>
      <c r="BG224" t="str">
        <f t="shared" si="140"/>
        <v>"lifts":"0",</v>
      </c>
      <c r="BH224" t="str">
        <f t="shared" si="141"/>
        <v>"division":"--",</v>
      </c>
      <c r="BI224" t="str">
        <f t="shared" si="142"/>
        <v>"wc":"0",</v>
      </c>
      <c r="BJ224" t="str">
        <f t="shared" si="143"/>
        <v>"bw":"",</v>
      </c>
      <c r="BK224" t="str">
        <f t="shared" si="144"/>
        <v>"pb":[0,0,0,0],</v>
      </c>
      <c r="BL224" t="str">
        <f t="shared" si="116"/>
        <v>"idx":"23",</v>
      </c>
      <c r="BM224" t="str">
        <f t="shared" si="117"/>
        <v>"sr":"0",</v>
      </c>
      <c r="BN224" t="str">
        <f t="shared" si="118"/>
        <v>"br":"0",</v>
      </c>
      <c r="BO224" t="str">
        <f t="shared" si="119"/>
        <v>"row":0,</v>
      </c>
      <c r="BP224" t="s">
        <v>55</v>
      </c>
      <c r="BQ224" t="str">
        <f t="shared" si="120"/>
        <v>"sq":{"a1":0,"a2":"","a3":"","s1":0,"s2":0,"s3":0},"bp":{"a1":0,"a2":"","a3":"","s1":0,"s2":0,"s3":0},"dl":{"a1":0,"a2":"","a3":"","s1":0,"s2":0,"s3":0},"sortOrder":0,"act":{}}</v>
      </c>
      <c r="BR224" t="str">
        <f t="shared" si="145"/>
        <v>{"group":"A","lot":0,"name":"0","team":"","year":"0","gender":"0","gear":"0","lifts":"0","division":"--","wc":"0","bw":"","pb":[0,0,0,0],"idx":"23","sr":"0","br":"0","row":0,"sq":{"a1":0,"a2":"","a3":"","s1":0,"s2":0,"s3":0},"bp":{"a1":0,"a2":"","a3":"","s1":0,"s2":0,"s3":0},"dl":{"a1":0,"a2":"","a3":"","s1":0,"s2":0,"s3":0},"sortOrder":0,"act":{}}</v>
      </c>
    </row>
    <row r="225" spans="5:70" x14ac:dyDescent="0.25">
      <c r="E225" s="128"/>
      <c r="F225" s="129"/>
      <c r="G225" s="129"/>
      <c r="H225" s="129"/>
      <c r="I225" s="129"/>
      <c r="J225" s="129"/>
      <c r="K225" s="129"/>
      <c r="L225" s="130"/>
      <c r="M225" s="131"/>
      <c r="N225" s="130"/>
      <c r="O225" s="148">
        <f t="shared" ca="1" si="146"/>
        <v>2023</v>
      </c>
      <c r="P225" s="129"/>
      <c r="Q225" s="129"/>
      <c r="R225" s="129"/>
      <c r="S225" s="129"/>
      <c r="T225" s="129"/>
      <c r="U225" s="129"/>
      <c r="V225" s="129"/>
      <c r="W225" s="129"/>
      <c r="X225" s="129"/>
      <c r="Y225" s="132"/>
      <c r="Z225" s="133"/>
      <c r="AA225" s="133"/>
      <c r="AB225" s="134"/>
      <c r="AE225" s="15" t="str">
        <f t="shared" si="112"/>
        <v>A</v>
      </c>
      <c r="AF225" s="8">
        <f t="shared" si="113"/>
        <v>0</v>
      </c>
      <c r="AG225" s="9">
        <f t="shared" si="121"/>
        <v>0</v>
      </c>
      <c r="AH225" s="9" t="str">
        <f t="shared" si="122"/>
        <v/>
      </c>
      <c r="AI225" s="8">
        <f t="shared" si="114"/>
        <v>0</v>
      </c>
      <c r="AJ225" s="45">
        <f t="shared" si="123"/>
        <v>0</v>
      </c>
      <c r="AK225" s="45">
        <f t="shared" si="124"/>
        <v>0</v>
      </c>
      <c r="AL225" s="45">
        <f t="shared" si="125"/>
        <v>0</v>
      </c>
      <c r="AM225" s="8" t="str">
        <f t="shared" si="126"/>
        <v>--</v>
      </c>
      <c r="AN225" s="10">
        <f t="shared" si="127"/>
        <v>0</v>
      </c>
      <c r="AO225" s="10">
        <f t="shared" si="128"/>
        <v>0</v>
      </c>
      <c r="AP225" s="10">
        <f t="shared" si="129"/>
        <v>0</v>
      </c>
      <c r="AQ225" s="10">
        <f t="shared" si="130"/>
        <v>0</v>
      </c>
      <c r="AR225" s="10">
        <f t="shared" si="131"/>
        <v>0</v>
      </c>
      <c r="AS225" s="8">
        <v>23</v>
      </c>
      <c r="AT225" s="9">
        <f t="shared" si="132"/>
        <v>0</v>
      </c>
      <c r="AU225" s="11">
        <f t="shared" si="133"/>
        <v>0</v>
      </c>
      <c r="AV225" s="6"/>
      <c r="AW225" s="6"/>
      <c r="AX225" s="6"/>
      <c r="AZ225" t="str">
        <f t="shared" si="134"/>
        <v>{"group":"A",</v>
      </c>
      <c r="BA225" t="str">
        <f t="shared" si="115"/>
        <v>"lot":0,</v>
      </c>
      <c r="BB225" t="str">
        <f t="shared" si="135"/>
        <v>"name":"0",</v>
      </c>
      <c r="BC225" t="str">
        <f t="shared" si="136"/>
        <v>"team":"",</v>
      </c>
      <c r="BD225" t="str">
        <f t="shared" si="137"/>
        <v>"year":"0",</v>
      </c>
      <c r="BE225" t="str">
        <f t="shared" si="138"/>
        <v>"gender":"0",</v>
      </c>
      <c r="BF225" t="str">
        <f t="shared" si="139"/>
        <v>"gear":"0",</v>
      </c>
      <c r="BG225" t="str">
        <f t="shared" si="140"/>
        <v>"lifts":"0",</v>
      </c>
      <c r="BH225" t="str">
        <f t="shared" si="141"/>
        <v>"division":"--",</v>
      </c>
      <c r="BI225" t="str">
        <f t="shared" si="142"/>
        <v>"wc":"0",</v>
      </c>
      <c r="BJ225" t="str">
        <f t="shared" si="143"/>
        <v>"bw":"",</v>
      </c>
      <c r="BK225" t="str">
        <f t="shared" si="144"/>
        <v>"pb":[0,0,0,0],</v>
      </c>
      <c r="BL225" t="str">
        <f t="shared" si="116"/>
        <v>"idx":"23",</v>
      </c>
      <c r="BM225" t="str">
        <f t="shared" si="117"/>
        <v>"sr":"0",</v>
      </c>
      <c r="BN225" t="str">
        <f t="shared" si="118"/>
        <v>"br":"0",</v>
      </c>
      <c r="BO225" t="str">
        <f t="shared" si="119"/>
        <v>"row":0,</v>
      </c>
      <c r="BP225" t="s">
        <v>55</v>
      </c>
      <c r="BQ225" t="str">
        <f t="shared" si="120"/>
        <v>"sq":{"a1":0,"a2":"","a3":"","s1":0,"s2":0,"s3":0},"bp":{"a1":0,"a2":"","a3":"","s1":0,"s2":0,"s3":0},"dl":{"a1":0,"a2":"","a3":"","s1":0,"s2":0,"s3":0},"sortOrder":0,"act":{}}</v>
      </c>
      <c r="BR225" t="str">
        <f t="shared" si="145"/>
        <v>{"group":"A","lot":0,"name":"0","team":"","year":"0","gender":"0","gear":"0","lifts":"0","division":"--","wc":"0","bw":"","pb":[0,0,0,0],"idx":"23","sr":"0","br":"0","row":0,"sq":{"a1":0,"a2":"","a3":"","s1":0,"s2":0,"s3":0},"bp":{"a1":0,"a2":"","a3":"","s1":0,"s2":0,"s3":0},"dl":{"a1":0,"a2":"","a3":"","s1":0,"s2":0,"s3":0},"sortOrder":0,"act":{}}</v>
      </c>
    </row>
    <row r="226" spans="5:70" x14ac:dyDescent="0.25">
      <c r="E226" s="128"/>
      <c r="F226" s="129"/>
      <c r="G226" s="129"/>
      <c r="H226" s="129"/>
      <c r="I226" s="129"/>
      <c r="J226" s="129"/>
      <c r="K226" s="129"/>
      <c r="L226" s="130"/>
      <c r="M226" s="131"/>
      <c r="N226" s="130"/>
      <c r="O226" s="148">
        <f t="shared" ca="1" si="146"/>
        <v>2023</v>
      </c>
      <c r="P226" s="129"/>
      <c r="Q226" s="129"/>
      <c r="R226" s="129"/>
      <c r="S226" s="129"/>
      <c r="T226" s="129"/>
      <c r="U226" s="129"/>
      <c r="V226" s="129"/>
      <c r="W226" s="129"/>
      <c r="X226" s="129"/>
      <c r="Y226" s="132"/>
      <c r="Z226" s="133"/>
      <c r="AA226" s="133"/>
      <c r="AB226" s="134"/>
      <c r="AE226" s="15" t="str">
        <f t="shared" si="112"/>
        <v>A</v>
      </c>
      <c r="AF226" s="8">
        <f t="shared" si="113"/>
        <v>0</v>
      </c>
      <c r="AG226" s="9">
        <f t="shared" si="121"/>
        <v>0</v>
      </c>
      <c r="AH226" s="9" t="str">
        <f t="shared" si="122"/>
        <v/>
      </c>
      <c r="AI226" s="8">
        <f t="shared" si="114"/>
        <v>0</v>
      </c>
      <c r="AJ226" s="45">
        <f t="shared" si="123"/>
        <v>0</v>
      </c>
      <c r="AK226" s="45">
        <f t="shared" si="124"/>
        <v>0</v>
      </c>
      <c r="AL226" s="45">
        <f t="shared" si="125"/>
        <v>0</v>
      </c>
      <c r="AM226" s="8" t="str">
        <f t="shared" si="126"/>
        <v>--</v>
      </c>
      <c r="AN226" s="10">
        <f t="shared" si="127"/>
        <v>0</v>
      </c>
      <c r="AO226" s="10">
        <f t="shared" si="128"/>
        <v>0</v>
      </c>
      <c r="AP226" s="10">
        <f t="shared" si="129"/>
        <v>0</v>
      </c>
      <c r="AQ226" s="10">
        <f t="shared" si="130"/>
        <v>0</v>
      </c>
      <c r="AR226" s="10">
        <f t="shared" si="131"/>
        <v>0</v>
      </c>
      <c r="AS226" s="8">
        <v>23</v>
      </c>
      <c r="AT226" s="9">
        <f t="shared" si="132"/>
        <v>0</v>
      </c>
      <c r="AU226" s="11">
        <f t="shared" si="133"/>
        <v>0</v>
      </c>
      <c r="AV226" s="6"/>
      <c r="AW226" s="6"/>
      <c r="AX226" s="6"/>
      <c r="AZ226" t="str">
        <f t="shared" si="134"/>
        <v>{"group":"A",</v>
      </c>
      <c r="BA226" t="str">
        <f t="shared" si="115"/>
        <v>"lot":0,</v>
      </c>
      <c r="BB226" t="str">
        <f t="shared" si="135"/>
        <v>"name":"0",</v>
      </c>
      <c r="BC226" t="str">
        <f t="shared" si="136"/>
        <v>"team":"",</v>
      </c>
      <c r="BD226" t="str">
        <f t="shared" si="137"/>
        <v>"year":"0",</v>
      </c>
      <c r="BE226" t="str">
        <f t="shared" si="138"/>
        <v>"gender":"0",</v>
      </c>
      <c r="BF226" t="str">
        <f t="shared" si="139"/>
        <v>"gear":"0",</v>
      </c>
      <c r="BG226" t="str">
        <f t="shared" si="140"/>
        <v>"lifts":"0",</v>
      </c>
      <c r="BH226" t="str">
        <f t="shared" si="141"/>
        <v>"division":"--",</v>
      </c>
      <c r="BI226" t="str">
        <f t="shared" si="142"/>
        <v>"wc":"0",</v>
      </c>
      <c r="BJ226" t="str">
        <f t="shared" si="143"/>
        <v>"bw":"",</v>
      </c>
      <c r="BK226" t="str">
        <f t="shared" si="144"/>
        <v>"pb":[0,0,0,0],</v>
      </c>
      <c r="BL226" t="str">
        <f t="shared" si="116"/>
        <v>"idx":"23",</v>
      </c>
      <c r="BM226" t="str">
        <f t="shared" si="117"/>
        <v>"sr":"0",</v>
      </c>
      <c r="BN226" t="str">
        <f t="shared" si="118"/>
        <v>"br":"0",</v>
      </c>
      <c r="BO226" t="str">
        <f t="shared" si="119"/>
        <v>"row":0,</v>
      </c>
      <c r="BP226" t="s">
        <v>55</v>
      </c>
      <c r="BQ226" t="str">
        <f t="shared" si="120"/>
        <v>"sq":{"a1":0,"a2":"","a3":"","s1":0,"s2":0,"s3":0},"bp":{"a1":0,"a2":"","a3":"","s1":0,"s2":0,"s3":0},"dl":{"a1":0,"a2":"","a3":"","s1":0,"s2":0,"s3":0},"sortOrder":0,"act":{}}</v>
      </c>
      <c r="BR226" t="str">
        <f t="shared" si="145"/>
        <v>{"group":"A","lot":0,"name":"0","team":"","year":"0","gender":"0","gear":"0","lifts":"0","division":"--","wc":"0","bw":"","pb":[0,0,0,0],"idx":"23","sr":"0","br":"0","row":0,"sq":{"a1":0,"a2":"","a3":"","s1":0,"s2":0,"s3":0},"bp":{"a1":0,"a2":"","a3":"","s1":0,"s2":0,"s3":0},"dl":{"a1":0,"a2":"","a3":"","s1":0,"s2":0,"s3":0},"sortOrder":0,"act":{}}</v>
      </c>
    </row>
    <row r="227" spans="5:70" x14ac:dyDescent="0.25">
      <c r="E227" s="128"/>
      <c r="F227" s="129"/>
      <c r="G227" s="129"/>
      <c r="H227" s="129"/>
      <c r="I227" s="129"/>
      <c r="J227" s="129"/>
      <c r="K227" s="129"/>
      <c r="L227" s="130"/>
      <c r="M227" s="131"/>
      <c r="N227" s="130"/>
      <c r="O227" s="148">
        <f t="shared" ca="1" si="146"/>
        <v>2023</v>
      </c>
      <c r="P227" s="129"/>
      <c r="Q227" s="129"/>
      <c r="R227" s="129"/>
      <c r="S227" s="129"/>
      <c r="T227" s="129"/>
      <c r="U227" s="129"/>
      <c r="V227" s="129"/>
      <c r="W227" s="129"/>
      <c r="X227" s="129"/>
      <c r="Y227" s="132"/>
      <c r="Z227" s="133"/>
      <c r="AA227" s="133"/>
      <c r="AB227" s="134"/>
      <c r="AE227" s="15" t="str">
        <f t="shared" si="112"/>
        <v>A</v>
      </c>
      <c r="AF227" s="8">
        <f t="shared" si="113"/>
        <v>0</v>
      </c>
      <c r="AG227" s="9">
        <f t="shared" si="121"/>
        <v>0</v>
      </c>
      <c r="AH227" s="9" t="str">
        <f t="shared" si="122"/>
        <v/>
      </c>
      <c r="AI227" s="8">
        <f t="shared" si="114"/>
        <v>0</v>
      </c>
      <c r="AJ227" s="45">
        <f t="shared" si="123"/>
        <v>0</v>
      </c>
      <c r="AK227" s="45">
        <f t="shared" si="124"/>
        <v>0</v>
      </c>
      <c r="AL227" s="45">
        <f t="shared" si="125"/>
        <v>0</v>
      </c>
      <c r="AM227" s="8" t="str">
        <f t="shared" si="126"/>
        <v>--</v>
      </c>
      <c r="AN227" s="10">
        <f t="shared" si="127"/>
        <v>0</v>
      </c>
      <c r="AO227" s="10">
        <f t="shared" si="128"/>
        <v>0</v>
      </c>
      <c r="AP227" s="10">
        <f t="shared" si="129"/>
        <v>0</v>
      </c>
      <c r="AQ227" s="10">
        <f t="shared" si="130"/>
        <v>0</v>
      </c>
      <c r="AR227" s="10">
        <f t="shared" si="131"/>
        <v>0</v>
      </c>
      <c r="AS227" s="8">
        <v>23</v>
      </c>
      <c r="AT227" s="9">
        <f t="shared" si="132"/>
        <v>0</v>
      </c>
      <c r="AU227" s="11">
        <f t="shared" si="133"/>
        <v>0</v>
      </c>
      <c r="AV227" s="6"/>
      <c r="AW227" s="6"/>
      <c r="AX227" s="6"/>
      <c r="AZ227" t="str">
        <f t="shared" si="134"/>
        <v>{"group":"A",</v>
      </c>
      <c r="BA227" t="str">
        <f t="shared" si="115"/>
        <v>"lot":0,</v>
      </c>
      <c r="BB227" t="str">
        <f t="shared" si="135"/>
        <v>"name":"0",</v>
      </c>
      <c r="BC227" t="str">
        <f t="shared" si="136"/>
        <v>"team":"",</v>
      </c>
      <c r="BD227" t="str">
        <f t="shared" si="137"/>
        <v>"year":"0",</v>
      </c>
      <c r="BE227" t="str">
        <f t="shared" si="138"/>
        <v>"gender":"0",</v>
      </c>
      <c r="BF227" t="str">
        <f t="shared" si="139"/>
        <v>"gear":"0",</v>
      </c>
      <c r="BG227" t="str">
        <f t="shared" si="140"/>
        <v>"lifts":"0",</v>
      </c>
      <c r="BH227" t="str">
        <f t="shared" si="141"/>
        <v>"division":"--",</v>
      </c>
      <c r="BI227" t="str">
        <f t="shared" si="142"/>
        <v>"wc":"0",</v>
      </c>
      <c r="BJ227" t="str">
        <f t="shared" si="143"/>
        <v>"bw":"",</v>
      </c>
      <c r="BK227" t="str">
        <f t="shared" si="144"/>
        <v>"pb":[0,0,0,0],</v>
      </c>
      <c r="BL227" t="str">
        <f t="shared" si="116"/>
        <v>"idx":"23",</v>
      </c>
      <c r="BM227" t="str">
        <f t="shared" si="117"/>
        <v>"sr":"0",</v>
      </c>
      <c r="BN227" t="str">
        <f t="shared" si="118"/>
        <v>"br":"0",</v>
      </c>
      <c r="BO227" t="str">
        <f t="shared" si="119"/>
        <v>"row":0,</v>
      </c>
      <c r="BP227" t="s">
        <v>55</v>
      </c>
      <c r="BQ227" t="str">
        <f t="shared" si="120"/>
        <v>"sq":{"a1":0,"a2":"","a3":"","s1":0,"s2":0,"s3":0},"bp":{"a1":0,"a2":"","a3":"","s1":0,"s2":0,"s3":0},"dl":{"a1":0,"a2":"","a3":"","s1":0,"s2":0,"s3":0},"sortOrder":0,"act":{}}</v>
      </c>
      <c r="BR227" t="str">
        <f t="shared" si="145"/>
        <v>{"group":"A","lot":0,"name":"0","team":"","year":"0","gender":"0","gear":"0","lifts":"0","division":"--","wc":"0","bw":"","pb":[0,0,0,0],"idx":"23","sr":"0","br":"0","row":0,"sq":{"a1":0,"a2":"","a3":"","s1":0,"s2":0,"s3":0},"bp":{"a1":0,"a2":"","a3":"","s1":0,"s2":0,"s3":0},"dl":{"a1":0,"a2":"","a3":"","s1":0,"s2":0,"s3":0},"sortOrder":0,"act":{}}</v>
      </c>
    </row>
    <row r="228" spans="5:70" x14ac:dyDescent="0.25">
      <c r="E228" s="128"/>
      <c r="F228" s="129"/>
      <c r="G228" s="129"/>
      <c r="H228" s="129"/>
      <c r="I228" s="129"/>
      <c r="J228" s="129"/>
      <c r="K228" s="129"/>
      <c r="L228" s="130"/>
      <c r="M228" s="131"/>
      <c r="N228" s="130"/>
      <c r="O228" s="148">
        <f t="shared" ca="1" si="146"/>
        <v>2023</v>
      </c>
      <c r="P228" s="129"/>
      <c r="Q228" s="129"/>
      <c r="R228" s="129"/>
      <c r="S228" s="129"/>
      <c r="T228" s="129"/>
      <c r="U228" s="129"/>
      <c r="V228" s="129"/>
      <c r="W228" s="129"/>
      <c r="X228" s="129"/>
      <c r="Y228" s="132"/>
      <c r="Z228" s="133"/>
      <c r="AA228" s="133"/>
      <c r="AB228" s="134"/>
      <c r="AE228" s="15" t="str">
        <f t="shared" si="112"/>
        <v>A</v>
      </c>
      <c r="AF228" s="8">
        <f t="shared" si="113"/>
        <v>0</v>
      </c>
      <c r="AG228" s="9">
        <f t="shared" si="121"/>
        <v>0</v>
      </c>
      <c r="AH228" s="9" t="str">
        <f t="shared" si="122"/>
        <v/>
      </c>
      <c r="AI228" s="8">
        <f t="shared" si="114"/>
        <v>0</v>
      </c>
      <c r="AJ228" s="45">
        <f t="shared" si="123"/>
        <v>0</v>
      </c>
      <c r="AK228" s="45">
        <f t="shared" si="124"/>
        <v>0</v>
      </c>
      <c r="AL228" s="45">
        <f t="shared" si="125"/>
        <v>0</v>
      </c>
      <c r="AM228" s="8" t="str">
        <f t="shared" si="126"/>
        <v>--</v>
      </c>
      <c r="AN228" s="10">
        <f t="shared" si="127"/>
        <v>0</v>
      </c>
      <c r="AO228" s="10">
        <f t="shared" si="128"/>
        <v>0</v>
      </c>
      <c r="AP228" s="10">
        <f t="shared" si="129"/>
        <v>0</v>
      </c>
      <c r="AQ228" s="10">
        <f t="shared" si="130"/>
        <v>0</v>
      </c>
      <c r="AR228" s="10">
        <f t="shared" si="131"/>
        <v>0</v>
      </c>
      <c r="AS228" s="8">
        <v>23</v>
      </c>
      <c r="AT228" s="9">
        <f t="shared" si="132"/>
        <v>0</v>
      </c>
      <c r="AU228" s="11">
        <f t="shared" si="133"/>
        <v>0</v>
      </c>
      <c r="AV228" s="6"/>
      <c r="AW228" s="6"/>
      <c r="AX228" s="6"/>
      <c r="AZ228" t="str">
        <f t="shared" si="134"/>
        <v>{"group":"A",</v>
      </c>
      <c r="BA228" t="str">
        <f t="shared" si="115"/>
        <v>"lot":0,</v>
      </c>
      <c r="BB228" t="str">
        <f t="shared" si="135"/>
        <v>"name":"0",</v>
      </c>
      <c r="BC228" t="str">
        <f t="shared" si="136"/>
        <v>"team":"",</v>
      </c>
      <c r="BD228" t="str">
        <f t="shared" si="137"/>
        <v>"year":"0",</v>
      </c>
      <c r="BE228" t="str">
        <f t="shared" si="138"/>
        <v>"gender":"0",</v>
      </c>
      <c r="BF228" t="str">
        <f t="shared" si="139"/>
        <v>"gear":"0",</v>
      </c>
      <c r="BG228" t="str">
        <f t="shared" si="140"/>
        <v>"lifts":"0",</v>
      </c>
      <c r="BH228" t="str">
        <f t="shared" si="141"/>
        <v>"division":"--",</v>
      </c>
      <c r="BI228" t="str">
        <f t="shared" si="142"/>
        <v>"wc":"0",</v>
      </c>
      <c r="BJ228" t="str">
        <f t="shared" si="143"/>
        <v>"bw":"",</v>
      </c>
      <c r="BK228" t="str">
        <f t="shared" si="144"/>
        <v>"pb":[0,0,0,0],</v>
      </c>
      <c r="BL228" t="str">
        <f t="shared" si="116"/>
        <v>"idx":"23",</v>
      </c>
      <c r="BM228" t="str">
        <f t="shared" si="117"/>
        <v>"sr":"0",</v>
      </c>
      <c r="BN228" t="str">
        <f t="shared" si="118"/>
        <v>"br":"0",</v>
      </c>
      <c r="BO228" t="str">
        <f t="shared" si="119"/>
        <v>"row":0,</v>
      </c>
      <c r="BP228" t="s">
        <v>55</v>
      </c>
      <c r="BQ228" t="str">
        <f t="shared" si="120"/>
        <v>"sq":{"a1":0,"a2":"","a3":"","s1":0,"s2":0,"s3":0},"bp":{"a1":0,"a2":"","a3":"","s1":0,"s2":0,"s3":0},"dl":{"a1":0,"a2":"","a3":"","s1":0,"s2":0,"s3":0},"sortOrder":0,"act":{}}</v>
      </c>
      <c r="BR228" t="str">
        <f t="shared" si="145"/>
        <v>{"group":"A","lot":0,"name":"0","team":"","year":"0","gender":"0","gear":"0","lifts":"0","division":"--","wc":"0","bw":"","pb":[0,0,0,0],"idx":"23","sr":"0","br":"0","row":0,"sq":{"a1":0,"a2":"","a3":"","s1":0,"s2":0,"s3":0},"bp":{"a1":0,"a2":"","a3":"","s1":0,"s2":0,"s3":0},"dl":{"a1":0,"a2":"","a3":"","s1":0,"s2":0,"s3":0},"sortOrder":0,"act":{}}</v>
      </c>
    </row>
    <row r="229" spans="5:70" x14ac:dyDescent="0.25">
      <c r="E229" s="128"/>
      <c r="F229" s="129"/>
      <c r="G229" s="129"/>
      <c r="H229" s="129"/>
      <c r="I229" s="129"/>
      <c r="J229" s="129"/>
      <c r="K229" s="129"/>
      <c r="L229" s="130"/>
      <c r="M229" s="131"/>
      <c r="N229" s="130"/>
      <c r="O229" s="148">
        <f t="shared" ca="1" si="146"/>
        <v>2023</v>
      </c>
      <c r="P229" s="129"/>
      <c r="Q229" s="129"/>
      <c r="R229" s="129"/>
      <c r="S229" s="129"/>
      <c r="T229" s="129"/>
      <c r="U229" s="129"/>
      <c r="V229" s="129"/>
      <c r="W229" s="129"/>
      <c r="X229" s="129"/>
      <c r="Y229" s="132"/>
      <c r="Z229" s="133"/>
      <c r="AA229" s="133"/>
      <c r="AB229" s="134"/>
      <c r="AE229" s="15" t="str">
        <f t="shared" si="112"/>
        <v>A</v>
      </c>
      <c r="AF229" s="8">
        <f t="shared" si="113"/>
        <v>0</v>
      </c>
      <c r="AG229" s="9">
        <f t="shared" si="121"/>
        <v>0</v>
      </c>
      <c r="AH229" s="9" t="str">
        <f t="shared" si="122"/>
        <v/>
      </c>
      <c r="AI229" s="8">
        <f t="shared" si="114"/>
        <v>0</v>
      </c>
      <c r="AJ229" s="45">
        <f t="shared" si="123"/>
        <v>0</v>
      </c>
      <c r="AK229" s="45">
        <f t="shared" si="124"/>
        <v>0</v>
      </c>
      <c r="AL229" s="45">
        <f t="shared" si="125"/>
        <v>0</v>
      </c>
      <c r="AM229" s="8" t="str">
        <f t="shared" si="126"/>
        <v>--</v>
      </c>
      <c r="AN229" s="10">
        <f t="shared" si="127"/>
        <v>0</v>
      </c>
      <c r="AO229" s="10">
        <f t="shared" si="128"/>
        <v>0</v>
      </c>
      <c r="AP229" s="10">
        <f t="shared" si="129"/>
        <v>0</v>
      </c>
      <c r="AQ229" s="10">
        <f t="shared" si="130"/>
        <v>0</v>
      </c>
      <c r="AR229" s="10">
        <f t="shared" si="131"/>
        <v>0</v>
      </c>
      <c r="AS229" s="8">
        <v>23</v>
      </c>
      <c r="AT229" s="9">
        <f t="shared" si="132"/>
        <v>0</v>
      </c>
      <c r="AU229" s="11">
        <f t="shared" si="133"/>
        <v>0</v>
      </c>
      <c r="AV229" s="6"/>
      <c r="AW229" s="6"/>
      <c r="AX229" s="6"/>
      <c r="AZ229" t="str">
        <f t="shared" si="134"/>
        <v>{"group":"A",</v>
      </c>
      <c r="BA229" t="str">
        <f t="shared" si="115"/>
        <v>"lot":0,</v>
      </c>
      <c r="BB229" t="str">
        <f t="shared" si="135"/>
        <v>"name":"0",</v>
      </c>
      <c r="BC229" t="str">
        <f t="shared" si="136"/>
        <v>"team":"",</v>
      </c>
      <c r="BD229" t="str">
        <f t="shared" si="137"/>
        <v>"year":"0",</v>
      </c>
      <c r="BE229" t="str">
        <f t="shared" si="138"/>
        <v>"gender":"0",</v>
      </c>
      <c r="BF229" t="str">
        <f t="shared" si="139"/>
        <v>"gear":"0",</v>
      </c>
      <c r="BG229" t="str">
        <f t="shared" si="140"/>
        <v>"lifts":"0",</v>
      </c>
      <c r="BH229" t="str">
        <f t="shared" si="141"/>
        <v>"division":"--",</v>
      </c>
      <c r="BI229" t="str">
        <f t="shared" si="142"/>
        <v>"wc":"0",</v>
      </c>
      <c r="BJ229" t="str">
        <f t="shared" si="143"/>
        <v>"bw":"",</v>
      </c>
      <c r="BK229" t="str">
        <f t="shared" si="144"/>
        <v>"pb":[0,0,0,0],</v>
      </c>
      <c r="BL229" t="str">
        <f t="shared" si="116"/>
        <v>"idx":"23",</v>
      </c>
      <c r="BM229" t="str">
        <f t="shared" si="117"/>
        <v>"sr":"0",</v>
      </c>
      <c r="BN229" t="str">
        <f t="shared" si="118"/>
        <v>"br":"0",</v>
      </c>
      <c r="BO229" t="str">
        <f t="shared" si="119"/>
        <v>"row":0,</v>
      </c>
      <c r="BP229" t="s">
        <v>55</v>
      </c>
      <c r="BQ229" t="str">
        <f t="shared" si="120"/>
        <v>"sq":{"a1":0,"a2":"","a3":"","s1":0,"s2":0,"s3":0},"bp":{"a1":0,"a2":"","a3":"","s1":0,"s2":0,"s3":0},"dl":{"a1":0,"a2":"","a3":"","s1":0,"s2":0,"s3":0},"sortOrder":0,"act":{}}</v>
      </c>
      <c r="BR229" t="str">
        <f t="shared" si="145"/>
        <v>{"group":"A","lot":0,"name":"0","team":"","year":"0","gender":"0","gear":"0","lifts":"0","division":"--","wc":"0","bw":"","pb":[0,0,0,0],"idx":"23","sr":"0","br":"0","row":0,"sq":{"a1":0,"a2":"","a3":"","s1":0,"s2":0,"s3":0},"bp":{"a1":0,"a2":"","a3":"","s1":0,"s2":0,"s3":0},"dl":{"a1":0,"a2":"","a3":"","s1":0,"s2":0,"s3":0},"sortOrder":0,"act":{}}</v>
      </c>
    </row>
    <row r="230" spans="5:70" x14ac:dyDescent="0.25">
      <c r="E230" s="128"/>
      <c r="F230" s="129"/>
      <c r="G230" s="129"/>
      <c r="H230" s="129"/>
      <c r="I230" s="129"/>
      <c r="J230" s="129"/>
      <c r="K230" s="129"/>
      <c r="L230" s="130"/>
      <c r="M230" s="131"/>
      <c r="N230" s="130"/>
      <c r="O230" s="148">
        <f t="shared" ca="1" si="146"/>
        <v>2023</v>
      </c>
      <c r="P230" s="129"/>
      <c r="Q230" s="129"/>
      <c r="R230" s="129"/>
      <c r="S230" s="129"/>
      <c r="T230" s="129"/>
      <c r="U230" s="129"/>
      <c r="V230" s="129"/>
      <c r="W230" s="129"/>
      <c r="X230" s="129"/>
      <c r="Y230" s="132"/>
      <c r="Z230" s="133"/>
      <c r="AA230" s="133"/>
      <c r="AB230" s="134"/>
      <c r="AE230" s="15" t="str">
        <f t="shared" si="112"/>
        <v>A</v>
      </c>
      <c r="AF230" s="8">
        <f t="shared" si="113"/>
        <v>0</v>
      </c>
      <c r="AG230" s="9">
        <f t="shared" si="121"/>
        <v>0</v>
      </c>
      <c r="AH230" s="9" t="str">
        <f t="shared" si="122"/>
        <v/>
      </c>
      <c r="AI230" s="8">
        <f t="shared" si="114"/>
        <v>0</v>
      </c>
      <c r="AJ230" s="45">
        <f t="shared" si="123"/>
        <v>0</v>
      </c>
      <c r="AK230" s="45">
        <f t="shared" si="124"/>
        <v>0</v>
      </c>
      <c r="AL230" s="45">
        <f t="shared" si="125"/>
        <v>0</v>
      </c>
      <c r="AM230" s="8" t="str">
        <f t="shared" si="126"/>
        <v>--</v>
      </c>
      <c r="AN230" s="10">
        <f t="shared" si="127"/>
        <v>0</v>
      </c>
      <c r="AO230" s="10">
        <f t="shared" si="128"/>
        <v>0</v>
      </c>
      <c r="AP230" s="10">
        <f t="shared" si="129"/>
        <v>0</v>
      </c>
      <c r="AQ230" s="10">
        <f t="shared" si="130"/>
        <v>0</v>
      </c>
      <c r="AR230" s="10">
        <f t="shared" si="131"/>
        <v>0</v>
      </c>
      <c r="AS230" s="8">
        <v>23</v>
      </c>
      <c r="AT230" s="9">
        <f t="shared" si="132"/>
        <v>0</v>
      </c>
      <c r="AU230" s="11">
        <f t="shared" si="133"/>
        <v>0</v>
      </c>
      <c r="AV230" s="6"/>
      <c r="AW230" s="6"/>
      <c r="AX230" s="6"/>
      <c r="AZ230" t="str">
        <f t="shared" si="134"/>
        <v>{"group":"A",</v>
      </c>
      <c r="BA230" t="str">
        <f t="shared" si="115"/>
        <v>"lot":0,</v>
      </c>
      <c r="BB230" t="str">
        <f t="shared" si="135"/>
        <v>"name":"0",</v>
      </c>
      <c r="BC230" t="str">
        <f t="shared" si="136"/>
        <v>"team":"",</v>
      </c>
      <c r="BD230" t="str">
        <f t="shared" si="137"/>
        <v>"year":"0",</v>
      </c>
      <c r="BE230" t="str">
        <f t="shared" si="138"/>
        <v>"gender":"0",</v>
      </c>
      <c r="BF230" t="str">
        <f t="shared" si="139"/>
        <v>"gear":"0",</v>
      </c>
      <c r="BG230" t="str">
        <f t="shared" si="140"/>
        <v>"lifts":"0",</v>
      </c>
      <c r="BH230" t="str">
        <f t="shared" si="141"/>
        <v>"division":"--",</v>
      </c>
      <c r="BI230" t="str">
        <f t="shared" si="142"/>
        <v>"wc":"0",</v>
      </c>
      <c r="BJ230" t="str">
        <f t="shared" si="143"/>
        <v>"bw":"",</v>
      </c>
      <c r="BK230" t="str">
        <f t="shared" si="144"/>
        <v>"pb":[0,0,0,0],</v>
      </c>
      <c r="BL230" t="str">
        <f t="shared" si="116"/>
        <v>"idx":"23",</v>
      </c>
      <c r="BM230" t="str">
        <f t="shared" si="117"/>
        <v>"sr":"0",</v>
      </c>
      <c r="BN230" t="str">
        <f t="shared" si="118"/>
        <v>"br":"0",</v>
      </c>
      <c r="BO230" t="str">
        <f t="shared" si="119"/>
        <v>"row":0,</v>
      </c>
      <c r="BP230" t="s">
        <v>55</v>
      </c>
      <c r="BQ230" t="str">
        <f t="shared" si="120"/>
        <v>"sq":{"a1":0,"a2":"","a3":"","s1":0,"s2":0,"s3":0},"bp":{"a1":0,"a2":"","a3":"","s1":0,"s2":0,"s3":0},"dl":{"a1":0,"a2":"","a3":"","s1":0,"s2":0,"s3":0},"sortOrder":0,"act":{}}</v>
      </c>
      <c r="BR230" t="str">
        <f t="shared" si="145"/>
        <v>{"group":"A","lot":0,"name":"0","team":"","year":"0","gender":"0","gear":"0","lifts":"0","division":"--","wc":"0","bw":"","pb":[0,0,0,0],"idx":"23","sr":"0","br":"0","row":0,"sq":{"a1":0,"a2":"","a3":"","s1":0,"s2":0,"s3":0},"bp":{"a1":0,"a2":"","a3":"","s1":0,"s2":0,"s3":0},"dl":{"a1":0,"a2":"","a3":"","s1":0,"s2":0,"s3":0},"sortOrder":0,"act":{}}</v>
      </c>
    </row>
    <row r="231" spans="5:70" x14ac:dyDescent="0.25">
      <c r="E231" s="128"/>
      <c r="F231" s="129"/>
      <c r="G231" s="129"/>
      <c r="H231" s="129"/>
      <c r="I231" s="129"/>
      <c r="J231" s="129"/>
      <c r="K231" s="129"/>
      <c r="L231" s="130"/>
      <c r="M231" s="131"/>
      <c r="N231" s="130"/>
      <c r="O231" s="148">
        <f t="shared" ca="1" si="146"/>
        <v>2023</v>
      </c>
      <c r="P231" s="129"/>
      <c r="Q231" s="129"/>
      <c r="R231" s="129"/>
      <c r="S231" s="129"/>
      <c r="T231" s="129"/>
      <c r="U231" s="129"/>
      <c r="V231" s="129"/>
      <c r="W231" s="129"/>
      <c r="X231" s="129"/>
      <c r="Y231" s="132"/>
      <c r="Z231" s="133"/>
      <c r="AA231" s="133"/>
      <c r="AB231" s="134"/>
      <c r="AE231" s="15" t="str">
        <f t="shared" si="112"/>
        <v>A</v>
      </c>
      <c r="AF231" s="8">
        <f t="shared" si="113"/>
        <v>0</v>
      </c>
      <c r="AG231" s="9">
        <f t="shared" si="121"/>
        <v>0</v>
      </c>
      <c r="AH231" s="9" t="str">
        <f t="shared" si="122"/>
        <v/>
      </c>
      <c r="AI231" s="8">
        <f t="shared" si="114"/>
        <v>0</v>
      </c>
      <c r="AJ231" s="45">
        <f t="shared" si="123"/>
        <v>0</v>
      </c>
      <c r="AK231" s="45">
        <f t="shared" si="124"/>
        <v>0</v>
      </c>
      <c r="AL231" s="45">
        <f t="shared" si="125"/>
        <v>0</v>
      </c>
      <c r="AM231" s="8" t="str">
        <f t="shared" si="126"/>
        <v>--</v>
      </c>
      <c r="AN231" s="10">
        <f t="shared" si="127"/>
        <v>0</v>
      </c>
      <c r="AO231" s="10">
        <f t="shared" si="128"/>
        <v>0</v>
      </c>
      <c r="AP231" s="10">
        <f t="shared" si="129"/>
        <v>0</v>
      </c>
      <c r="AQ231" s="10">
        <f t="shared" si="130"/>
        <v>0</v>
      </c>
      <c r="AR231" s="10">
        <f t="shared" si="131"/>
        <v>0</v>
      </c>
      <c r="AS231" s="8">
        <v>23</v>
      </c>
      <c r="AT231" s="9">
        <f t="shared" si="132"/>
        <v>0</v>
      </c>
      <c r="AU231" s="11">
        <f t="shared" si="133"/>
        <v>0</v>
      </c>
      <c r="AV231" s="6"/>
      <c r="AW231" s="6"/>
      <c r="AX231" s="6"/>
      <c r="AZ231" t="str">
        <f t="shared" si="134"/>
        <v>{"group":"A",</v>
      </c>
      <c r="BA231" t="str">
        <f t="shared" si="115"/>
        <v>"lot":0,</v>
      </c>
      <c r="BB231" t="str">
        <f t="shared" si="135"/>
        <v>"name":"0",</v>
      </c>
      <c r="BC231" t="str">
        <f t="shared" si="136"/>
        <v>"team":"",</v>
      </c>
      <c r="BD231" t="str">
        <f t="shared" si="137"/>
        <v>"year":"0",</v>
      </c>
      <c r="BE231" t="str">
        <f t="shared" si="138"/>
        <v>"gender":"0",</v>
      </c>
      <c r="BF231" t="str">
        <f t="shared" si="139"/>
        <v>"gear":"0",</v>
      </c>
      <c r="BG231" t="str">
        <f t="shared" si="140"/>
        <v>"lifts":"0",</v>
      </c>
      <c r="BH231" t="str">
        <f t="shared" si="141"/>
        <v>"division":"--",</v>
      </c>
      <c r="BI231" t="str">
        <f t="shared" si="142"/>
        <v>"wc":"0",</v>
      </c>
      <c r="BJ231" t="str">
        <f t="shared" si="143"/>
        <v>"bw":"",</v>
      </c>
      <c r="BK231" t="str">
        <f t="shared" si="144"/>
        <v>"pb":[0,0,0,0],</v>
      </c>
      <c r="BL231" t="str">
        <f t="shared" si="116"/>
        <v>"idx":"23",</v>
      </c>
      <c r="BM231" t="str">
        <f t="shared" si="117"/>
        <v>"sr":"0",</v>
      </c>
      <c r="BN231" t="str">
        <f t="shared" si="118"/>
        <v>"br":"0",</v>
      </c>
      <c r="BO231" t="str">
        <f t="shared" si="119"/>
        <v>"row":0,</v>
      </c>
      <c r="BP231" t="s">
        <v>55</v>
      </c>
      <c r="BQ231" t="str">
        <f t="shared" si="120"/>
        <v>"sq":{"a1":0,"a2":"","a3":"","s1":0,"s2":0,"s3":0},"bp":{"a1":0,"a2":"","a3":"","s1":0,"s2":0,"s3":0},"dl":{"a1":0,"a2":"","a3":"","s1":0,"s2":0,"s3":0},"sortOrder":0,"act":{}}</v>
      </c>
      <c r="BR231" t="str">
        <f t="shared" si="145"/>
        <v>{"group":"A","lot":0,"name":"0","team":"","year":"0","gender":"0","gear":"0","lifts":"0","division":"--","wc":"0","bw":"","pb":[0,0,0,0],"idx":"23","sr":"0","br":"0","row":0,"sq":{"a1":0,"a2":"","a3":"","s1":0,"s2":0,"s3":0},"bp":{"a1":0,"a2":"","a3":"","s1":0,"s2":0,"s3":0},"dl":{"a1":0,"a2":"","a3":"","s1":0,"s2":0,"s3":0},"sortOrder":0,"act":{}}</v>
      </c>
    </row>
    <row r="232" spans="5:70" x14ac:dyDescent="0.25">
      <c r="E232" s="128"/>
      <c r="F232" s="129"/>
      <c r="G232" s="129"/>
      <c r="H232" s="129"/>
      <c r="I232" s="129"/>
      <c r="J232" s="129"/>
      <c r="K232" s="129"/>
      <c r="L232" s="130"/>
      <c r="M232" s="131"/>
      <c r="N232" s="130"/>
      <c r="O232" s="148">
        <f t="shared" ca="1" si="146"/>
        <v>2023</v>
      </c>
      <c r="P232" s="129"/>
      <c r="Q232" s="129"/>
      <c r="R232" s="129"/>
      <c r="S232" s="129"/>
      <c r="T232" s="129"/>
      <c r="U232" s="129"/>
      <c r="V232" s="129"/>
      <c r="W232" s="129"/>
      <c r="X232" s="129"/>
      <c r="Y232" s="132"/>
      <c r="Z232" s="133"/>
      <c r="AA232" s="133"/>
      <c r="AB232" s="134"/>
      <c r="AE232" s="15" t="str">
        <f t="shared" si="112"/>
        <v>A</v>
      </c>
      <c r="AF232" s="8">
        <f t="shared" si="113"/>
        <v>0</v>
      </c>
      <c r="AG232" s="9">
        <f t="shared" si="121"/>
        <v>0</v>
      </c>
      <c r="AH232" s="9" t="str">
        <f t="shared" si="122"/>
        <v/>
      </c>
      <c r="AI232" s="8">
        <f t="shared" si="114"/>
        <v>0</v>
      </c>
      <c r="AJ232" s="45">
        <f t="shared" si="123"/>
        <v>0</v>
      </c>
      <c r="AK232" s="45">
        <f t="shared" si="124"/>
        <v>0</v>
      </c>
      <c r="AL232" s="45">
        <f t="shared" si="125"/>
        <v>0</v>
      </c>
      <c r="AM232" s="8" t="str">
        <f t="shared" si="126"/>
        <v>--</v>
      </c>
      <c r="AN232" s="10">
        <f t="shared" si="127"/>
        <v>0</v>
      </c>
      <c r="AO232" s="10">
        <f t="shared" si="128"/>
        <v>0</v>
      </c>
      <c r="AP232" s="10">
        <f t="shared" si="129"/>
        <v>0</v>
      </c>
      <c r="AQ232" s="10">
        <f t="shared" si="130"/>
        <v>0</v>
      </c>
      <c r="AR232" s="10">
        <f t="shared" si="131"/>
        <v>0</v>
      </c>
      <c r="AS232" s="8">
        <v>23</v>
      </c>
      <c r="AT232" s="9">
        <f t="shared" si="132"/>
        <v>0</v>
      </c>
      <c r="AU232" s="11">
        <f t="shared" si="133"/>
        <v>0</v>
      </c>
      <c r="AV232" s="6"/>
      <c r="AW232" s="6"/>
      <c r="AX232" s="6"/>
      <c r="AZ232" t="str">
        <f t="shared" si="134"/>
        <v>{"group":"A",</v>
      </c>
      <c r="BA232" t="str">
        <f t="shared" si="115"/>
        <v>"lot":0,</v>
      </c>
      <c r="BB232" t="str">
        <f t="shared" si="135"/>
        <v>"name":"0",</v>
      </c>
      <c r="BC232" t="str">
        <f t="shared" si="136"/>
        <v>"team":"",</v>
      </c>
      <c r="BD232" t="str">
        <f t="shared" si="137"/>
        <v>"year":"0",</v>
      </c>
      <c r="BE232" t="str">
        <f t="shared" si="138"/>
        <v>"gender":"0",</v>
      </c>
      <c r="BF232" t="str">
        <f t="shared" si="139"/>
        <v>"gear":"0",</v>
      </c>
      <c r="BG232" t="str">
        <f t="shared" si="140"/>
        <v>"lifts":"0",</v>
      </c>
      <c r="BH232" t="str">
        <f t="shared" si="141"/>
        <v>"division":"--",</v>
      </c>
      <c r="BI232" t="str">
        <f t="shared" si="142"/>
        <v>"wc":"0",</v>
      </c>
      <c r="BJ232" t="str">
        <f t="shared" si="143"/>
        <v>"bw":"",</v>
      </c>
      <c r="BK232" t="str">
        <f t="shared" si="144"/>
        <v>"pb":[0,0,0,0],</v>
      </c>
      <c r="BL232" t="str">
        <f t="shared" si="116"/>
        <v>"idx":"23",</v>
      </c>
      <c r="BM232" t="str">
        <f t="shared" si="117"/>
        <v>"sr":"0",</v>
      </c>
      <c r="BN232" t="str">
        <f t="shared" si="118"/>
        <v>"br":"0",</v>
      </c>
      <c r="BO232" t="str">
        <f t="shared" si="119"/>
        <v>"row":0,</v>
      </c>
      <c r="BP232" t="s">
        <v>55</v>
      </c>
      <c r="BQ232" t="str">
        <f t="shared" si="120"/>
        <v>"sq":{"a1":0,"a2":"","a3":"","s1":0,"s2":0,"s3":0},"bp":{"a1":0,"a2":"","a3":"","s1":0,"s2":0,"s3":0},"dl":{"a1":0,"a2":"","a3":"","s1":0,"s2":0,"s3":0},"sortOrder":0,"act":{}}</v>
      </c>
      <c r="BR232" t="str">
        <f t="shared" si="145"/>
        <v>{"group":"A","lot":0,"name":"0","team":"","year":"0","gender":"0","gear":"0","lifts":"0","division":"--","wc":"0","bw":"","pb":[0,0,0,0],"idx":"23","sr":"0","br":"0","row":0,"sq":{"a1":0,"a2":"","a3":"","s1":0,"s2":0,"s3":0},"bp":{"a1":0,"a2":"","a3":"","s1":0,"s2":0,"s3":0},"dl":{"a1":0,"a2":"","a3":"","s1":0,"s2":0,"s3":0},"sortOrder":0,"act":{}}</v>
      </c>
    </row>
    <row r="233" spans="5:70" x14ac:dyDescent="0.25">
      <c r="E233" s="128"/>
      <c r="F233" s="129"/>
      <c r="G233" s="129"/>
      <c r="H233" s="129"/>
      <c r="I233" s="129"/>
      <c r="J233" s="129"/>
      <c r="K233" s="129"/>
      <c r="L233" s="130"/>
      <c r="M233" s="131"/>
      <c r="N233" s="130"/>
      <c r="O233" s="148">
        <f t="shared" ca="1" si="146"/>
        <v>2023</v>
      </c>
      <c r="P233" s="129"/>
      <c r="Q233" s="129"/>
      <c r="R233" s="129"/>
      <c r="S233" s="129"/>
      <c r="T233" s="129"/>
      <c r="U233" s="129"/>
      <c r="V233" s="129"/>
      <c r="W233" s="129"/>
      <c r="X233" s="129"/>
      <c r="Y233" s="132"/>
      <c r="Z233" s="133"/>
      <c r="AA233" s="133"/>
      <c r="AB233" s="134"/>
      <c r="AE233" s="15" t="str">
        <f t="shared" si="112"/>
        <v>A</v>
      </c>
      <c r="AF233" s="8">
        <f t="shared" si="113"/>
        <v>0</v>
      </c>
      <c r="AG233" s="9">
        <f t="shared" si="121"/>
        <v>0</v>
      </c>
      <c r="AH233" s="9" t="str">
        <f t="shared" si="122"/>
        <v/>
      </c>
      <c r="AI233" s="8">
        <f t="shared" si="114"/>
        <v>0</v>
      </c>
      <c r="AJ233" s="45">
        <f t="shared" si="123"/>
        <v>0</v>
      </c>
      <c r="AK233" s="45">
        <f t="shared" si="124"/>
        <v>0</v>
      </c>
      <c r="AL233" s="45">
        <f t="shared" si="125"/>
        <v>0</v>
      </c>
      <c r="AM233" s="8" t="str">
        <f t="shared" si="126"/>
        <v>--</v>
      </c>
      <c r="AN233" s="10">
        <f t="shared" si="127"/>
        <v>0</v>
      </c>
      <c r="AO233" s="10">
        <f t="shared" si="128"/>
        <v>0</v>
      </c>
      <c r="AP233" s="10">
        <f t="shared" si="129"/>
        <v>0</v>
      </c>
      <c r="AQ233" s="10">
        <f t="shared" si="130"/>
        <v>0</v>
      </c>
      <c r="AR233" s="10">
        <f t="shared" si="131"/>
        <v>0</v>
      </c>
      <c r="AS233" s="8">
        <v>23</v>
      </c>
      <c r="AT233" s="9">
        <f t="shared" si="132"/>
        <v>0</v>
      </c>
      <c r="AU233" s="11">
        <f t="shared" si="133"/>
        <v>0</v>
      </c>
      <c r="AV233" s="6"/>
      <c r="AW233" s="6"/>
      <c r="AX233" s="6"/>
      <c r="AZ233" t="str">
        <f t="shared" si="134"/>
        <v>{"group":"A",</v>
      </c>
      <c r="BA233" t="str">
        <f t="shared" si="115"/>
        <v>"lot":0,</v>
      </c>
      <c r="BB233" t="str">
        <f t="shared" si="135"/>
        <v>"name":"0",</v>
      </c>
      <c r="BC233" t="str">
        <f t="shared" si="136"/>
        <v>"team":"",</v>
      </c>
      <c r="BD233" t="str">
        <f t="shared" si="137"/>
        <v>"year":"0",</v>
      </c>
      <c r="BE233" t="str">
        <f t="shared" si="138"/>
        <v>"gender":"0",</v>
      </c>
      <c r="BF233" t="str">
        <f t="shared" si="139"/>
        <v>"gear":"0",</v>
      </c>
      <c r="BG233" t="str">
        <f t="shared" si="140"/>
        <v>"lifts":"0",</v>
      </c>
      <c r="BH233" t="str">
        <f t="shared" si="141"/>
        <v>"division":"--",</v>
      </c>
      <c r="BI233" t="str">
        <f t="shared" si="142"/>
        <v>"wc":"0",</v>
      </c>
      <c r="BJ233" t="str">
        <f t="shared" si="143"/>
        <v>"bw":"",</v>
      </c>
      <c r="BK233" t="str">
        <f t="shared" si="144"/>
        <v>"pb":[0,0,0,0],</v>
      </c>
      <c r="BL233" t="str">
        <f t="shared" si="116"/>
        <v>"idx":"23",</v>
      </c>
      <c r="BM233" t="str">
        <f t="shared" si="117"/>
        <v>"sr":"0",</v>
      </c>
      <c r="BN233" t="str">
        <f t="shared" si="118"/>
        <v>"br":"0",</v>
      </c>
      <c r="BO233" t="str">
        <f t="shared" si="119"/>
        <v>"row":0,</v>
      </c>
      <c r="BP233" t="s">
        <v>55</v>
      </c>
      <c r="BQ233" t="str">
        <f t="shared" si="120"/>
        <v>"sq":{"a1":0,"a2":"","a3":"","s1":0,"s2":0,"s3":0},"bp":{"a1":0,"a2":"","a3":"","s1":0,"s2":0,"s3":0},"dl":{"a1":0,"a2":"","a3":"","s1":0,"s2":0,"s3":0},"sortOrder":0,"act":{}}</v>
      </c>
      <c r="BR233" t="str">
        <f t="shared" si="145"/>
        <v>{"group":"A","lot":0,"name":"0","team":"","year":"0","gender":"0","gear":"0","lifts":"0","division":"--","wc":"0","bw":"","pb":[0,0,0,0],"idx":"23","sr":"0","br":"0","row":0,"sq":{"a1":0,"a2":"","a3":"","s1":0,"s2":0,"s3":0},"bp":{"a1":0,"a2":"","a3":"","s1":0,"s2":0,"s3":0},"dl":{"a1":0,"a2":"","a3":"","s1":0,"s2":0,"s3":0},"sortOrder":0,"act":{}}</v>
      </c>
    </row>
    <row r="234" spans="5:70" x14ac:dyDescent="0.25">
      <c r="E234" s="128"/>
      <c r="F234" s="129"/>
      <c r="G234" s="129"/>
      <c r="H234" s="129"/>
      <c r="I234" s="129"/>
      <c r="J234" s="129"/>
      <c r="K234" s="129"/>
      <c r="L234" s="130"/>
      <c r="M234" s="131"/>
      <c r="N234" s="130"/>
      <c r="O234" s="148">
        <f t="shared" ca="1" si="146"/>
        <v>2023</v>
      </c>
      <c r="P234" s="129"/>
      <c r="Q234" s="129"/>
      <c r="R234" s="129"/>
      <c r="S234" s="129"/>
      <c r="T234" s="129"/>
      <c r="U234" s="129"/>
      <c r="V234" s="129"/>
      <c r="W234" s="129"/>
      <c r="X234" s="129"/>
      <c r="Y234" s="132"/>
      <c r="Z234" s="133"/>
      <c r="AA234" s="133"/>
      <c r="AB234" s="134"/>
      <c r="AE234" s="15" t="str">
        <f t="shared" si="112"/>
        <v>A</v>
      </c>
      <c r="AF234" s="8">
        <f t="shared" si="113"/>
        <v>0</v>
      </c>
      <c r="AG234" s="9">
        <f t="shared" si="121"/>
        <v>0</v>
      </c>
      <c r="AH234" s="9" t="str">
        <f t="shared" si="122"/>
        <v/>
      </c>
      <c r="AI234" s="8">
        <f t="shared" si="114"/>
        <v>0</v>
      </c>
      <c r="AJ234" s="45">
        <f t="shared" si="123"/>
        <v>0</v>
      </c>
      <c r="AK234" s="45">
        <f t="shared" si="124"/>
        <v>0</v>
      </c>
      <c r="AL234" s="45">
        <f t="shared" si="125"/>
        <v>0</v>
      </c>
      <c r="AM234" s="8" t="str">
        <f t="shared" si="126"/>
        <v>--</v>
      </c>
      <c r="AN234" s="10">
        <f t="shared" si="127"/>
        <v>0</v>
      </c>
      <c r="AO234" s="10">
        <f t="shared" si="128"/>
        <v>0</v>
      </c>
      <c r="AP234" s="10">
        <f t="shared" si="129"/>
        <v>0</v>
      </c>
      <c r="AQ234" s="10">
        <f t="shared" si="130"/>
        <v>0</v>
      </c>
      <c r="AR234" s="10">
        <f t="shared" si="131"/>
        <v>0</v>
      </c>
      <c r="AS234" s="8">
        <v>23</v>
      </c>
      <c r="AT234" s="9">
        <f t="shared" si="132"/>
        <v>0</v>
      </c>
      <c r="AU234" s="11">
        <f t="shared" si="133"/>
        <v>0</v>
      </c>
      <c r="AV234" s="6"/>
      <c r="AW234" s="6"/>
      <c r="AX234" s="6"/>
      <c r="AZ234" t="str">
        <f t="shared" si="134"/>
        <v>{"group":"A",</v>
      </c>
      <c r="BA234" t="str">
        <f t="shared" si="115"/>
        <v>"lot":0,</v>
      </c>
      <c r="BB234" t="str">
        <f t="shared" si="135"/>
        <v>"name":"0",</v>
      </c>
      <c r="BC234" t="str">
        <f t="shared" si="136"/>
        <v>"team":"",</v>
      </c>
      <c r="BD234" t="str">
        <f t="shared" si="137"/>
        <v>"year":"0",</v>
      </c>
      <c r="BE234" t="str">
        <f t="shared" si="138"/>
        <v>"gender":"0",</v>
      </c>
      <c r="BF234" t="str">
        <f t="shared" si="139"/>
        <v>"gear":"0",</v>
      </c>
      <c r="BG234" t="str">
        <f t="shared" si="140"/>
        <v>"lifts":"0",</v>
      </c>
      <c r="BH234" t="str">
        <f t="shared" si="141"/>
        <v>"division":"--",</v>
      </c>
      <c r="BI234" t="str">
        <f t="shared" si="142"/>
        <v>"wc":"0",</v>
      </c>
      <c r="BJ234" t="str">
        <f t="shared" si="143"/>
        <v>"bw":"",</v>
      </c>
      <c r="BK234" t="str">
        <f t="shared" si="144"/>
        <v>"pb":[0,0,0,0],</v>
      </c>
      <c r="BL234" t="str">
        <f t="shared" si="116"/>
        <v>"idx":"23",</v>
      </c>
      <c r="BM234" t="str">
        <f t="shared" si="117"/>
        <v>"sr":"0",</v>
      </c>
      <c r="BN234" t="str">
        <f t="shared" si="118"/>
        <v>"br":"0",</v>
      </c>
      <c r="BO234" t="str">
        <f t="shared" si="119"/>
        <v>"row":0,</v>
      </c>
      <c r="BP234" t="s">
        <v>55</v>
      </c>
      <c r="BQ234" t="str">
        <f t="shared" si="120"/>
        <v>"sq":{"a1":0,"a2":"","a3":"","s1":0,"s2":0,"s3":0},"bp":{"a1":0,"a2":"","a3":"","s1":0,"s2":0,"s3":0},"dl":{"a1":0,"a2":"","a3":"","s1":0,"s2":0,"s3":0},"sortOrder":0,"act":{}}</v>
      </c>
      <c r="BR234" t="str">
        <f t="shared" si="145"/>
        <v>{"group":"A","lot":0,"name":"0","team":"","year":"0","gender":"0","gear":"0","lifts":"0","division":"--","wc":"0","bw":"","pb":[0,0,0,0],"idx":"23","sr":"0","br":"0","row":0,"sq":{"a1":0,"a2":"","a3":"","s1":0,"s2":0,"s3":0},"bp":{"a1":0,"a2":"","a3":"","s1":0,"s2":0,"s3":0},"dl":{"a1":0,"a2":"","a3":"","s1":0,"s2":0,"s3":0},"sortOrder":0,"act":{}}</v>
      </c>
    </row>
    <row r="235" spans="5:70" x14ac:dyDescent="0.25">
      <c r="E235" s="128"/>
      <c r="F235" s="129"/>
      <c r="G235" s="129"/>
      <c r="H235" s="129"/>
      <c r="I235" s="129"/>
      <c r="J235" s="129"/>
      <c r="K235" s="129"/>
      <c r="L235" s="130"/>
      <c r="M235" s="131"/>
      <c r="N235" s="130"/>
      <c r="O235" s="148">
        <f t="shared" ca="1" si="146"/>
        <v>2023</v>
      </c>
      <c r="P235" s="129"/>
      <c r="Q235" s="129"/>
      <c r="R235" s="129"/>
      <c r="S235" s="129"/>
      <c r="T235" s="129"/>
      <c r="U235" s="129"/>
      <c r="V235" s="129"/>
      <c r="W235" s="129"/>
      <c r="X235" s="129"/>
      <c r="Y235" s="132"/>
      <c r="Z235" s="133"/>
      <c r="AA235" s="133"/>
      <c r="AB235" s="134"/>
      <c r="AE235" s="15" t="str">
        <f t="shared" si="112"/>
        <v>A</v>
      </c>
      <c r="AF235" s="8">
        <f t="shared" si="113"/>
        <v>0</v>
      </c>
      <c r="AG235" s="9">
        <f t="shared" si="121"/>
        <v>0</v>
      </c>
      <c r="AH235" s="9" t="str">
        <f t="shared" si="122"/>
        <v/>
      </c>
      <c r="AI235" s="8">
        <f t="shared" si="114"/>
        <v>0</v>
      </c>
      <c r="AJ235" s="45">
        <f t="shared" si="123"/>
        <v>0</v>
      </c>
      <c r="AK235" s="45">
        <f t="shared" si="124"/>
        <v>0</v>
      </c>
      <c r="AL235" s="45">
        <f t="shared" si="125"/>
        <v>0</v>
      </c>
      <c r="AM235" s="8" t="str">
        <f t="shared" si="126"/>
        <v>--</v>
      </c>
      <c r="AN235" s="10">
        <f t="shared" si="127"/>
        <v>0</v>
      </c>
      <c r="AO235" s="10">
        <f t="shared" si="128"/>
        <v>0</v>
      </c>
      <c r="AP235" s="10">
        <f t="shared" si="129"/>
        <v>0</v>
      </c>
      <c r="AQ235" s="10">
        <f t="shared" si="130"/>
        <v>0</v>
      </c>
      <c r="AR235" s="10">
        <f t="shared" si="131"/>
        <v>0</v>
      </c>
      <c r="AS235" s="8">
        <v>23</v>
      </c>
      <c r="AT235" s="9">
        <f t="shared" si="132"/>
        <v>0</v>
      </c>
      <c r="AU235" s="11">
        <f t="shared" si="133"/>
        <v>0</v>
      </c>
      <c r="AV235" s="6"/>
      <c r="AW235" s="6"/>
      <c r="AX235" s="6"/>
      <c r="AZ235" t="str">
        <f t="shared" si="134"/>
        <v>{"group":"A",</v>
      </c>
      <c r="BA235" t="str">
        <f t="shared" si="115"/>
        <v>"lot":0,</v>
      </c>
      <c r="BB235" t="str">
        <f t="shared" si="135"/>
        <v>"name":"0",</v>
      </c>
      <c r="BC235" t="str">
        <f t="shared" si="136"/>
        <v>"team":"",</v>
      </c>
      <c r="BD235" t="str">
        <f t="shared" si="137"/>
        <v>"year":"0",</v>
      </c>
      <c r="BE235" t="str">
        <f t="shared" si="138"/>
        <v>"gender":"0",</v>
      </c>
      <c r="BF235" t="str">
        <f t="shared" si="139"/>
        <v>"gear":"0",</v>
      </c>
      <c r="BG235" t="str">
        <f t="shared" si="140"/>
        <v>"lifts":"0",</v>
      </c>
      <c r="BH235" t="str">
        <f t="shared" si="141"/>
        <v>"division":"--",</v>
      </c>
      <c r="BI235" t="str">
        <f t="shared" si="142"/>
        <v>"wc":"0",</v>
      </c>
      <c r="BJ235" t="str">
        <f t="shared" si="143"/>
        <v>"bw":"",</v>
      </c>
      <c r="BK235" t="str">
        <f t="shared" si="144"/>
        <v>"pb":[0,0,0,0],</v>
      </c>
      <c r="BL235" t="str">
        <f t="shared" si="116"/>
        <v>"idx":"23",</v>
      </c>
      <c r="BM235" t="str">
        <f t="shared" si="117"/>
        <v>"sr":"0",</v>
      </c>
      <c r="BN235" t="str">
        <f t="shared" si="118"/>
        <v>"br":"0",</v>
      </c>
      <c r="BO235" t="str">
        <f t="shared" si="119"/>
        <v>"row":0,</v>
      </c>
      <c r="BP235" t="s">
        <v>55</v>
      </c>
      <c r="BQ235" t="str">
        <f t="shared" si="120"/>
        <v>"sq":{"a1":0,"a2":"","a3":"","s1":0,"s2":0,"s3":0},"bp":{"a1":0,"a2":"","a3":"","s1":0,"s2":0,"s3":0},"dl":{"a1":0,"a2":"","a3":"","s1":0,"s2":0,"s3":0},"sortOrder":0,"act":{}}</v>
      </c>
      <c r="BR235" t="str">
        <f t="shared" si="145"/>
        <v>{"group":"A","lot":0,"name":"0","team":"","year":"0","gender":"0","gear":"0","lifts":"0","division":"--","wc":"0","bw":"","pb":[0,0,0,0],"idx":"23","sr":"0","br":"0","row":0,"sq":{"a1":0,"a2":"","a3":"","s1":0,"s2":0,"s3":0},"bp":{"a1":0,"a2":"","a3":"","s1":0,"s2":0,"s3":0},"dl":{"a1":0,"a2":"","a3":"","s1":0,"s2":0,"s3":0},"sortOrder":0,"act":{}}</v>
      </c>
    </row>
    <row r="236" spans="5:70" x14ac:dyDescent="0.25">
      <c r="E236" s="128"/>
      <c r="F236" s="129"/>
      <c r="G236" s="129"/>
      <c r="H236" s="129"/>
      <c r="I236" s="129"/>
      <c r="J236" s="129"/>
      <c r="K236" s="129"/>
      <c r="L236" s="130"/>
      <c r="M236" s="131"/>
      <c r="N236" s="130"/>
      <c r="O236" s="148">
        <f t="shared" ca="1" si="146"/>
        <v>2023</v>
      </c>
      <c r="P236" s="129"/>
      <c r="Q236" s="129"/>
      <c r="R236" s="129"/>
      <c r="S236" s="129"/>
      <c r="T236" s="129"/>
      <c r="U236" s="129"/>
      <c r="V236" s="129"/>
      <c r="W236" s="129"/>
      <c r="X236" s="129"/>
      <c r="Y236" s="132"/>
      <c r="Z236" s="133"/>
      <c r="AA236" s="133"/>
      <c r="AB236" s="134"/>
      <c r="AE236" s="15" t="str">
        <f t="shared" si="112"/>
        <v>A</v>
      </c>
      <c r="AF236" s="8">
        <f t="shared" si="113"/>
        <v>0</v>
      </c>
      <c r="AG236" s="9">
        <f t="shared" si="121"/>
        <v>0</v>
      </c>
      <c r="AH236" s="9" t="str">
        <f t="shared" si="122"/>
        <v/>
      </c>
      <c r="AI236" s="8">
        <f t="shared" si="114"/>
        <v>0</v>
      </c>
      <c r="AJ236" s="45">
        <f t="shared" si="123"/>
        <v>0</v>
      </c>
      <c r="AK236" s="45">
        <f t="shared" si="124"/>
        <v>0</v>
      </c>
      <c r="AL236" s="45">
        <f t="shared" si="125"/>
        <v>0</v>
      </c>
      <c r="AM236" s="8" t="str">
        <f t="shared" si="126"/>
        <v>--</v>
      </c>
      <c r="AN236" s="10">
        <f t="shared" si="127"/>
        <v>0</v>
      </c>
      <c r="AO236" s="10">
        <f t="shared" si="128"/>
        <v>0</v>
      </c>
      <c r="AP236" s="10">
        <f t="shared" si="129"/>
        <v>0</v>
      </c>
      <c r="AQ236" s="10">
        <f t="shared" si="130"/>
        <v>0</v>
      </c>
      <c r="AR236" s="10">
        <f t="shared" si="131"/>
        <v>0</v>
      </c>
      <c r="AS236" s="8">
        <v>23</v>
      </c>
      <c r="AT236" s="9">
        <f t="shared" si="132"/>
        <v>0</v>
      </c>
      <c r="AU236" s="11">
        <f t="shared" si="133"/>
        <v>0</v>
      </c>
      <c r="AV236" s="6"/>
      <c r="AW236" s="6"/>
      <c r="AX236" s="6"/>
      <c r="AZ236" t="str">
        <f t="shared" si="134"/>
        <v>{"group":"A",</v>
      </c>
      <c r="BA236" t="str">
        <f t="shared" si="115"/>
        <v>"lot":0,</v>
      </c>
      <c r="BB236" t="str">
        <f t="shared" si="135"/>
        <v>"name":"0",</v>
      </c>
      <c r="BC236" t="str">
        <f t="shared" si="136"/>
        <v>"team":"",</v>
      </c>
      <c r="BD236" t="str">
        <f t="shared" si="137"/>
        <v>"year":"0",</v>
      </c>
      <c r="BE236" t="str">
        <f t="shared" si="138"/>
        <v>"gender":"0",</v>
      </c>
      <c r="BF236" t="str">
        <f t="shared" si="139"/>
        <v>"gear":"0",</v>
      </c>
      <c r="BG236" t="str">
        <f t="shared" si="140"/>
        <v>"lifts":"0",</v>
      </c>
      <c r="BH236" t="str">
        <f t="shared" si="141"/>
        <v>"division":"--",</v>
      </c>
      <c r="BI236" t="str">
        <f t="shared" si="142"/>
        <v>"wc":"0",</v>
      </c>
      <c r="BJ236" t="str">
        <f t="shared" si="143"/>
        <v>"bw":"",</v>
      </c>
      <c r="BK236" t="str">
        <f t="shared" si="144"/>
        <v>"pb":[0,0,0,0],</v>
      </c>
      <c r="BL236" t="str">
        <f t="shared" si="116"/>
        <v>"idx":"23",</v>
      </c>
      <c r="BM236" t="str">
        <f t="shared" si="117"/>
        <v>"sr":"0",</v>
      </c>
      <c r="BN236" t="str">
        <f t="shared" si="118"/>
        <v>"br":"0",</v>
      </c>
      <c r="BO236" t="str">
        <f t="shared" si="119"/>
        <v>"row":0,</v>
      </c>
      <c r="BP236" t="s">
        <v>55</v>
      </c>
      <c r="BQ236" t="str">
        <f t="shared" si="120"/>
        <v>"sq":{"a1":0,"a2":"","a3":"","s1":0,"s2":0,"s3":0},"bp":{"a1":0,"a2":"","a3":"","s1":0,"s2":0,"s3":0},"dl":{"a1":0,"a2":"","a3":"","s1":0,"s2":0,"s3":0},"sortOrder":0,"act":{}}</v>
      </c>
      <c r="BR236" t="str">
        <f t="shared" si="145"/>
        <v>{"group":"A","lot":0,"name":"0","team":"","year":"0","gender":"0","gear":"0","lifts":"0","division":"--","wc":"0","bw":"","pb":[0,0,0,0],"idx":"23","sr":"0","br":"0","row":0,"sq":{"a1":0,"a2":"","a3":"","s1":0,"s2":0,"s3":0},"bp":{"a1":0,"a2":"","a3":"","s1":0,"s2":0,"s3":0},"dl":{"a1":0,"a2":"","a3":"","s1":0,"s2":0,"s3":0},"sortOrder":0,"act":{}}</v>
      </c>
    </row>
    <row r="237" spans="5:70" x14ac:dyDescent="0.25">
      <c r="E237" s="128"/>
      <c r="F237" s="129"/>
      <c r="G237" s="129"/>
      <c r="H237" s="129"/>
      <c r="I237" s="129"/>
      <c r="J237" s="129"/>
      <c r="K237" s="129"/>
      <c r="L237" s="130"/>
      <c r="M237" s="131"/>
      <c r="N237" s="130"/>
      <c r="O237" s="148">
        <f t="shared" ca="1" si="146"/>
        <v>2023</v>
      </c>
      <c r="P237" s="129"/>
      <c r="Q237" s="129"/>
      <c r="R237" s="129"/>
      <c r="S237" s="129"/>
      <c r="T237" s="129"/>
      <c r="U237" s="129"/>
      <c r="V237" s="129"/>
      <c r="W237" s="129"/>
      <c r="X237" s="129"/>
      <c r="Y237" s="132"/>
      <c r="Z237" s="133"/>
      <c r="AA237" s="133"/>
      <c r="AB237" s="134"/>
      <c r="AE237" s="15" t="str">
        <f t="shared" si="112"/>
        <v>A</v>
      </c>
      <c r="AF237" s="8">
        <f t="shared" si="113"/>
        <v>0</v>
      </c>
      <c r="AG237" s="9">
        <f t="shared" si="121"/>
        <v>0</v>
      </c>
      <c r="AH237" s="9" t="str">
        <f t="shared" si="122"/>
        <v/>
      </c>
      <c r="AI237" s="8">
        <f t="shared" si="114"/>
        <v>0</v>
      </c>
      <c r="AJ237" s="45">
        <f t="shared" si="123"/>
        <v>0</v>
      </c>
      <c r="AK237" s="45">
        <f t="shared" si="124"/>
        <v>0</v>
      </c>
      <c r="AL237" s="45">
        <f t="shared" si="125"/>
        <v>0</v>
      </c>
      <c r="AM237" s="8" t="str">
        <f t="shared" si="126"/>
        <v>--</v>
      </c>
      <c r="AN237" s="10">
        <f t="shared" si="127"/>
        <v>0</v>
      </c>
      <c r="AO237" s="10">
        <f t="shared" si="128"/>
        <v>0</v>
      </c>
      <c r="AP237" s="10">
        <f t="shared" si="129"/>
        <v>0</v>
      </c>
      <c r="AQ237" s="10">
        <f t="shared" si="130"/>
        <v>0</v>
      </c>
      <c r="AR237" s="10">
        <f t="shared" si="131"/>
        <v>0</v>
      </c>
      <c r="AS237" s="8">
        <v>23</v>
      </c>
      <c r="AT237" s="9">
        <f t="shared" si="132"/>
        <v>0</v>
      </c>
      <c r="AU237" s="11">
        <f t="shared" si="133"/>
        <v>0</v>
      </c>
      <c r="AV237" s="6"/>
      <c r="AW237" s="6"/>
      <c r="AX237" s="6"/>
      <c r="AZ237" t="str">
        <f t="shared" si="134"/>
        <v>{"group":"A",</v>
      </c>
      <c r="BA237" t="str">
        <f t="shared" si="115"/>
        <v>"lot":0,</v>
      </c>
      <c r="BB237" t="str">
        <f t="shared" si="135"/>
        <v>"name":"0",</v>
      </c>
      <c r="BC237" t="str">
        <f t="shared" si="136"/>
        <v>"team":"",</v>
      </c>
      <c r="BD237" t="str">
        <f t="shared" si="137"/>
        <v>"year":"0",</v>
      </c>
      <c r="BE237" t="str">
        <f t="shared" si="138"/>
        <v>"gender":"0",</v>
      </c>
      <c r="BF237" t="str">
        <f t="shared" si="139"/>
        <v>"gear":"0",</v>
      </c>
      <c r="BG237" t="str">
        <f t="shared" si="140"/>
        <v>"lifts":"0",</v>
      </c>
      <c r="BH237" t="str">
        <f t="shared" si="141"/>
        <v>"division":"--",</v>
      </c>
      <c r="BI237" t="str">
        <f t="shared" si="142"/>
        <v>"wc":"0",</v>
      </c>
      <c r="BJ237" t="str">
        <f t="shared" si="143"/>
        <v>"bw":"",</v>
      </c>
      <c r="BK237" t="str">
        <f t="shared" si="144"/>
        <v>"pb":[0,0,0,0],</v>
      </c>
      <c r="BL237" t="str">
        <f t="shared" si="116"/>
        <v>"idx":"23",</v>
      </c>
      <c r="BM237" t="str">
        <f t="shared" si="117"/>
        <v>"sr":"0",</v>
      </c>
      <c r="BN237" t="str">
        <f t="shared" si="118"/>
        <v>"br":"0",</v>
      </c>
      <c r="BO237" t="str">
        <f t="shared" si="119"/>
        <v>"row":0,</v>
      </c>
      <c r="BP237" t="s">
        <v>55</v>
      </c>
      <c r="BQ237" t="str">
        <f t="shared" si="120"/>
        <v>"sq":{"a1":0,"a2":"","a3":"","s1":0,"s2":0,"s3":0},"bp":{"a1":0,"a2":"","a3":"","s1":0,"s2":0,"s3":0},"dl":{"a1":0,"a2":"","a3":"","s1":0,"s2":0,"s3":0},"sortOrder":0,"act":{}}</v>
      </c>
      <c r="BR237" t="str">
        <f t="shared" si="145"/>
        <v>{"group":"A","lot":0,"name":"0","team":"","year":"0","gender":"0","gear":"0","lifts":"0","division":"--","wc":"0","bw":"","pb":[0,0,0,0],"idx":"23","sr":"0","br":"0","row":0,"sq":{"a1":0,"a2":"","a3":"","s1":0,"s2":0,"s3":0},"bp":{"a1":0,"a2":"","a3":"","s1":0,"s2":0,"s3":0},"dl":{"a1":0,"a2":"","a3":"","s1":0,"s2":0,"s3":0},"sortOrder":0,"act":{}}</v>
      </c>
    </row>
    <row r="238" spans="5:70" x14ac:dyDescent="0.25">
      <c r="E238" s="128"/>
      <c r="F238" s="129"/>
      <c r="G238" s="129"/>
      <c r="H238" s="129"/>
      <c r="I238" s="129"/>
      <c r="J238" s="129"/>
      <c r="K238" s="129"/>
      <c r="L238" s="130"/>
      <c r="M238" s="131"/>
      <c r="N238" s="130"/>
      <c r="O238" s="148">
        <f t="shared" ca="1" si="146"/>
        <v>2023</v>
      </c>
      <c r="P238" s="129"/>
      <c r="Q238" s="129"/>
      <c r="R238" s="129"/>
      <c r="S238" s="129"/>
      <c r="T238" s="129"/>
      <c r="U238" s="129"/>
      <c r="V238" s="129"/>
      <c r="W238" s="129"/>
      <c r="X238" s="129"/>
      <c r="Y238" s="132"/>
      <c r="Z238" s="133"/>
      <c r="AA238" s="133"/>
      <c r="AB238" s="134"/>
      <c r="AE238" s="15" t="str">
        <f t="shared" si="112"/>
        <v>A</v>
      </c>
      <c r="AF238" s="8">
        <f t="shared" si="113"/>
        <v>0</v>
      </c>
      <c r="AG238" s="9">
        <f t="shared" si="121"/>
        <v>0</v>
      </c>
      <c r="AH238" s="9" t="str">
        <f t="shared" si="122"/>
        <v/>
      </c>
      <c r="AI238" s="8">
        <f t="shared" si="114"/>
        <v>0</v>
      </c>
      <c r="AJ238" s="45">
        <f t="shared" si="123"/>
        <v>0</v>
      </c>
      <c r="AK238" s="45">
        <f t="shared" si="124"/>
        <v>0</v>
      </c>
      <c r="AL238" s="45">
        <f t="shared" si="125"/>
        <v>0</v>
      </c>
      <c r="AM238" s="8" t="str">
        <f t="shared" si="126"/>
        <v>--</v>
      </c>
      <c r="AN238" s="10">
        <f t="shared" si="127"/>
        <v>0</v>
      </c>
      <c r="AO238" s="10">
        <f t="shared" si="128"/>
        <v>0</v>
      </c>
      <c r="AP238" s="10">
        <f t="shared" si="129"/>
        <v>0</v>
      </c>
      <c r="AQ238" s="10">
        <f t="shared" si="130"/>
        <v>0</v>
      </c>
      <c r="AR238" s="10">
        <f t="shared" si="131"/>
        <v>0</v>
      </c>
      <c r="AS238" s="8">
        <v>23</v>
      </c>
      <c r="AT238" s="9">
        <f t="shared" si="132"/>
        <v>0</v>
      </c>
      <c r="AU238" s="11">
        <f t="shared" si="133"/>
        <v>0</v>
      </c>
      <c r="AV238" s="6"/>
      <c r="AW238" s="6"/>
      <c r="AX238" s="6"/>
      <c r="AZ238" t="str">
        <f t="shared" si="134"/>
        <v>{"group":"A",</v>
      </c>
      <c r="BA238" t="str">
        <f t="shared" si="115"/>
        <v>"lot":0,</v>
      </c>
      <c r="BB238" t="str">
        <f t="shared" si="135"/>
        <v>"name":"0",</v>
      </c>
      <c r="BC238" t="str">
        <f t="shared" si="136"/>
        <v>"team":"",</v>
      </c>
      <c r="BD238" t="str">
        <f t="shared" si="137"/>
        <v>"year":"0",</v>
      </c>
      <c r="BE238" t="str">
        <f t="shared" si="138"/>
        <v>"gender":"0",</v>
      </c>
      <c r="BF238" t="str">
        <f t="shared" si="139"/>
        <v>"gear":"0",</v>
      </c>
      <c r="BG238" t="str">
        <f t="shared" si="140"/>
        <v>"lifts":"0",</v>
      </c>
      <c r="BH238" t="str">
        <f t="shared" si="141"/>
        <v>"division":"--",</v>
      </c>
      <c r="BI238" t="str">
        <f t="shared" si="142"/>
        <v>"wc":"0",</v>
      </c>
      <c r="BJ238" t="str">
        <f t="shared" si="143"/>
        <v>"bw":"",</v>
      </c>
      <c r="BK238" t="str">
        <f t="shared" si="144"/>
        <v>"pb":[0,0,0,0],</v>
      </c>
      <c r="BL238" t="str">
        <f t="shared" si="116"/>
        <v>"idx":"23",</v>
      </c>
      <c r="BM238" t="str">
        <f t="shared" si="117"/>
        <v>"sr":"0",</v>
      </c>
      <c r="BN238" t="str">
        <f t="shared" si="118"/>
        <v>"br":"0",</v>
      </c>
      <c r="BO238" t="str">
        <f t="shared" si="119"/>
        <v>"row":0,</v>
      </c>
      <c r="BP238" t="s">
        <v>55</v>
      </c>
      <c r="BQ238" t="str">
        <f t="shared" si="120"/>
        <v>"sq":{"a1":0,"a2":"","a3":"","s1":0,"s2":0,"s3":0},"bp":{"a1":0,"a2":"","a3":"","s1":0,"s2":0,"s3":0},"dl":{"a1":0,"a2":"","a3":"","s1":0,"s2":0,"s3":0},"sortOrder":0,"act":{}}</v>
      </c>
      <c r="BR238" t="str">
        <f t="shared" si="145"/>
        <v>{"group":"A","lot":0,"name":"0","team":"","year":"0","gender":"0","gear":"0","lifts":"0","division":"--","wc":"0","bw":"","pb":[0,0,0,0],"idx":"23","sr":"0","br":"0","row":0,"sq":{"a1":0,"a2":"","a3":"","s1":0,"s2":0,"s3":0},"bp":{"a1":0,"a2":"","a3":"","s1":0,"s2":0,"s3":0},"dl":{"a1":0,"a2":"","a3":"","s1":0,"s2":0,"s3":0},"sortOrder":0,"act":{}}</v>
      </c>
    </row>
    <row r="239" spans="5:70" x14ac:dyDescent="0.25">
      <c r="E239" s="128"/>
      <c r="F239" s="129"/>
      <c r="G239" s="129"/>
      <c r="H239" s="129"/>
      <c r="I239" s="129"/>
      <c r="J239" s="129"/>
      <c r="K239" s="129"/>
      <c r="L239" s="130"/>
      <c r="M239" s="131"/>
      <c r="N239" s="130"/>
      <c r="O239" s="148">
        <f t="shared" ca="1" si="146"/>
        <v>2023</v>
      </c>
      <c r="P239" s="129"/>
      <c r="Q239" s="129"/>
      <c r="R239" s="129"/>
      <c r="S239" s="129"/>
      <c r="T239" s="129"/>
      <c r="U239" s="129"/>
      <c r="V239" s="129"/>
      <c r="W239" s="129"/>
      <c r="X239" s="129"/>
      <c r="Y239" s="132"/>
      <c r="Z239" s="133"/>
      <c r="AA239" s="133"/>
      <c r="AB239" s="134"/>
      <c r="AE239" s="15" t="str">
        <f t="shared" si="112"/>
        <v>A</v>
      </c>
      <c r="AF239" s="8">
        <f t="shared" si="113"/>
        <v>0</v>
      </c>
      <c r="AG239" s="9">
        <f t="shared" si="121"/>
        <v>0</v>
      </c>
      <c r="AH239" s="9" t="str">
        <f t="shared" si="122"/>
        <v/>
      </c>
      <c r="AI239" s="8">
        <f t="shared" si="114"/>
        <v>0</v>
      </c>
      <c r="AJ239" s="45">
        <f t="shared" si="123"/>
        <v>0</v>
      </c>
      <c r="AK239" s="45">
        <f t="shared" si="124"/>
        <v>0</v>
      </c>
      <c r="AL239" s="45">
        <f t="shared" si="125"/>
        <v>0</v>
      </c>
      <c r="AM239" s="8" t="str">
        <f t="shared" si="126"/>
        <v>--</v>
      </c>
      <c r="AN239" s="10">
        <f t="shared" si="127"/>
        <v>0</v>
      </c>
      <c r="AO239" s="10">
        <f t="shared" si="128"/>
        <v>0</v>
      </c>
      <c r="AP239" s="10">
        <f t="shared" si="129"/>
        <v>0</v>
      </c>
      <c r="AQ239" s="10">
        <f t="shared" si="130"/>
        <v>0</v>
      </c>
      <c r="AR239" s="10">
        <f t="shared" si="131"/>
        <v>0</v>
      </c>
      <c r="AS239" s="8">
        <v>23</v>
      </c>
      <c r="AT239" s="9">
        <f t="shared" si="132"/>
        <v>0</v>
      </c>
      <c r="AU239" s="11">
        <f t="shared" si="133"/>
        <v>0</v>
      </c>
      <c r="AV239" s="6"/>
      <c r="AW239" s="6"/>
      <c r="AX239" s="6"/>
      <c r="AZ239" t="str">
        <f t="shared" si="134"/>
        <v>{"group":"A",</v>
      </c>
      <c r="BA239" t="str">
        <f t="shared" si="115"/>
        <v>"lot":0,</v>
      </c>
      <c r="BB239" t="str">
        <f t="shared" si="135"/>
        <v>"name":"0",</v>
      </c>
      <c r="BC239" t="str">
        <f t="shared" si="136"/>
        <v>"team":"",</v>
      </c>
      <c r="BD239" t="str">
        <f t="shared" si="137"/>
        <v>"year":"0",</v>
      </c>
      <c r="BE239" t="str">
        <f t="shared" si="138"/>
        <v>"gender":"0",</v>
      </c>
      <c r="BF239" t="str">
        <f t="shared" si="139"/>
        <v>"gear":"0",</v>
      </c>
      <c r="BG239" t="str">
        <f t="shared" si="140"/>
        <v>"lifts":"0",</v>
      </c>
      <c r="BH239" t="str">
        <f t="shared" si="141"/>
        <v>"division":"--",</v>
      </c>
      <c r="BI239" t="str">
        <f t="shared" si="142"/>
        <v>"wc":"0",</v>
      </c>
      <c r="BJ239" t="str">
        <f t="shared" si="143"/>
        <v>"bw":"",</v>
      </c>
      <c r="BK239" t="str">
        <f t="shared" si="144"/>
        <v>"pb":[0,0,0,0],</v>
      </c>
      <c r="BL239" t="str">
        <f t="shared" si="116"/>
        <v>"idx":"23",</v>
      </c>
      <c r="BM239" t="str">
        <f t="shared" si="117"/>
        <v>"sr":"0",</v>
      </c>
      <c r="BN239" t="str">
        <f t="shared" si="118"/>
        <v>"br":"0",</v>
      </c>
      <c r="BO239" t="str">
        <f t="shared" si="119"/>
        <v>"row":0,</v>
      </c>
      <c r="BP239" t="s">
        <v>55</v>
      </c>
      <c r="BQ239" t="str">
        <f t="shared" si="120"/>
        <v>"sq":{"a1":0,"a2":"","a3":"","s1":0,"s2":0,"s3":0},"bp":{"a1":0,"a2":"","a3":"","s1":0,"s2":0,"s3":0},"dl":{"a1":0,"a2":"","a3":"","s1":0,"s2":0,"s3":0},"sortOrder":0,"act":{}}</v>
      </c>
      <c r="BR239" t="str">
        <f t="shared" si="145"/>
        <v>{"group":"A","lot":0,"name":"0","team":"","year":"0","gender":"0","gear":"0","lifts":"0","division":"--","wc":"0","bw":"","pb":[0,0,0,0],"idx":"23","sr":"0","br":"0","row":0,"sq":{"a1":0,"a2":"","a3":"","s1":0,"s2":0,"s3":0},"bp":{"a1":0,"a2":"","a3":"","s1":0,"s2":0,"s3":0},"dl":{"a1":0,"a2":"","a3":"","s1":0,"s2":0,"s3":0},"sortOrder":0,"act":{}}</v>
      </c>
    </row>
    <row r="240" spans="5:70" x14ac:dyDescent="0.25">
      <c r="E240" s="128"/>
      <c r="F240" s="129"/>
      <c r="G240" s="129"/>
      <c r="H240" s="129"/>
      <c r="I240" s="129"/>
      <c r="J240" s="129"/>
      <c r="K240" s="129"/>
      <c r="L240" s="130"/>
      <c r="M240" s="131"/>
      <c r="N240" s="130"/>
      <c r="O240" s="148">
        <f t="shared" ca="1" si="146"/>
        <v>2023</v>
      </c>
      <c r="P240" s="129"/>
      <c r="Q240" s="129"/>
      <c r="R240" s="129"/>
      <c r="S240" s="129"/>
      <c r="T240" s="129"/>
      <c r="U240" s="129"/>
      <c r="V240" s="129"/>
      <c r="W240" s="129"/>
      <c r="X240" s="129"/>
      <c r="Y240" s="132"/>
      <c r="Z240" s="133"/>
      <c r="AA240" s="133"/>
      <c r="AB240" s="134"/>
      <c r="AE240" s="15" t="str">
        <f t="shared" si="112"/>
        <v>A</v>
      </c>
      <c r="AF240" s="8">
        <f t="shared" si="113"/>
        <v>0</v>
      </c>
      <c r="AG240" s="9">
        <f t="shared" si="121"/>
        <v>0</v>
      </c>
      <c r="AH240" s="9" t="str">
        <f t="shared" si="122"/>
        <v/>
      </c>
      <c r="AI240" s="8">
        <f t="shared" si="114"/>
        <v>0</v>
      </c>
      <c r="AJ240" s="45">
        <f t="shared" si="123"/>
        <v>0</v>
      </c>
      <c r="AK240" s="45">
        <f t="shared" si="124"/>
        <v>0</v>
      </c>
      <c r="AL240" s="45">
        <f t="shared" si="125"/>
        <v>0</v>
      </c>
      <c r="AM240" s="8" t="str">
        <f t="shared" si="126"/>
        <v>--</v>
      </c>
      <c r="AN240" s="10">
        <f t="shared" si="127"/>
        <v>0</v>
      </c>
      <c r="AO240" s="10">
        <f t="shared" si="128"/>
        <v>0</v>
      </c>
      <c r="AP240" s="10">
        <f t="shared" si="129"/>
        <v>0</v>
      </c>
      <c r="AQ240" s="10">
        <f t="shared" si="130"/>
        <v>0</v>
      </c>
      <c r="AR240" s="10">
        <f t="shared" si="131"/>
        <v>0</v>
      </c>
      <c r="AS240" s="8">
        <v>23</v>
      </c>
      <c r="AT240" s="9">
        <f t="shared" si="132"/>
        <v>0</v>
      </c>
      <c r="AU240" s="11">
        <f t="shared" si="133"/>
        <v>0</v>
      </c>
      <c r="AV240" s="6"/>
      <c r="AW240" s="6"/>
      <c r="AX240" s="6"/>
      <c r="AZ240" t="str">
        <f t="shared" si="134"/>
        <v>{"group":"A",</v>
      </c>
      <c r="BA240" t="str">
        <f t="shared" si="115"/>
        <v>"lot":0,</v>
      </c>
      <c r="BB240" t="str">
        <f t="shared" si="135"/>
        <v>"name":"0",</v>
      </c>
      <c r="BC240" t="str">
        <f t="shared" si="136"/>
        <v>"team":"",</v>
      </c>
      <c r="BD240" t="str">
        <f t="shared" si="137"/>
        <v>"year":"0",</v>
      </c>
      <c r="BE240" t="str">
        <f t="shared" si="138"/>
        <v>"gender":"0",</v>
      </c>
      <c r="BF240" t="str">
        <f t="shared" si="139"/>
        <v>"gear":"0",</v>
      </c>
      <c r="BG240" t="str">
        <f t="shared" si="140"/>
        <v>"lifts":"0",</v>
      </c>
      <c r="BH240" t="str">
        <f t="shared" si="141"/>
        <v>"division":"--",</v>
      </c>
      <c r="BI240" t="str">
        <f t="shared" si="142"/>
        <v>"wc":"0",</v>
      </c>
      <c r="BJ240" t="str">
        <f t="shared" si="143"/>
        <v>"bw":"",</v>
      </c>
      <c r="BK240" t="str">
        <f t="shared" si="144"/>
        <v>"pb":[0,0,0,0],</v>
      </c>
      <c r="BL240" t="str">
        <f t="shared" si="116"/>
        <v>"idx":"23",</v>
      </c>
      <c r="BM240" t="str">
        <f t="shared" si="117"/>
        <v>"sr":"0",</v>
      </c>
      <c r="BN240" t="str">
        <f t="shared" si="118"/>
        <v>"br":"0",</v>
      </c>
      <c r="BO240" t="str">
        <f t="shared" si="119"/>
        <v>"row":0,</v>
      </c>
      <c r="BP240" t="s">
        <v>55</v>
      </c>
      <c r="BQ240" t="str">
        <f t="shared" si="120"/>
        <v>"sq":{"a1":0,"a2":"","a3":"","s1":0,"s2":0,"s3":0},"bp":{"a1":0,"a2":"","a3":"","s1":0,"s2":0,"s3":0},"dl":{"a1":0,"a2":"","a3":"","s1":0,"s2":0,"s3":0},"sortOrder":0,"act":{}}</v>
      </c>
      <c r="BR240" t="str">
        <f t="shared" si="145"/>
        <v>{"group":"A","lot":0,"name":"0","team":"","year":"0","gender":"0","gear":"0","lifts":"0","division":"--","wc":"0","bw":"","pb":[0,0,0,0],"idx":"23","sr":"0","br":"0","row":0,"sq":{"a1":0,"a2":"","a3":"","s1":0,"s2":0,"s3":0},"bp":{"a1":0,"a2":"","a3":"","s1":0,"s2":0,"s3":0},"dl":{"a1":0,"a2":"","a3":"","s1":0,"s2":0,"s3":0},"sortOrder":0,"act":{}}</v>
      </c>
    </row>
    <row r="241" spans="5:70" x14ac:dyDescent="0.25">
      <c r="E241" s="128"/>
      <c r="F241" s="129"/>
      <c r="G241" s="129"/>
      <c r="H241" s="129"/>
      <c r="I241" s="129"/>
      <c r="J241" s="129"/>
      <c r="K241" s="129"/>
      <c r="L241" s="130"/>
      <c r="M241" s="131"/>
      <c r="N241" s="130"/>
      <c r="O241" s="148">
        <f t="shared" ca="1" si="146"/>
        <v>2023</v>
      </c>
      <c r="P241" s="129"/>
      <c r="Q241" s="129"/>
      <c r="R241" s="129"/>
      <c r="S241" s="129"/>
      <c r="T241" s="129"/>
      <c r="U241" s="129"/>
      <c r="V241" s="129"/>
      <c r="W241" s="129"/>
      <c r="X241" s="129"/>
      <c r="Y241" s="132"/>
      <c r="Z241" s="133"/>
      <c r="AA241" s="133"/>
      <c r="AB241" s="134"/>
      <c r="AE241" s="15" t="str">
        <f t="shared" si="112"/>
        <v>A</v>
      </c>
      <c r="AF241" s="8">
        <f t="shared" si="113"/>
        <v>0</v>
      </c>
      <c r="AG241" s="9">
        <f t="shared" si="121"/>
        <v>0</v>
      </c>
      <c r="AH241" s="9" t="str">
        <f t="shared" si="122"/>
        <v/>
      </c>
      <c r="AI241" s="8">
        <f t="shared" si="114"/>
        <v>0</v>
      </c>
      <c r="AJ241" s="45">
        <f t="shared" si="123"/>
        <v>0</v>
      </c>
      <c r="AK241" s="45">
        <f t="shared" si="124"/>
        <v>0</v>
      </c>
      <c r="AL241" s="45">
        <f t="shared" si="125"/>
        <v>0</v>
      </c>
      <c r="AM241" s="8" t="str">
        <f t="shared" si="126"/>
        <v>--</v>
      </c>
      <c r="AN241" s="10">
        <f t="shared" si="127"/>
        <v>0</v>
      </c>
      <c r="AO241" s="10">
        <f t="shared" si="128"/>
        <v>0</v>
      </c>
      <c r="AP241" s="10">
        <f t="shared" si="129"/>
        <v>0</v>
      </c>
      <c r="AQ241" s="10">
        <f t="shared" si="130"/>
        <v>0</v>
      </c>
      <c r="AR241" s="10">
        <f t="shared" si="131"/>
        <v>0</v>
      </c>
      <c r="AS241" s="8">
        <v>23</v>
      </c>
      <c r="AT241" s="9">
        <f t="shared" si="132"/>
        <v>0</v>
      </c>
      <c r="AU241" s="11">
        <f t="shared" si="133"/>
        <v>0</v>
      </c>
      <c r="AV241" s="6"/>
      <c r="AW241" s="6"/>
      <c r="AX241" s="6"/>
      <c r="AZ241" t="str">
        <f t="shared" si="134"/>
        <v>{"group":"A",</v>
      </c>
      <c r="BA241" t="str">
        <f t="shared" si="115"/>
        <v>"lot":0,</v>
      </c>
      <c r="BB241" t="str">
        <f t="shared" si="135"/>
        <v>"name":"0",</v>
      </c>
      <c r="BC241" t="str">
        <f t="shared" si="136"/>
        <v>"team":"",</v>
      </c>
      <c r="BD241" t="str">
        <f t="shared" si="137"/>
        <v>"year":"0",</v>
      </c>
      <c r="BE241" t="str">
        <f t="shared" si="138"/>
        <v>"gender":"0",</v>
      </c>
      <c r="BF241" t="str">
        <f t="shared" si="139"/>
        <v>"gear":"0",</v>
      </c>
      <c r="BG241" t="str">
        <f t="shared" si="140"/>
        <v>"lifts":"0",</v>
      </c>
      <c r="BH241" t="str">
        <f t="shared" si="141"/>
        <v>"division":"--",</v>
      </c>
      <c r="BI241" t="str">
        <f t="shared" si="142"/>
        <v>"wc":"0",</v>
      </c>
      <c r="BJ241" t="str">
        <f t="shared" si="143"/>
        <v>"bw":"",</v>
      </c>
      <c r="BK241" t="str">
        <f t="shared" si="144"/>
        <v>"pb":[0,0,0,0],</v>
      </c>
      <c r="BL241" t="str">
        <f t="shared" si="116"/>
        <v>"idx":"23",</v>
      </c>
      <c r="BM241" t="str">
        <f t="shared" si="117"/>
        <v>"sr":"0",</v>
      </c>
      <c r="BN241" t="str">
        <f t="shared" si="118"/>
        <v>"br":"0",</v>
      </c>
      <c r="BO241" t="str">
        <f t="shared" si="119"/>
        <v>"row":0,</v>
      </c>
      <c r="BP241" t="s">
        <v>55</v>
      </c>
      <c r="BQ241" t="str">
        <f t="shared" si="120"/>
        <v>"sq":{"a1":0,"a2":"","a3":"","s1":0,"s2":0,"s3":0},"bp":{"a1":0,"a2":"","a3":"","s1":0,"s2":0,"s3":0},"dl":{"a1":0,"a2":"","a3":"","s1":0,"s2":0,"s3":0},"sortOrder":0,"act":{}}</v>
      </c>
      <c r="BR241" t="str">
        <f t="shared" si="145"/>
        <v>{"group":"A","lot":0,"name":"0","team":"","year":"0","gender":"0","gear":"0","lifts":"0","division":"--","wc":"0","bw":"","pb":[0,0,0,0],"idx":"23","sr":"0","br":"0","row":0,"sq":{"a1":0,"a2":"","a3":"","s1":0,"s2":0,"s3":0},"bp":{"a1":0,"a2":"","a3":"","s1":0,"s2":0,"s3":0},"dl":{"a1":0,"a2":"","a3":"","s1":0,"s2":0,"s3":0},"sortOrder":0,"act":{}}</v>
      </c>
    </row>
    <row r="242" spans="5:70" x14ac:dyDescent="0.25">
      <c r="E242" s="128"/>
      <c r="F242" s="129"/>
      <c r="G242" s="129"/>
      <c r="H242" s="129"/>
      <c r="I242" s="129"/>
      <c r="J242" s="129"/>
      <c r="K242" s="129"/>
      <c r="L242" s="130"/>
      <c r="M242" s="131"/>
      <c r="N242" s="130"/>
      <c r="O242" s="148">
        <f t="shared" ca="1" si="146"/>
        <v>2023</v>
      </c>
      <c r="P242" s="129"/>
      <c r="Q242" s="129"/>
      <c r="R242" s="129"/>
      <c r="S242" s="129"/>
      <c r="T242" s="129"/>
      <c r="U242" s="129"/>
      <c r="V242" s="129"/>
      <c r="W242" s="129"/>
      <c r="X242" s="129"/>
      <c r="Y242" s="132"/>
      <c r="Z242" s="133"/>
      <c r="AA242" s="133"/>
      <c r="AB242" s="134"/>
      <c r="AE242" s="15" t="str">
        <f t="shared" si="112"/>
        <v>A</v>
      </c>
      <c r="AF242" s="8">
        <f t="shared" si="113"/>
        <v>0</v>
      </c>
      <c r="AG242" s="9">
        <f t="shared" si="121"/>
        <v>0</v>
      </c>
      <c r="AH242" s="9" t="str">
        <f t="shared" si="122"/>
        <v/>
      </c>
      <c r="AI242" s="8">
        <f t="shared" si="114"/>
        <v>0</v>
      </c>
      <c r="AJ242" s="45">
        <f t="shared" si="123"/>
        <v>0</v>
      </c>
      <c r="AK242" s="45">
        <f t="shared" si="124"/>
        <v>0</v>
      </c>
      <c r="AL242" s="45">
        <f t="shared" si="125"/>
        <v>0</v>
      </c>
      <c r="AM242" s="8" t="str">
        <f t="shared" si="126"/>
        <v>--</v>
      </c>
      <c r="AN242" s="10">
        <f t="shared" si="127"/>
        <v>0</v>
      </c>
      <c r="AO242" s="10">
        <f t="shared" si="128"/>
        <v>0</v>
      </c>
      <c r="AP242" s="10">
        <f t="shared" si="129"/>
        <v>0</v>
      </c>
      <c r="AQ242" s="10">
        <f t="shared" si="130"/>
        <v>0</v>
      </c>
      <c r="AR242" s="10">
        <f t="shared" si="131"/>
        <v>0</v>
      </c>
      <c r="AS242" s="8">
        <v>23</v>
      </c>
      <c r="AT242" s="9">
        <f t="shared" si="132"/>
        <v>0</v>
      </c>
      <c r="AU242" s="11">
        <f t="shared" si="133"/>
        <v>0</v>
      </c>
      <c r="AV242" s="6"/>
      <c r="AW242" s="6"/>
      <c r="AX242" s="6"/>
      <c r="AZ242" t="str">
        <f t="shared" si="134"/>
        <v>{"group":"A",</v>
      </c>
      <c r="BA242" t="str">
        <f t="shared" si="115"/>
        <v>"lot":0,</v>
      </c>
      <c r="BB242" t="str">
        <f t="shared" si="135"/>
        <v>"name":"0",</v>
      </c>
      <c r="BC242" t="str">
        <f t="shared" si="136"/>
        <v>"team":"",</v>
      </c>
      <c r="BD242" t="str">
        <f t="shared" si="137"/>
        <v>"year":"0",</v>
      </c>
      <c r="BE242" t="str">
        <f t="shared" si="138"/>
        <v>"gender":"0",</v>
      </c>
      <c r="BF242" t="str">
        <f t="shared" si="139"/>
        <v>"gear":"0",</v>
      </c>
      <c r="BG242" t="str">
        <f t="shared" si="140"/>
        <v>"lifts":"0",</v>
      </c>
      <c r="BH242" t="str">
        <f t="shared" si="141"/>
        <v>"division":"--",</v>
      </c>
      <c r="BI242" t="str">
        <f t="shared" si="142"/>
        <v>"wc":"0",</v>
      </c>
      <c r="BJ242" t="str">
        <f t="shared" si="143"/>
        <v>"bw":"",</v>
      </c>
      <c r="BK242" t="str">
        <f t="shared" si="144"/>
        <v>"pb":[0,0,0,0],</v>
      </c>
      <c r="BL242" t="str">
        <f t="shared" si="116"/>
        <v>"idx":"23",</v>
      </c>
      <c r="BM242" t="str">
        <f t="shared" si="117"/>
        <v>"sr":"0",</v>
      </c>
      <c r="BN242" t="str">
        <f t="shared" si="118"/>
        <v>"br":"0",</v>
      </c>
      <c r="BO242" t="str">
        <f t="shared" si="119"/>
        <v>"row":0,</v>
      </c>
      <c r="BP242" t="s">
        <v>55</v>
      </c>
      <c r="BQ242" t="str">
        <f t="shared" si="120"/>
        <v>"sq":{"a1":0,"a2":"","a3":"","s1":0,"s2":0,"s3":0},"bp":{"a1":0,"a2":"","a3":"","s1":0,"s2":0,"s3":0},"dl":{"a1":0,"a2":"","a3":"","s1":0,"s2":0,"s3":0},"sortOrder":0,"act":{}}</v>
      </c>
      <c r="BR242" t="str">
        <f t="shared" si="145"/>
        <v>{"group":"A","lot":0,"name":"0","team":"","year":"0","gender":"0","gear":"0","lifts":"0","division":"--","wc":"0","bw":"","pb":[0,0,0,0],"idx":"23","sr":"0","br":"0","row":0,"sq":{"a1":0,"a2":"","a3":"","s1":0,"s2":0,"s3":0},"bp":{"a1":0,"a2":"","a3":"","s1":0,"s2":0,"s3":0},"dl":{"a1":0,"a2":"","a3":"","s1":0,"s2":0,"s3":0},"sortOrder":0,"act":{}}</v>
      </c>
    </row>
    <row r="243" spans="5:70" x14ac:dyDescent="0.25">
      <c r="E243" s="128"/>
      <c r="F243" s="129"/>
      <c r="G243" s="129"/>
      <c r="H243" s="129"/>
      <c r="I243" s="129"/>
      <c r="J243" s="129"/>
      <c r="K243" s="129"/>
      <c r="L243" s="130"/>
      <c r="M243" s="131"/>
      <c r="N243" s="130"/>
      <c r="O243" s="148">
        <f t="shared" ca="1" si="146"/>
        <v>2023</v>
      </c>
      <c r="P243" s="129"/>
      <c r="Q243" s="129"/>
      <c r="R243" s="129"/>
      <c r="S243" s="129"/>
      <c r="T243" s="129"/>
      <c r="U243" s="129"/>
      <c r="V243" s="129"/>
      <c r="W243" s="129"/>
      <c r="X243" s="129"/>
      <c r="Y243" s="132"/>
      <c r="Z243" s="133"/>
      <c r="AA243" s="133"/>
      <c r="AB243" s="134"/>
      <c r="AE243" s="15" t="str">
        <f t="shared" si="112"/>
        <v>A</v>
      </c>
      <c r="AF243" s="8">
        <f t="shared" si="113"/>
        <v>0</v>
      </c>
      <c r="AG243" s="9">
        <f t="shared" si="121"/>
        <v>0</v>
      </c>
      <c r="AH243" s="9" t="str">
        <f t="shared" si="122"/>
        <v/>
      </c>
      <c r="AI243" s="8">
        <f t="shared" si="114"/>
        <v>0</v>
      </c>
      <c r="AJ243" s="45">
        <f t="shared" si="123"/>
        <v>0</v>
      </c>
      <c r="AK243" s="45">
        <f t="shared" si="124"/>
        <v>0</v>
      </c>
      <c r="AL243" s="45">
        <f t="shared" si="125"/>
        <v>0</v>
      </c>
      <c r="AM243" s="8" t="str">
        <f t="shared" si="126"/>
        <v>--</v>
      </c>
      <c r="AN243" s="10">
        <f t="shared" si="127"/>
        <v>0</v>
      </c>
      <c r="AO243" s="10">
        <f t="shared" si="128"/>
        <v>0</v>
      </c>
      <c r="AP243" s="10">
        <f t="shared" si="129"/>
        <v>0</v>
      </c>
      <c r="AQ243" s="10">
        <f t="shared" si="130"/>
        <v>0</v>
      </c>
      <c r="AR243" s="10">
        <f t="shared" si="131"/>
        <v>0</v>
      </c>
      <c r="AS243" s="8">
        <v>23</v>
      </c>
      <c r="AT243" s="9">
        <f t="shared" si="132"/>
        <v>0</v>
      </c>
      <c r="AU243" s="11">
        <f t="shared" si="133"/>
        <v>0</v>
      </c>
      <c r="AV243" s="6"/>
      <c r="AW243" s="6"/>
      <c r="AX243" s="6"/>
      <c r="AZ243" t="str">
        <f t="shared" si="134"/>
        <v>{"group":"A",</v>
      </c>
      <c r="BA243" t="str">
        <f t="shared" si="115"/>
        <v>"lot":0,</v>
      </c>
      <c r="BB243" t="str">
        <f t="shared" si="135"/>
        <v>"name":"0",</v>
      </c>
      <c r="BC243" t="str">
        <f t="shared" si="136"/>
        <v>"team":"",</v>
      </c>
      <c r="BD243" t="str">
        <f t="shared" si="137"/>
        <v>"year":"0",</v>
      </c>
      <c r="BE243" t="str">
        <f t="shared" si="138"/>
        <v>"gender":"0",</v>
      </c>
      <c r="BF243" t="str">
        <f t="shared" si="139"/>
        <v>"gear":"0",</v>
      </c>
      <c r="BG243" t="str">
        <f t="shared" si="140"/>
        <v>"lifts":"0",</v>
      </c>
      <c r="BH243" t="str">
        <f t="shared" si="141"/>
        <v>"division":"--",</v>
      </c>
      <c r="BI243" t="str">
        <f t="shared" si="142"/>
        <v>"wc":"0",</v>
      </c>
      <c r="BJ243" t="str">
        <f t="shared" si="143"/>
        <v>"bw":"",</v>
      </c>
      <c r="BK243" t="str">
        <f t="shared" si="144"/>
        <v>"pb":[0,0,0,0],</v>
      </c>
      <c r="BL243" t="str">
        <f t="shared" si="116"/>
        <v>"idx":"23",</v>
      </c>
      <c r="BM243" t="str">
        <f t="shared" si="117"/>
        <v>"sr":"0",</v>
      </c>
      <c r="BN243" t="str">
        <f t="shared" si="118"/>
        <v>"br":"0",</v>
      </c>
      <c r="BO243" t="str">
        <f t="shared" si="119"/>
        <v>"row":0,</v>
      </c>
      <c r="BP243" t="s">
        <v>55</v>
      </c>
      <c r="BQ243" t="str">
        <f t="shared" si="120"/>
        <v>"sq":{"a1":0,"a2":"","a3":"","s1":0,"s2":0,"s3":0},"bp":{"a1":0,"a2":"","a3":"","s1":0,"s2":0,"s3":0},"dl":{"a1":0,"a2":"","a3":"","s1":0,"s2":0,"s3":0},"sortOrder":0,"act":{}}</v>
      </c>
      <c r="BR243" t="str">
        <f t="shared" si="145"/>
        <v>{"group":"A","lot":0,"name":"0","team":"","year":"0","gender":"0","gear":"0","lifts":"0","division":"--","wc":"0","bw":"","pb":[0,0,0,0],"idx":"23","sr":"0","br":"0","row":0,"sq":{"a1":0,"a2":"","a3":"","s1":0,"s2":0,"s3":0},"bp":{"a1":0,"a2":"","a3":"","s1":0,"s2":0,"s3":0},"dl":{"a1":0,"a2":"","a3":"","s1":0,"s2":0,"s3":0},"sortOrder":0,"act":{}}</v>
      </c>
    </row>
    <row r="244" spans="5:70" x14ac:dyDescent="0.25">
      <c r="E244" s="128"/>
      <c r="F244" s="129"/>
      <c r="G244" s="129"/>
      <c r="H244" s="129"/>
      <c r="I244" s="129"/>
      <c r="J244" s="129"/>
      <c r="K244" s="129"/>
      <c r="L244" s="130"/>
      <c r="M244" s="131"/>
      <c r="N244" s="130"/>
      <c r="O244" s="148">
        <f t="shared" ca="1" si="146"/>
        <v>2023</v>
      </c>
      <c r="P244" s="129"/>
      <c r="Q244" s="129"/>
      <c r="R244" s="129"/>
      <c r="S244" s="129"/>
      <c r="T244" s="129"/>
      <c r="U244" s="129"/>
      <c r="V244" s="129"/>
      <c r="W244" s="129"/>
      <c r="X244" s="129"/>
      <c r="Y244" s="132"/>
      <c r="Z244" s="133"/>
      <c r="AA244" s="133"/>
      <c r="AB244" s="134"/>
      <c r="AE244" s="15" t="str">
        <f t="shared" si="112"/>
        <v>A</v>
      </c>
      <c r="AF244" s="8">
        <f t="shared" si="113"/>
        <v>0</v>
      </c>
      <c r="AG244" s="9">
        <f t="shared" si="121"/>
        <v>0</v>
      </c>
      <c r="AH244" s="9" t="str">
        <f t="shared" si="122"/>
        <v/>
      </c>
      <c r="AI244" s="8">
        <f t="shared" si="114"/>
        <v>0</v>
      </c>
      <c r="AJ244" s="45">
        <f t="shared" si="123"/>
        <v>0</v>
      </c>
      <c r="AK244" s="45">
        <f t="shared" si="124"/>
        <v>0</v>
      </c>
      <c r="AL244" s="45">
        <f t="shared" si="125"/>
        <v>0</v>
      </c>
      <c r="AM244" s="8" t="str">
        <f t="shared" si="126"/>
        <v>--</v>
      </c>
      <c r="AN244" s="10">
        <f t="shared" si="127"/>
        <v>0</v>
      </c>
      <c r="AO244" s="10">
        <f t="shared" si="128"/>
        <v>0</v>
      </c>
      <c r="AP244" s="10">
        <f t="shared" si="129"/>
        <v>0</v>
      </c>
      <c r="AQ244" s="10">
        <f t="shared" si="130"/>
        <v>0</v>
      </c>
      <c r="AR244" s="10">
        <f t="shared" si="131"/>
        <v>0</v>
      </c>
      <c r="AS244" s="8">
        <v>23</v>
      </c>
      <c r="AT244" s="9">
        <f t="shared" si="132"/>
        <v>0</v>
      </c>
      <c r="AU244" s="11">
        <f t="shared" si="133"/>
        <v>0</v>
      </c>
      <c r="AV244" s="6"/>
      <c r="AW244" s="6"/>
      <c r="AX244" s="6"/>
      <c r="AZ244" t="str">
        <f t="shared" si="134"/>
        <v>{"group":"A",</v>
      </c>
      <c r="BA244" t="str">
        <f t="shared" si="115"/>
        <v>"lot":0,</v>
      </c>
      <c r="BB244" t="str">
        <f t="shared" si="135"/>
        <v>"name":"0",</v>
      </c>
      <c r="BC244" t="str">
        <f t="shared" si="136"/>
        <v>"team":"",</v>
      </c>
      <c r="BD244" t="str">
        <f t="shared" si="137"/>
        <v>"year":"0",</v>
      </c>
      <c r="BE244" t="str">
        <f t="shared" si="138"/>
        <v>"gender":"0",</v>
      </c>
      <c r="BF244" t="str">
        <f t="shared" si="139"/>
        <v>"gear":"0",</v>
      </c>
      <c r="BG244" t="str">
        <f t="shared" si="140"/>
        <v>"lifts":"0",</v>
      </c>
      <c r="BH244" t="str">
        <f t="shared" si="141"/>
        <v>"division":"--",</v>
      </c>
      <c r="BI244" t="str">
        <f t="shared" si="142"/>
        <v>"wc":"0",</v>
      </c>
      <c r="BJ244" t="str">
        <f t="shared" si="143"/>
        <v>"bw":"",</v>
      </c>
      <c r="BK244" t="str">
        <f t="shared" si="144"/>
        <v>"pb":[0,0,0,0],</v>
      </c>
      <c r="BL244" t="str">
        <f t="shared" si="116"/>
        <v>"idx":"23",</v>
      </c>
      <c r="BM244" t="str">
        <f t="shared" si="117"/>
        <v>"sr":"0",</v>
      </c>
      <c r="BN244" t="str">
        <f t="shared" si="118"/>
        <v>"br":"0",</v>
      </c>
      <c r="BO244" t="str">
        <f t="shared" si="119"/>
        <v>"row":0,</v>
      </c>
      <c r="BP244" t="s">
        <v>55</v>
      </c>
      <c r="BQ244" t="str">
        <f t="shared" si="120"/>
        <v>"sq":{"a1":0,"a2":"","a3":"","s1":0,"s2":0,"s3":0},"bp":{"a1":0,"a2":"","a3":"","s1":0,"s2":0,"s3":0},"dl":{"a1":0,"a2":"","a3":"","s1":0,"s2":0,"s3":0},"sortOrder":0,"act":{}}</v>
      </c>
      <c r="BR244" t="str">
        <f t="shared" si="145"/>
        <v>{"group":"A","lot":0,"name":"0","team":"","year":"0","gender":"0","gear":"0","lifts":"0","division":"--","wc":"0","bw":"","pb":[0,0,0,0],"idx":"23","sr":"0","br":"0","row":0,"sq":{"a1":0,"a2":"","a3":"","s1":0,"s2":0,"s3":0},"bp":{"a1":0,"a2":"","a3":"","s1":0,"s2":0,"s3":0},"dl":{"a1":0,"a2":"","a3":"","s1":0,"s2":0,"s3":0},"sortOrder":0,"act":{}}</v>
      </c>
    </row>
    <row r="245" spans="5:70" x14ac:dyDescent="0.25">
      <c r="E245" s="128"/>
      <c r="F245" s="129"/>
      <c r="G245" s="129"/>
      <c r="H245" s="129"/>
      <c r="I245" s="129"/>
      <c r="J245" s="129"/>
      <c r="K245" s="129"/>
      <c r="L245" s="130"/>
      <c r="M245" s="131"/>
      <c r="N245" s="130"/>
      <c r="O245" s="148">
        <f t="shared" ca="1" si="146"/>
        <v>2023</v>
      </c>
      <c r="P245" s="129"/>
      <c r="Q245" s="129"/>
      <c r="R245" s="129"/>
      <c r="S245" s="129"/>
      <c r="T245" s="129"/>
      <c r="U245" s="129"/>
      <c r="V245" s="129"/>
      <c r="W245" s="129"/>
      <c r="X245" s="129"/>
      <c r="Y245" s="132"/>
      <c r="Z245" s="133"/>
      <c r="AA245" s="133"/>
      <c r="AB245" s="134"/>
      <c r="AE245" s="15" t="str">
        <f t="shared" si="112"/>
        <v>A</v>
      </c>
      <c r="AF245" s="8">
        <f t="shared" si="113"/>
        <v>0</v>
      </c>
      <c r="AG245" s="9">
        <f t="shared" si="121"/>
        <v>0</v>
      </c>
      <c r="AH245" s="9" t="str">
        <f t="shared" si="122"/>
        <v/>
      </c>
      <c r="AI245" s="8">
        <f t="shared" si="114"/>
        <v>0</v>
      </c>
      <c r="AJ245" s="45">
        <f t="shared" si="123"/>
        <v>0</v>
      </c>
      <c r="AK245" s="45">
        <f t="shared" si="124"/>
        <v>0</v>
      </c>
      <c r="AL245" s="45">
        <f t="shared" si="125"/>
        <v>0</v>
      </c>
      <c r="AM245" s="8" t="str">
        <f t="shared" si="126"/>
        <v>--</v>
      </c>
      <c r="AN245" s="10">
        <f t="shared" si="127"/>
        <v>0</v>
      </c>
      <c r="AO245" s="10">
        <f t="shared" si="128"/>
        <v>0</v>
      </c>
      <c r="AP245" s="10">
        <f t="shared" si="129"/>
        <v>0</v>
      </c>
      <c r="AQ245" s="10">
        <f t="shared" si="130"/>
        <v>0</v>
      </c>
      <c r="AR245" s="10">
        <f t="shared" si="131"/>
        <v>0</v>
      </c>
      <c r="AS245" s="8">
        <v>23</v>
      </c>
      <c r="AT245" s="9">
        <f t="shared" si="132"/>
        <v>0</v>
      </c>
      <c r="AU245" s="11">
        <f t="shared" si="133"/>
        <v>0</v>
      </c>
      <c r="AV245" s="6"/>
      <c r="AW245" s="6"/>
      <c r="AX245" s="6"/>
      <c r="AZ245" t="str">
        <f t="shared" si="134"/>
        <v>{"group":"A",</v>
      </c>
      <c r="BA245" t="str">
        <f t="shared" si="115"/>
        <v>"lot":0,</v>
      </c>
      <c r="BB245" t="str">
        <f t="shared" si="135"/>
        <v>"name":"0",</v>
      </c>
      <c r="BC245" t="str">
        <f t="shared" si="136"/>
        <v>"team":"",</v>
      </c>
      <c r="BD245" t="str">
        <f t="shared" si="137"/>
        <v>"year":"0",</v>
      </c>
      <c r="BE245" t="str">
        <f t="shared" si="138"/>
        <v>"gender":"0",</v>
      </c>
      <c r="BF245" t="str">
        <f t="shared" si="139"/>
        <v>"gear":"0",</v>
      </c>
      <c r="BG245" t="str">
        <f t="shared" si="140"/>
        <v>"lifts":"0",</v>
      </c>
      <c r="BH245" t="str">
        <f t="shared" si="141"/>
        <v>"division":"--",</v>
      </c>
      <c r="BI245" t="str">
        <f t="shared" si="142"/>
        <v>"wc":"0",</v>
      </c>
      <c r="BJ245" t="str">
        <f t="shared" si="143"/>
        <v>"bw":"",</v>
      </c>
      <c r="BK245" t="str">
        <f t="shared" si="144"/>
        <v>"pb":[0,0,0,0],</v>
      </c>
      <c r="BL245" t="str">
        <f t="shared" si="116"/>
        <v>"idx":"23",</v>
      </c>
      <c r="BM245" t="str">
        <f t="shared" si="117"/>
        <v>"sr":"0",</v>
      </c>
      <c r="BN245" t="str">
        <f t="shared" si="118"/>
        <v>"br":"0",</v>
      </c>
      <c r="BO245" t="str">
        <f t="shared" si="119"/>
        <v>"row":0,</v>
      </c>
      <c r="BP245" t="s">
        <v>55</v>
      </c>
      <c r="BQ245" t="str">
        <f t="shared" si="120"/>
        <v>"sq":{"a1":0,"a2":"","a3":"","s1":0,"s2":0,"s3":0},"bp":{"a1":0,"a2":"","a3":"","s1":0,"s2":0,"s3":0},"dl":{"a1":0,"a2":"","a3":"","s1":0,"s2":0,"s3":0},"sortOrder":0,"act":{}}</v>
      </c>
      <c r="BR245" t="str">
        <f t="shared" si="145"/>
        <v>{"group":"A","lot":0,"name":"0","team":"","year":"0","gender":"0","gear":"0","lifts":"0","division":"--","wc":"0","bw":"","pb":[0,0,0,0],"idx":"23","sr":"0","br":"0","row":0,"sq":{"a1":0,"a2":"","a3":"","s1":0,"s2":0,"s3":0},"bp":{"a1":0,"a2":"","a3":"","s1":0,"s2":0,"s3":0},"dl":{"a1":0,"a2":"","a3":"","s1":0,"s2":0,"s3":0},"sortOrder":0,"act":{}}</v>
      </c>
    </row>
    <row r="246" spans="5:70" x14ac:dyDescent="0.25">
      <c r="E246" s="128"/>
      <c r="F246" s="129"/>
      <c r="G246" s="129"/>
      <c r="H246" s="129"/>
      <c r="I246" s="129"/>
      <c r="J246" s="129"/>
      <c r="K246" s="129"/>
      <c r="L246" s="130"/>
      <c r="M246" s="131"/>
      <c r="N246" s="130"/>
      <c r="O246" s="148">
        <f t="shared" ca="1" si="146"/>
        <v>2023</v>
      </c>
      <c r="P246" s="129"/>
      <c r="Q246" s="129"/>
      <c r="R246" s="129"/>
      <c r="S246" s="129"/>
      <c r="T246" s="129"/>
      <c r="U246" s="129"/>
      <c r="V246" s="129"/>
      <c r="W246" s="129"/>
      <c r="X246" s="129"/>
      <c r="Y246" s="132"/>
      <c r="Z246" s="133"/>
      <c r="AA246" s="133"/>
      <c r="AB246" s="134"/>
      <c r="AE246" s="15" t="str">
        <f t="shared" ref="AE246:AE299" si="147">IF(Q246="","A",PROPER(Q246))</f>
        <v>A</v>
      </c>
      <c r="AF246" s="8">
        <f t="shared" si="113"/>
        <v>0</v>
      </c>
      <c r="AG246" s="9">
        <f t="shared" si="121"/>
        <v>0</v>
      </c>
      <c r="AH246" s="9" t="str">
        <f t="shared" si="122"/>
        <v/>
      </c>
      <c r="AI246" s="8">
        <f t="shared" si="114"/>
        <v>0</v>
      </c>
      <c r="AJ246" s="45">
        <f t="shared" si="123"/>
        <v>0</v>
      </c>
      <c r="AK246" s="45">
        <f t="shared" si="124"/>
        <v>0</v>
      </c>
      <c r="AL246" s="45">
        <f t="shared" si="125"/>
        <v>0</v>
      </c>
      <c r="AM246" s="8" t="str">
        <f t="shared" si="126"/>
        <v>--</v>
      </c>
      <c r="AN246" s="10">
        <f t="shared" si="127"/>
        <v>0</v>
      </c>
      <c r="AO246" s="10">
        <f t="shared" si="128"/>
        <v>0</v>
      </c>
      <c r="AP246" s="10">
        <f t="shared" si="129"/>
        <v>0</v>
      </c>
      <c r="AQ246" s="10">
        <f t="shared" si="130"/>
        <v>0</v>
      </c>
      <c r="AR246" s="10">
        <f t="shared" si="131"/>
        <v>0</v>
      </c>
      <c r="AS246" s="8">
        <v>23</v>
      </c>
      <c r="AT246" s="9">
        <f t="shared" si="132"/>
        <v>0</v>
      </c>
      <c r="AU246" s="11">
        <f t="shared" si="133"/>
        <v>0</v>
      </c>
      <c r="AV246" s="6"/>
      <c r="AW246" s="6"/>
      <c r="AX246" s="6"/>
      <c r="AZ246" t="str">
        <f t="shared" si="134"/>
        <v>{"group":"A",</v>
      </c>
      <c r="BA246" t="str">
        <f t="shared" si="115"/>
        <v>"lot":0,</v>
      </c>
      <c r="BB246" t="str">
        <f t="shared" si="135"/>
        <v>"name":"0",</v>
      </c>
      <c r="BC246" t="str">
        <f t="shared" si="136"/>
        <v>"team":"",</v>
      </c>
      <c r="BD246" t="str">
        <f t="shared" si="137"/>
        <v>"year":"0",</v>
      </c>
      <c r="BE246" t="str">
        <f t="shared" si="138"/>
        <v>"gender":"0",</v>
      </c>
      <c r="BF246" t="str">
        <f t="shared" si="139"/>
        <v>"gear":"0",</v>
      </c>
      <c r="BG246" t="str">
        <f t="shared" si="140"/>
        <v>"lifts":"0",</v>
      </c>
      <c r="BH246" t="str">
        <f t="shared" si="141"/>
        <v>"division":"--",</v>
      </c>
      <c r="BI246" t="str">
        <f t="shared" si="142"/>
        <v>"wc":"0",</v>
      </c>
      <c r="BJ246" t="str">
        <f t="shared" si="143"/>
        <v>"bw":"",</v>
      </c>
      <c r="BK246" t="str">
        <f t="shared" si="144"/>
        <v>"pb":[0,0,0,0],</v>
      </c>
      <c r="BL246" t="str">
        <f t="shared" si="116"/>
        <v>"idx":"23",</v>
      </c>
      <c r="BM246" t="str">
        <f t="shared" si="117"/>
        <v>"sr":"0",</v>
      </c>
      <c r="BN246" t="str">
        <f t="shared" si="118"/>
        <v>"br":"0",</v>
      </c>
      <c r="BO246" t="str">
        <f t="shared" si="119"/>
        <v>"row":0,</v>
      </c>
      <c r="BP246" t="s">
        <v>55</v>
      </c>
      <c r="BQ246" t="str">
        <f t="shared" si="120"/>
        <v>"sq":{"a1":0,"a2":"","a3":"","s1":0,"s2":0,"s3":0},"bp":{"a1":0,"a2":"","a3":"","s1":0,"s2":0,"s3":0},"dl":{"a1":0,"a2":"","a3":"","s1":0,"s2":0,"s3":0},"sortOrder":0,"act":{}}</v>
      </c>
      <c r="BR246" t="str">
        <f t="shared" si="145"/>
        <v>{"group":"A","lot":0,"name":"0","team":"","year":"0","gender":"0","gear":"0","lifts":"0","division":"--","wc":"0","bw":"","pb":[0,0,0,0],"idx":"23","sr":"0","br":"0","row":0,"sq":{"a1":0,"a2":"","a3":"","s1":0,"s2":0,"s3":0},"bp":{"a1":0,"a2":"","a3":"","s1":0,"s2":0,"s3":0},"dl":{"a1":0,"a2":"","a3":"","s1":0,"s2":0,"s3":0},"sortOrder":0,"act":{}}</v>
      </c>
    </row>
    <row r="247" spans="5:70" x14ac:dyDescent="0.25">
      <c r="E247" s="128"/>
      <c r="F247" s="129"/>
      <c r="G247" s="129"/>
      <c r="H247" s="129"/>
      <c r="I247" s="129"/>
      <c r="J247" s="129"/>
      <c r="K247" s="129"/>
      <c r="L247" s="130"/>
      <c r="M247" s="131"/>
      <c r="N247" s="130"/>
      <c r="O247" s="148">
        <f t="shared" ca="1" si="146"/>
        <v>2023</v>
      </c>
      <c r="P247" s="129"/>
      <c r="Q247" s="129"/>
      <c r="R247" s="129"/>
      <c r="S247" s="129"/>
      <c r="T247" s="129"/>
      <c r="U247" s="129"/>
      <c r="V247" s="129"/>
      <c r="W247" s="129"/>
      <c r="X247" s="129"/>
      <c r="Y247" s="132"/>
      <c r="Z247" s="133"/>
      <c r="AA247" s="133"/>
      <c r="AB247" s="134"/>
      <c r="AE247" s="15" t="str">
        <f t="shared" si="147"/>
        <v>A</v>
      </c>
      <c r="AF247" s="8">
        <f t="shared" si="113"/>
        <v>0</v>
      </c>
      <c r="AG247" s="9">
        <f t="shared" si="121"/>
        <v>0</v>
      </c>
      <c r="AH247" s="9" t="str">
        <f t="shared" si="122"/>
        <v/>
      </c>
      <c r="AI247" s="8">
        <f t="shared" si="114"/>
        <v>0</v>
      </c>
      <c r="AJ247" s="45">
        <f t="shared" si="123"/>
        <v>0</v>
      </c>
      <c r="AK247" s="45">
        <f t="shared" si="124"/>
        <v>0</v>
      </c>
      <c r="AL247" s="45">
        <f t="shared" si="125"/>
        <v>0</v>
      </c>
      <c r="AM247" s="8" t="str">
        <f t="shared" si="126"/>
        <v>--</v>
      </c>
      <c r="AN247" s="10">
        <f t="shared" si="127"/>
        <v>0</v>
      </c>
      <c r="AO247" s="10">
        <f t="shared" si="128"/>
        <v>0</v>
      </c>
      <c r="AP247" s="10">
        <f t="shared" si="129"/>
        <v>0</v>
      </c>
      <c r="AQ247" s="10">
        <f t="shared" si="130"/>
        <v>0</v>
      </c>
      <c r="AR247" s="10">
        <f t="shared" si="131"/>
        <v>0</v>
      </c>
      <c r="AS247" s="8">
        <v>23</v>
      </c>
      <c r="AT247" s="9">
        <f t="shared" si="132"/>
        <v>0</v>
      </c>
      <c r="AU247" s="11">
        <f t="shared" si="133"/>
        <v>0</v>
      </c>
      <c r="AV247" s="6"/>
      <c r="AW247" s="6"/>
      <c r="AX247" s="6"/>
      <c r="AZ247" t="str">
        <f t="shared" si="134"/>
        <v>{"group":"A",</v>
      </c>
      <c r="BA247" t="str">
        <f t="shared" si="115"/>
        <v>"lot":0,</v>
      </c>
      <c r="BB247" t="str">
        <f t="shared" si="135"/>
        <v>"name":"0",</v>
      </c>
      <c r="BC247" t="str">
        <f t="shared" si="136"/>
        <v>"team":"",</v>
      </c>
      <c r="BD247" t="str">
        <f t="shared" si="137"/>
        <v>"year":"0",</v>
      </c>
      <c r="BE247" t="str">
        <f t="shared" si="138"/>
        <v>"gender":"0",</v>
      </c>
      <c r="BF247" t="str">
        <f t="shared" si="139"/>
        <v>"gear":"0",</v>
      </c>
      <c r="BG247" t="str">
        <f t="shared" si="140"/>
        <v>"lifts":"0",</v>
      </c>
      <c r="BH247" t="str">
        <f t="shared" si="141"/>
        <v>"division":"--",</v>
      </c>
      <c r="BI247" t="str">
        <f t="shared" si="142"/>
        <v>"wc":"0",</v>
      </c>
      <c r="BJ247" t="str">
        <f t="shared" si="143"/>
        <v>"bw":"",</v>
      </c>
      <c r="BK247" t="str">
        <f t="shared" si="144"/>
        <v>"pb":[0,0,0,0],</v>
      </c>
      <c r="BL247" t="str">
        <f t="shared" si="116"/>
        <v>"idx":"23",</v>
      </c>
      <c r="BM247" t="str">
        <f t="shared" si="117"/>
        <v>"sr":"0",</v>
      </c>
      <c r="BN247" t="str">
        <f t="shared" si="118"/>
        <v>"br":"0",</v>
      </c>
      <c r="BO247" t="str">
        <f t="shared" si="119"/>
        <v>"row":0,</v>
      </c>
      <c r="BP247" t="s">
        <v>55</v>
      </c>
      <c r="BQ247" t="str">
        <f t="shared" si="120"/>
        <v>"sq":{"a1":0,"a2":"","a3":"","s1":0,"s2":0,"s3":0},"bp":{"a1":0,"a2":"","a3":"","s1":0,"s2":0,"s3":0},"dl":{"a1":0,"a2":"","a3":"","s1":0,"s2":0,"s3":0},"sortOrder":0,"act":{}}</v>
      </c>
      <c r="BR247" t="str">
        <f t="shared" si="145"/>
        <v>{"group":"A","lot":0,"name":"0","team":"","year":"0","gender":"0","gear":"0","lifts":"0","division":"--","wc":"0","bw":"","pb":[0,0,0,0],"idx":"23","sr":"0","br":"0","row":0,"sq":{"a1":0,"a2":"","a3":"","s1":0,"s2":0,"s3":0},"bp":{"a1":0,"a2":"","a3":"","s1":0,"s2":0,"s3":0},"dl":{"a1":0,"a2":"","a3":"","s1":0,"s2":0,"s3":0},"sortOrder":0,"act":{}}</v>
      </c>
    </row>
    <row r="248" spans="5:70" x14ac:dyDescent="0.25">
      <c r="E248" s="128"/>
      <c r="F248" s="129"/>
      <c r="G248" s="129"/>
      <c r="H248" s="129"/>
      <c r="I248" s="129"/>
      <c r="J248" s="129"/>
      <c r="K248" s="129"/>
      <c r="L248" s="130"/>
      <c r="M248" s="131"/>
      <c r="N248" s="130"/>
      <c r="O248" s="148">
        <f t="shared" ca="1" si="146"/>
        <v>2023</v>
      </c>
      <c r="P248" s="129"/>
      <c r="Q248" s="129"/>
      <c r="R248" s="129"/>
      <c r="S248" s="129"/>
      <c r="T248" s="129"/>
      <c r="U248" s="129"/>
      <c r="V248" s="129"/>
      <c r="W248" s="129"/>
      <c r="X248" s="129"/>
      <c r="Y248" s="132"/>
      <c r="Z248" s="133"/>
      <c r="AA248" s="133"/>
      <c r="AB248" s="134"/>
      <c r="AE248" s="15" t="str">
        <f t="shared" si="147"/>
        <v>A</v>
      </c>
      <c r="AF248" s="8">
        <f t="shared" si="113"/>
        <v>0</v>
      </c>
      <c r="AG248" s="9">
        <f t="shared" si="121"/>
        <v>0</v>
      </c>
      <c r="AH248" s="9" t="str">
        <f t="shared" si="122"/>
        <v/>
      </c>
      <c r="AI248" s="8">
        <f t="shared" si="114"/>
        <v>0</v>
      </c>
      <c r="AJ248" s="45">
        <f t="shared" si="123"/>
        <v>0</v>
      </c>
      <c r="AK248" s="45">
        <f t="shared" si="124"/>
        <v>0</v>
      </c>
      <c r="AL248" s="45">
        <f t="shared" si="125"/>
        <v>0</v>
      </c>
      <c r="AM248" s="8" t="str">
        <f t="shared" si="126"/>
        <v>--</v>
      </c>
      <c r="AN248" s="10">
        <f t="shared" si="127"/>
        <v>0</v>
      </c>
      <c r="AO248" s="10">
        <f t="shared" si="128"/>
        <v>0</v>
      </c>
      <c r="AP248" s="10">
        <f t="shared" si="129"/>
        <v>0</v>
      </c>
      <c r="AQ248" s="10">
        <f t="shared" si="130"/>
        <v>0</v>
      </c>
      <c r="AR248" s="10">
        <f t="shared" si="131"/>
        <v>0</v>
      </c>
      <c r="AS248" s="8">
        <v>23</v>
      </c>
      <c r="AT248" s="9">
        <f t="shared" si="132"/>
        <v>0</v>
      </c>
      <c r="AU248" s="11">
        <f t="shared" si="133"/>
        <v>0</v>
      </c>
      <c r="AV248" s="6"/>
      <c r="AW248" s="6"/>
      <c r="AX248" s="6"/>
      <c r="AZ248" t="str">
        <f t="shared" si="134"/>
        <v>{"group":"A",</v>
      </c>
      <c r="BA248" t="str">
        <f t="shared" si="115"/>
        <v>"lot":0,</v>
      </c>
      <c r="BB248" t="str">
        <f t="shared" si="135"/>
        <v>"name":"0",</v>
      </c>
      <c r="BC248" t="str">
        <f t="shared" si="136"/>
        <v>"team":"",</v>
      </c>
      <c r="BD248" t="str">
        <f t="shared" si="137"/>
        <v>"year":"0",</v>
      </c>
      <c r="BE248" t="str">
        <f t="shared" si="138"/>
        <v>"gender":"0",</v>
      </c>
      <c r="BF248" t="str">
        <f t="shared" si="139"/>
        <v>"gear":"0",</v>
      </c>
      <c r="BG248" t="str">
        <f t="shared" si="140"/>
        <v>"lifts":"0",</v>
      </c>
      <c r="BH248" t="str">
        <f t="shared" si="141"/>
        <v>"division":"--",</v>
      </c>
      <c r="BI248" t="str">
        <f t="shared" si="142"/>
        <v>"wc":"0",</v>
      </c>
      <c r="BJ248" t="str">
        <f t="shared" si="143"/>
        <v>"bw":"",</v>
      </c>
      <c r="BK248" t="str">
        <f t="shared" si="144"/>
        <v>"pb":[0,0,0,0],</v>
      </c>
      <c r="BL248" t="str">
        <f t="shared" si="116"/>
        <v>"idx":"23",</v>
      </c>
      <c r="BM248" t="str">
        <f t="shared" si="117"/>
        <v>"sr":"0",</v>
      </c>
      <c r="BN248" t="str">
        <f t="shared" si="118"/>
        <v>"br":"0",</v>
      </c>
      <c r="BO248" t="str">
        <f t="shared" si="119"/>
        <v>"row":0,</v>
      </c>
      <c r="BP248" t="s">
        <v>55</v>
      </c>
      <c r="BQ248" t="str">
        <f t="shared" si="120"/>
        <v>"sq":{"a1":0,"a2":"","a3":"","s1":0,"s2":0,"s3":0},"bp":{"a1":0,"a2":"","a3":"","s1":0,"s2":0,"s3":0},"dl":{"a1":0,"a2":"","a3":"","s1":0,"s2":0,"s3":0},"sortOrder":0,"act":{}}</v>
      </c>
      <c r="BR248" t="str">
        <f t="shared" si="145"/>
        <v>{"group":"A","lot":0,"name":"0","team":"","year":"0","gender":"0","gear":"0","lifts":"0","division":"--","wc":"0","bw":"","pb":[0,0,0,0],"idx":"23","sr":"0","br":"0","row":0,"sq":{"a1":0,"a2":"","a3":"","s1":0,"s2":0,"s3":0},"bp":{"a1":0,"a2":"","a3":"","s1":0,"s2":0,"s3":0},"dl":{"a1":0,"a2":"","a3":"","s1":0,"s2":0,"s3":0},"sortOrder":0,"act":{}}</v>
      </c>
    </row>
    <row r="249" spans="5:70" x14ac:dyDescent="0.25">
      <c r="E249" s="128"/>
      <c r="F249" s="129"/>
      <c r="G249" s="129"/>
      <c r="H249" s="129"/>
      <c r="I249" s="129"/>
      <c r="J249" s="129"/>
      <c r="K249" s="129"/>
      <c r="L249" s="130"/>
      <c r="M249" s="131"/>
      <c r="N249" s="130"/>
      <c r="O249" s="148">
        <f t="shared" ca="1" si="146"/>
        <v>2023</v>
      </c>
      <c r="P249" s="129"/>
      <c r="Q249" s="129"/>
      <c r="R249" s="129"/>
      <c r="S249" s="129"/>
      <c r="T249" s="129"/>
      <c r="U249" s="129"/>
      <c r="V249" s="129"/>
      <c r="W249" s="129"/>
      <c r="X249" s="129"/>
      <c r="Y249" s="132"/>
      <c r="Z249" s="133"/>
      <c r="AA249" s="133"/>
      <c r="AB249" s="134"/>
      <c r="AE249" s="15" t="str">
        <f t="shared" si="147"/>
        <v>A</v>
      </c>
      <c r="AF249" s="8">
        <f t="shared" si="113"/>
        <v>0</v>
      </c>
      <c r="AG249" s="9">
        <f t="shared" si="121"/>
        <v>0</v>
      </c>
      <c r="AH249" s="9" t="str">
        <f t="shared" si="122"/>
        <v/>
      </c>
      <c r="AI249" s="8">
        <f t="shared" si="114"/>
        <v>0</v>
      </c>
      <c r="AJ249" s="45">
        <f t="shared" si="123"/>
        <v>0</v>
      </c>
      <c r="AK249" s="45">
        <f t="shared" si="124"/>
        <v>0</v>
      </c>
      <c r="AL249" s="45">
        <f t="shared" si="125"/>
        <v>0</v>
      </c>
      <c r="AM249" s="8" t="str">
        <f t="shared" si="126"/>
        <v>--</v>
      </c>
      <c r="AN249" s="10">
        <f t="shared" si="127"/>
        <v>0</v>
      </c>
      <c r="AO249" s="10">
        <f t="shared" si="128"/>
        <v>0</v>
      </c>
      <c r="AP249" s="10">
        <f t="shared" si="129"/>
        <v>0</v>
      </c>
      <c r="AQ249" s="10">
        <f t="shared" si="130"/>
        <v>0</v>
      </c>
      <c r="AR249" s="10">
        <f t="shared" si="131"/>
        <v>0</v>
      </c>
      <c r="AS249" s="8">
        <v>23</v>
      </c>
      <c r="AT249" s="9">
        <f t="shared" si="132"/>
        <v>0</v>
      </c>
      <c r="AU249" s="11">
        <f t="shared" si="133"/>
        <v>0</v>
      </c>
      <c r="AV249" s="6"/>
      <c r="AW249" s="6"/>
      <c r="AX249" s="6"/>
      <c r="AZ249" t="str">
        <f t="shared" si="134"/>
        <v>{"group":"A",</v>
      </c>
      <c r="BA249" t="str">
        <f t="shared" si="115"/>
        <v>"lot":0,</v>
      </c>
      <c r="BB249" t="str">
        <f t="shared" si="135"/>
        <v>"name":"0",</v>
      </c>
      <c r="BC249" t="str">
        <f t="shared" si="136"/>
        <v>"team":"",</v>
      </c>
      <c r="BD249" t="str">
        <f t="shared" si="137"/>
        <v>"year":"0",</v>
      </c>
      <c r="BE249" t="str">
        <f t="shared" si="138"/>
        <v>"gender":"0",</v>
      </c>
      <c r="BF249" t="str">
        <f t="shared" si="139"/>
        <v>"gear":"0",</v>
      </c>
      <c r="BG249" t="str">
        <f t="shared" si="140"/>
        <v>"lifts":"0",</v>
      </c>
      <c r="BH249" t="str">
        <f t="shared" si="141"/>
        <v>"division":"--",</v>
      </c>
      <c r="BI249" t="str">
        <f t="shared" si="142"/>
        <v>"wc":"0",</v>
      </c>
      <c r="BJ249" t="str">
        <f t="shared" si="143"/>
        <v>"bw":"",</v>
      </c>
      <c r="BK249" t="str">
        <f t="shared" si="144"/>
        <v>"pb":[0,0,0,0],</v>
      </c>
      <c r="BL249" t="str">
        <f t="shared" si="116"/>
        <v>"idx":"23",</v>
      </c>
      <c r="BM249" t="str">
        <f t="shared" si="117"/>
        <v>"sr":"0",</v>
      </c>
      <c r="BN249" t="str">
        <f t="shared" si="118"/>
        <v>"br":"0",</v>
      </c>
      <c r="BO249" t="str">
        <f t="shared" si="119"/>
        <v>"row":0,</v>
      </c>
      <c r="BP249" t="s">
        <v>55</v>
      </c>
      <c r="BQ249" t="str">
        <f t="shared" si="120"/>
        <v>"sq":{"a1":0,"a2":"","a3":"","s1":0,"s2":0,"s3":0},"bp":{"a1":0,"a2":"","a3":"","s1":0,"s2":0,"s3":0},"dl":{"a1":0,"a2":"","a3":"","s1":0,"s2":0,"s3":0},"sortOrder":0,"act":{}}</v>
      </c>
      <c r="BR249" t="str">
        <f t="shared" si="145"/>
        <v>{"group":"A","lot":0,"name":"0","team":"","year":"0","gender":"0","gear":"0","lifts":"0","division":"--","wc":"0","bw":"","pb":[0,0,0,0],"idx":"23","sr":"0","br":"0","row":0,"sq":{"a1":0,"a2":"","a3":"","s1":0,"s2":0,"s3":0},"bp":{"a1":0,"a2":"","a3":"","s1":0,"s2":0,"s3":0},"dl":{"a1":0,"a2":"","a3":"","s1":0,"s2":0,"s3":0},"sortOrder":0,"act":{}}</v>
      </c>
    </row>
    <row r="250" spans="5:70" x14ac:dyDescent="0.25">
      <c r="E250" s="128"/>
      <c r="F250" s="129"/>
      <c r="G250" s="129"/>
      <c r="H250" s="129"/>
      <c r="I250" s="129"/>
      <c r="J250" s="129"/>
      <c r="K250" s="129"/>
      <c r="L250" s="130"/>
      <c r="M250" s="131"/>
      <c r="N250" s="130"/>
      <c r="O250" s="148">
        <f t="shared" ca="1" si="146"/>
        <v>2023</v>
      </c>
      <c r="P250" s="129"/>
      <c r="Q250" s="129"/>
      <c r="R250" s="129"/>
      <c r="S250" s="129"/>
      <c r="T250" s="129"/>
      <c r="U250" s="129"/>
      <c r="V250" s="129"/>
      <c r="W250" s="129"/>
      <c r="X250" s="129"/>
      <c r="Y250" s="132"/>
      <c r="Z250" s="133"/>
      <c r="AA250" s="133"/>
      <c r="AB250" s="134"/>
      <c r="AE250" s="15" t="str">
        <f t="shared" si="147"/>
        <v>A</v>
      </c>
      <c r="AF250" s="8">
        <f t="shared" si="113"/>
        <v>0</v>
      </c>
      <c r="AG250" s="9">
        <f t="shared" si="121"/>
        <v>0</v>
      </c>
      <c r="AH250" s="9" t="str">
        <f t="shared" si="122"/>
        <v/>
      </c>
      <c r="AI250" s="8">
        <f t="shared" si="114"/>
        <v>0</v>
      </c>
      <c r="AJ250" s="45">
        <f t="shared" si="123"/>
        <v>0</v>
      </c>
      <c r="AK250" s="45">
        <f t="shared" si="124"/>
        <v>0</v>
      </c>
      <c r="AL250" s="45">
        <f t="shared" si="125"/>
        <v>0</v>
      </c>
      <c r="AM250" s="8" t="str">
        <f t="shared" si="126"/>
        <v>--</v>
      </c>
      <c r="AN250" s="10">
        <f t="shared" si="127"/>
        <v>0</v>
      </c>
      <c r="AO250" s="10">
        <f t="shared" si="128"/>
        <v>0</v>
      </c>
      <c r="AP250" s="10">
        <f t="shared" si="129"/>
        <v>0</v>
      </c>
      <c r="AQ250" s="10">
        <f t="shared" si="130"/>
        <v>0</v>
      </c>
      <c r="AR250" s="10">
        <f t="shared" si="131"/>
        <v>0</v>
      </c>
      <c r="AS250" s="8">
        <v>23</v>
      </c>
      <c r="AT250" s="9">
        <f t="shared" si="132"/>
        <v>0</v>
      </c>
      <c r="AU250" s="11">
        <f t="shared" si="133"/>
        <v>0</v>
      </c>
      <c r="AV250" s="6"/>
      <c r="AW250" s="6"/>
      <c r="AX250" s="6"/>
      <c r="AZ250" t="str">
        <f t="shared" si="134"/>
        <v>{"group":"A",</v>
      </c>
      <c r="BA250" t="str">
        <f t="shared" si="115"/>
        <v>"lot":0,</v>
      </c>
      <c r="BB250" t="str">
        <f t="shared" si="135"/>
        <v>"name":"0",</v>
      </c>
      <c r="BC250" t="str">
        <f t="shared" si="136"/>
        <v>"team":"",</v>
      </c>
      <c r="BD250" t="str">
        <f t="shared" si="137"/>
        <v>"year":"0",</v>
      </c>
      <c r="BE250" t="str">
        <f t="shared" si="138"/>
        <v>"gender":"0",</v>
      </c>
      <c r="BF250" t="str">
        <f t="shared" si="139"/>
        <v>"gear":"0",</v>
      </c>
      <c r="BG250" t="str">
        <f t="shared" si="140"/>
        <v>"lifts":"0",</v>
      </c>
      <c r="BH250" t="str">
        <f t="shared" si="141"/>
        <v>"division":"--",</v>
      </c>
      <c r="BI250" t="str">
        <f t="shared" si="142"/>
        <v>"wc":"0",</v>
      </c>
      <c r="BJ250" t="str">
        <f t="shared" si="143"/>
        <v>"bw":"",</v>
      </c>
      <c r="BK250" t="str">
        <f t="shared" si="144"/>
        <v>"pb":[0,0,0,0],</v>
      </c>
      <c r="BL250" t="str">
        <f t="shared" si="116"/>
        <v>"idx":"23",</v>
      </c>
      <c r="BM250" t="str">
        <f t="shared" si="117"/>
        <v>"sr":"0",</v>
      </c>
      <c r="BN250" t="str">
        <f t="shared" si="118"/>
        <v>"br":"0",</v>
      </c>
      <c r="BO250" t="str">
        <f t="shared" si="119"/>
        <v>"row":0,</v>
      </c>
      <c r="BP250" t="s">
        <v>55</v>
      </c>
      <c r="BQ250" t="str">
        <f t="shared" si="120"/>
        <v>"sq":{"a1":0,"a2":"","a3":"","s1":0,"s2":0,"s3":0},"bp":{"a1":0,"a2":"","a3":"","s1":0,"s2":0,"s3":0},"dl":{"a1":0,"a2":"","a3":"","s1":0,"s2":0,"s3":0},"sortOrder":0,"act":{}}</v>
      </c>
      <c r="BR250" t="str">
        <f t="shared" si="145"/>
        <v>{"group":"A","lot":0,"name":"0","team":"","year":"0","gender":"0","gear":"0","lifts":"0","division":"--","wc":"0","bw":"","pb":[0,0,0,0],"idx":"23","sr":"0","br":"0","row":0,"sq":{"a1":0,"a2":"","a3":"","s1":0,"s2":0,"s3":0},"bp":{"a1":0,"a2":"","a3":"","s1":0,"s2":0,"s3":0},"dl":{"a1":0,"a2":"","a3":"","s1":0,"s2":0,"s3":0},"sortOrder":0,"act":{}}</v>
      </c>
    </row>
    <row r="251" spans="5:70" x14ac:dyDescent="0.25">
      <c r="E251" s="128"/>
      <c r="F251" s="129"/>
      <c r="G251" s="129"/>
      <c r="H251" s="129"/>
      <c r="I251" s="129"/>
      <c r="J251" s="129"/>
      <c r="K251" s="129"/>
      <c r="L251" s="130"/>
      <c r="M251" s="131"/>
      <c r="N251" s="130"/>
      <c r="O251" s="148">
        <f t="shared" ca="1" si="146"/>
        <v>2023</v>
      </c>
      <c r="P251" s="129"/>
      <c r="Q251" s="129"/>
      <c r="R251" s="129"/>
      <c r="S251" s="129"/>
      <c r="T251" s="129"/>
      <c r="U251" s="129"/>
      <c r="V251" s="129"/>
      <c r="W251" s="129"/>
      <c r="X251" s="129"/>
      <c r="Y251" s="132"/>
      <c r="Z251" s="133"/>
      <c r="AA251" s="133"/>
      <c r="AB251" s="134"/>
      <c r="AE251" s="15" t="str">
        <f t="shared" si="147"/>
        <v>A</v>
      </c>
      <c r="AF251" s="8">
        <f t="shared" si="113"/>
        <v>0</v>
      </c>
      <c r="AG251" s="9">
        <f t="shared" si="121"/>
        <v>0</v>
      </c>
      <c r="AH251" s="9" t="str">
        <f t="shared" si="122"/>
        <v/>
      </c>
      <c r="AI251" s="8">
        <f t="shared" si="114"/>
        <v>0</v>
      </c>
      <c r="AJ251" s="45">
        <f t="shared" si="123"/>
        <v>0</v>
      </c>
      <c r="AK251" s="45">
        <f t="shared" si="124"/>
        <v>0</v>
      </c>
      <c r="AL251" s="45">
        <f t="shared" si="125"/>
        <v>0</v>
      </c>
      <c r="AM251" s="8" t="str">
        <f t="shared" si="126"/>
        <v>--</v>
      </c>
      <c r="AN251" s="10">
        <f t="shared" si="127"/>
        <v>0</v>
      </c>
      <c r="AO251" s="10">
        <f t="shared" si="128"/>
        <v>0</v>
      </c>
      <c r="AP251" s="10">
        <f t="shared" si="129"/>
        <v>0</v>
      </c>
      <c r="AQ251" s="10">
        <f t="shared" si="130"/>
        <v>0</v>
      </c>
      <c r="AR251" s="10">
        <f t="shared" si="131"/>
        <v>0</v>
      </c>
      <c r="AS251" s="8">
        <v>23</v>
      </c>
      <c r="AT251" s="9">
        <f t="shared" si="132"/>
        <v>0</v>
      </c>
      <c r="AU251" s="11">
        <f t="shared" si="133"/>
        <v>0</v>
      </c>
      <c r="AV251" s="6"/>
      <c r="AW251" s="6"/>
      <c r="AX251" s="6"/>
      <c r="AZ251" t="str">
        <f t="shared" si="134"/>
        <v>{"group":"A",</v>
      </c>
      <c r="BA251" t="str">
        <f t="shared" si="115"/>
        <v>"lot":0,</v>
      </c>
      <c r="BB251" t="str">
        <f t="shared" si="135"/>
        <v>"name":"0",</v>
      </c>
      <c r="BC251" t="str">
        <f t="shared" si="136"/>
        <v>"team":"",</v>
      </c>
      <c r="BD251" t="str">
        <f t="shared" si="137"/>
        <v>"year":"0",</v>
      </c>
      <c r="BE251" t="str">
        <f t="shared" si="138"/>
        <v>"gender":"0",</v>
      </c>
      <c r="BF251" t="str">
        <f t="shared" si="139"/>
        <v>"gear":"0",</v>
      </c>
      <c r="BG251" t="str">
        <f t="shared" si="140"/>
        <v>"lifts":"0",</v>
      </c>
      <c r="BH251" t="str">
        <f t="shared" si="141"/>
        <v>"division":"--",</v>
      </c>
      <c r="BI251" t="str">
        <f t="shared" si="142"/>
        <v>"wc":"0",</v>
      </c>
      <c r="BJ251" t="str">
        <f t="shared" si="143"/>
        <v>"bw":"",</v>
      </c>
      <c r="BK251" t="str">
        <f t="shared" si="144"/>
        <v>"pb":[0,0,0,0],</v>
      </c>
      <c r="BL251" t="str">
        <f t="shared" si="116"/>
        <v>"idx":"23",</v>
      </c>
      <c r="BM251" t="str">
        <f t="shared" si="117"/>
        <v>"sr":"0",</v>
      </c>
      <c r="BN251" t="str">
        <f t="shared" si="118"/>
        <v>"br":"0",</v>
      </c>
      <c r="BO251" t="str">
        <f t="shared" si="119"/>
        <v>"row":0,</v>
      </c>
      <c r="BP251" t="s">
        <v>55</v>
      </c>
      <c r="BQ251" t="str">
        <f t="shared" si="120"/>
        <v>"sq":{"a1":0,"a2":"","a3":"","s1":0,"s2":0,"s3":0},"bp":{"a1":0,"a2":"","a3":"","s1":0,"s2":0,"s3":0},"dl":{"a1":0,"a2":"","a3":"","s1":0,"s2":0,"s3":0},"sortOrder":0,"act":{}}</v>
      </c>
      <c r="BR251" t="str">
        <f t="shared" si="145"/>
        <v>{"group":"A","lot":0,"name":"0","team":"","year":"0","gender":"0","gear":"0","lifts":"0","division":"--","wc":"0","bw":"","pb":[0,0,0,0],"idx":"23","sr":"0","br":"0","row":0,"sq":{"a1":0,"a2":"","a3":"","s1":0,"s2":0,"s3":0},"bp":{"a1":0,"a2":"","a3":"","s1":0,"s2":0,"s3":0},"dl":{"a1":0,"a2":"","a3":"","s1":0,"s2":0,"s3":0},"sortOrder":0,"act":{}}</v>
      </c>
    </row>
    <row r="252" spans="5:70" x14ac:dyDescent="0.25">
      <c r="E252" s="128"/>
      <c r="F252" s="129"/>
      <c r="G252" s="129"/>
      <c r="H252" s="129"/>
      <c r="I252" s="129"/>
      <c r="J252" s="129"/>
      <c r="K252" s="129"/>
      <c r="L252" s="130"/>
      <c r="M252" s="131"/>
      <c r="N252" s="130"/>
      <c r="O252" s="148">
        <f t="shared" ca="1" si="146"/>
        <v>2023</v>
      </c>
      <c r="P252" s="129"/>
      <c r="Q252" s="129"/>
      <c r="R252" s="129"/>
      <c r="S252" s="129"/>
      <c r="T252" s="129"/>
      <c r="U252" s="129"/>
      <c r="V252" s="129"/>
      <c r="W252" s="129"/>
      <c r="X252" s="129"/>
      <c r="Y252" s="132"/>
      <c r="Z252" s="133"/>
      <c r="AA252" s="133"/>
      <c r="AB252" s="134"/>
      <c r="AE252" s="15" t="str">
        <f t="shared" si="147"/>
        <v>A</v>
      </c>
      <c r="AF252" s="8">
        <f t="shared" si="113"/>
        <v>0</v>
      </c>
      <c r="AG252" s="9">
        <f t="shared" si="121"/>
        <v>0</v>
      </c>
      <c r="AH252" s="9" t="str">
        <f t="shared" si="122"/>
        <v/>
      </c>
      <c r="AI252" s="8">
        <f t="shared" si="114"/>
        <v>0</v>
      </c>
      <c r="AJ252" s="45">
        <f t="shared" si="123"/>
        <v>0</v>
      </c>
      <c r="AK252" s="45">
        <f t="shared" si="124"/>
        <v>0</v>
      </c>
      <c r="AL252" s="45">
        <f t="shared" si="125"/>
        <v>0</v>
      </c>
      <c r="AM252" s="8" t="str">
        <f t="shared" si="126"/>
        <v>--</v>
      </c>
      <c r="AN252" s="10">
        <f t="shared" si="127"/>
        <v>0</v>
      </c>
      <c r="AO252" s="10">
        <f t="shared" si="128"/>
        <v>0</v>
      </c>
      <c r="AP252" s="10">
        <f t="shared" si="129"/>
        <v>0</v>
      </c>
      <c r="AQ252" s="10">
        <f t="shared" si="130"/>
        <v>0</v>
      </c>
      <c r="AR252" s="10">
        <f t="shared" si="131"/>
        <v>0</v>
      </c>
      <c r="AS252" s="8">
        <v>23</v>
      </c>
      <c r="AT252" s="9">
        <f t="shared" si="132"/>
        <v>0</v>
      </c>
      <c r="AU252" s="11">
        <f t="shared" si="133"/>
        <v>0</v>
      </c>
      <c r="AV252" s="6"/>
      <c r="AW252" s="6"/>
      <c r="AX252" s="6"/>
      <c r="AZ252" t="str">
        <f t="shared" si="134"/>
        <v>{"group":"A",</v>
      </c>
      <c r="BA252" t="str">
        <f t="shared" si="115"/>
        <v>"lot":0,</v>
      </c>
      <c r="BB252" t="str">
        <f t="shared" si="135"/>
        <v>"name":"0",</v>
      </c>
      <c r="BC252" t="str">
        <f t="shared" si="136"/>
        <v>"team":"",</v>
      </c>
      <c r="BD252" t="str">
        <f t="shared" si="137"/>
        <v>"year":"0",</v>
      </c>
      <c r="BE252" t="str">
        <f t="shared" si="138"/>
        <v>"gender":"0",</v>
      </c>
      <c r="BF252" t="str">
        <f t="shared" si="139"/>
        <v>"gear":"0",</v>
      </c>
      <c r="BG252" t="str">
        <f t="shared" si="140"/>
        <v>"lifts":"0",</v>
      </c>
      <c r="BH252" t="str">
        <f t="shared" si="141"/>
        <v>"division":"--",</v>
      </c>
      <c r="BI252" t="str">
        <f t="shared" si="142"/>
        <v>"wc":"0",</v>
      </c>
      <c r="BJ252" t="str">
        <f t="shared" si="143"/>
        <v>"bw":"",</v>
      </c>
      <c r="BK252" t="str">
        <f t="shared" si="144"/>
        <v>"pb":[0,0,0,0],</v>
      </c>
      <c r="BL252" t="str">
        <f t="shared" si="116"/>
        <v>"idx":"23",</v>
      </c>
      <c r="BM252" t="str">
        <f t="shared" si="117"/>
        <v>"sr":"0",</v>
      </c>
      <c r="BN252" t="str">
        <f t="shared" si="118"/>
        <v>"br":"0",</v>
      </c>
      <c r="BO252" t="str">
        <f t="shared" si="119"/>
        <v>"row":0,</v>
      </c>
      <c r="BP252" t="s">
        <v>55</v>
      </c>
      <c r="BQ252" t="str">
        <f t="shared" si="120"/>
        <v>"sq":{"a1":0,"a2":"","a3":"","s1":0,"s2":0,"s3":0},"bp":{"a1":0,"a2":"","a3":"","s1":0,"s2":0,"s3":0},"dl":{"a1":0,"a2":"","a3":"","s1":0,"s2":0,"s3":0},"sortOrder":0,"act":{}}</v>
      </c>
      <c r="BR252" t="str">
        <f t="shared" si="145"/>
        <v>{"group":"A","lot":0,"name":"0","team":"","year":"0","gender":"0","gear":"0","lifts":"0","division":"--","wc":"0","bw":"","pb":[0,0,0,0],"idx":"23","sr":"0","br":"0","row":0,"sq":{"a1":0,"a2":"","a3":"","s1":0,"s2":0,"s3":0},"bp":{"a1":0,"a2":"","a3":"","s1":0,"s2":0,"s3":0},"dl":{"a1":0,"a2":"","a3":"","s1":0,"s2":0,"s3":0},"sortOrder":0,"act":{}}</v>
      </c>
    </row>
    <row r="253" spans="5:70" x14ac:dyDescent="0.25">
      <c r="E253" s="128"/>
      <c r="F253" s="129"/>
      <c r="G253" s="129"/>
      <c r="H253" s="129"/>
      <c r="I253" s="129"/>
      <c r="J253" s="129"/>
      <c r="K253" s="129"/>
      <c r="L253" s="130"/>
      <c r="M253" s="131"/>
      <c r="N253" s="130"/>
      <c r="O253" s="148">
        <f t="shared" ca="1" si="146"/>
        <v>2023</v>
      </c>
      <c r="P253" s="129"/>
      <c r="Q253" s="129"/>
      <c r="R253" s="129"/>
      <c r="S253" s="129"/>
      <c r="T253" s="129"/>
      <c r="U253" s="129"/>
      <c r="V253" s="129"/>
      <c r="W253" s="129"/>
      <c r="X253" s="129"/>
      <c r="Y253" s="132"/>
      <c r="Z253" s="133"/>
      <c r="AA253" s="133"/>
      <c r="AB253" s="134"/>
      <c r="AE253" s="15" t="str">
        <f t="shared" si="147"/>
        <v>A</v>
      </c>
      <c r="AF253" s="8">
        <f t="shared" si="113"/>
        <v>0</v>
      </c>
      <c r="AG253" s="9">
        <f t="shared" si="121"/>
        <v>0</v>
      </c>
      <c r="AH253" s="9" t="str">
        <f t="shared" si="122"/>
        <v/>
      </c>
      <c r="AI253" s="8">
        <f t="shared" si="114"/>
        <v>0</v>
      </c>
      <c r="AJ253" s="45">
        <f t="shared" si="123"/>
        <v>0</v>
      </c>
      <c r="AK253" s="45">
        <f t="shared" si="124"/>
        <v>0</v>
      </c>
      <c r="AL253" s="45">
        <f t="shared" si="125"/>
        <v>0</v>
      </c>
      <c r="AM253" s="8" t="str">
        <f t="shared" si="126"/>
        <v>--</v>
      </c>
      <c r="AN253" s="10">
        <f t="shared" si="127"/>
        <v>0</v>
      </c>
      <c r="AO253" s="10">
        <f t="shared" si="128"/>
        <v>0</v>
      </c>
      <c r="AP253" s="10">
        <f t="shared" si="129"/>
        <v>0</v>
      </c>
      <c r="AQ253" s="10">
        <f t="shared" si="130"/>
        <v>0</v>
      </c>
      <c r="AR253" s="10">
        <f t="shared" si="131"/>
        <v>0</v>
      </c>
      <c r="AS253" s="8">
        <v>23</v>
      </c>
      <c r="AT253" s="9">
        <f t="shared" si="132"/>
        <v>0</v>
      </c>
      <c r="AU253" s="11">
        <f t="shared" si="133"/>
        <v>0</v>
      </c>
      <c r="AV253" s="6"/>
      <c r="AW253" s="6"/>
      <c r="AX253" s="6"/>
      <c r="AZ253" t="str">
        <f t="shared" si="134"/>
        <v>{"group":"A",</v>
      </c>
      <c r="BA253" t="str">
        <f t="shared" si="115"/>
        <v>"lot":0,</v>
      </c>
      <c r="BB253" t="str">
        <f t="shared" si="135"/>
        <v>"name":"0",</v>
      </c>
      <c r="BC253" t="str">
        <f t="shared" si="136"/>
        <v>"team":"",</v>
      </c>
      <c r="BD253" t="str">
        <f t="shared" si="137"/>
        <v>"year":"0",</v>
      </c>
      <c r="BE253" t="str">
        <f t="shared" si="138"/>
        <v>"gender":"0",</v>
      </c>
      <c r="BF253" t="str">
        <f t="shared" si="139"/>
        <v>"gear":"0",</v>
      </c>
      <c r="BG253" t="str">
        <f t="shared" si="140"/>
        <v>"lifts":"0",</v>
      </c>
      <c r="BH253" t="str">
        <f t="shared" si="141"/>
        <v>"division":"--",</v>
      </c>
      <c r="BI253" t="str">
        <f t="shared" si="142"/>
        <v>"wc":"0",</v>
      </c>
      <c r="BJ253" t="str">
        <f t="shared" si="143"/>
        <v>"bw":"",</v>
      </c>
      <c r="BK253" t="str">
        <f t="shared" si="144"/>
        <v>"pb":[0,0,0,0],</v>
      </c>
      <c r="BL253" t="str">
        <f t="shared" si="116"/>
        <v>"idx":"23",</v>
      </c>
      <c r="BM253" t="str">
        <f t="shared" si="117"/>
        <v>"sr":"0",</v>
      </c>
      <c r="BN253" t="str">
        <f t="shared" si="118"/>
        <v>"br":"0",</v>
      </c>
      <c r="BO253" t="str">
        <f t="shared" si="119"/>
        <v>"row":0,</v>
      </c>
      <c r="BP253" t="s">
        <v>55</v>
      </c>
      <c r="BQ253" t="str">
        <f t="shared" si="120"/>
        <v>"sq":{"a1":0,"a2":"","a3":"","s1":0,"s2":0,"s3":0},"bp":{"a1":0,"a2":"","a3":"","s1":0,"s2":0,"s3":0},"dl":{"a1":0,"a2":"","a3":"","s1":0,"s2":0,"s3":0},"sortOrder":0,"act":{}}</v>
      </c>
      <c r="BR253" t="str">
        <f t="shared" si="145"/>
        <v>{"group":"A","lot":0,"name":"0","team":"","year":"0","gender":"0","gear":"0","lifts":"0","division":"--","wc":"0","bw":"","pb":[0,0,0,0],"idx":"23","sr":"0","br":"0","row":0,"sq":{"a1":0,"a2":"","a3":"","s1":0,"s2":0,"s3":0},"bp":{"a1":0,"a2":"","a3":"","s1":0,"s2":0,"s3":0},"dl":{"a1":0,"a2":"","a3":"","s1":0,"s2":0,"s3":0},"sortOrder":0,"act":{}}</v>
      </c>
    </row>
    <row r="254" spans="5:70" x14ac:dyDescent="0.25">
      <c r="E254" s="128"/>
      <c r="F254" s="129"/>
      <c r="G254" s="129"/>
      <c r="H254" s="129"/>
      <c r="I254" s="129"/>
      <c r="J254" s="129"/>
      <c r="K254" s="129"/>
      <c r="L254" s="130"/>
      <c r="M254" s="131"/>
      <c r="N254" s="130"/>
      <c r="O254" s="148">
        <f t="shared" ca="1" si="146"/>
        <v>2023</v>
      </c>
      <c r="P254" s="129"/>
      <c r="Q254" s="129"/>
      <c r="R254" s="129"/>
      <c r="S254" s="129"/>
      <c r="T254" s="129"/>
      <c r="U254" s="129"/>
      <c r="V254" s="129"/>
      <c r="W254" s="129"/>
      <c r="X254" s="129"/>
      <c r="Y254" s="132"/>
      <c r="Z254" s="133"/>
      <c r="AA254" s="133"/>
      <c r="AB254" s="134"/>
      <c r="AE254" s="15" t="str">
        <f t="shared" si="147"/>
        <v>A</v>
      </c>
      <c r="AF254" s="8">
        <f t="shared" si="113"/>
        <v>0</v>
      </c>
      <c r="AG254" s="9">
        <f t="shared" si="121"/>
        <v>0</v>
      </c>
      <c r="AH254" s="9" t="str">
        <f t="shared" si="122"/>
        <v/>
      </c>
      <c r="AI254" s="8">
        <f t="shared" si="114"/>
        <v>0</v>
      </c>
      <c r="AJ254" s="45">
        <f t="shared" si="123"/>
        <v>0</v>
      </c>
      <c r="AK254" s="45">
        <f t="shared" si="124"/>
        <v>0</v>
      </c>
      <c r="AL254" s="45">
        <f t="shared" si="125"/>
        <v>0</v>
      </c>
      <c r="AM254" s="8" t="str">
        <f t="shared" si="126"/>
        <v>--</v>
      </c>
      <c r="AN254" s="10">
        <f t="shared" si="127"/>
        <v>0</v>
      </c>
      <c r="AO254" s="10">
        <f t="shared" si="128"/>
        <v>0</v>
      </c>
      <c r="AP254" s="10">
        <f t="shared" si="129"/>
        <v>0</v>
      </c>
      <c r="AQ254" s="10">
        <f t="shared" si="130"/>
        <v>0</v>
      </c>
      <c r="AR254" s="10">
        <f t="shared" si="131"/>
        <v>0</v>
      </c>
      <c r="AS254" s="8">
        <v>23</v>
      </c>
      <c r="AT254" s="9">
        <f t="shared" si="132"/>
        <v>0</v>
      </c>
      <c r="AU254" s="11">
        <f t="shared" si="133"/>
        <v>0</v>
      </c>
      <c r="AV254" s="6"/>
      <c r="AW254" s="6"/>
      <c r="AX254" s="6"/>
      <c r="AZ254" t="str">
        <f t="shared" si="134"/>
        <v>{"group":"A",</v>
      </c>
      <c r="BA254" t="str">
        <f t="shared" si="115"/>
        <v>"lot":0,</v>
      </c>
      <c r="BB254" t="str">
        <f t="shared" si="135"/>
        <v>"name":"0",</v>
      </c>
      <c r="BC254" t="str">
        <f t="shared" si="136"/>
        <v>"team":"",</v>
      </c>
      <c r="BD254" t="str">
        <f t="shared" si="137"/>
        <v>"year":"0",</v>
      </c>
      <c r="BE254" t="str">
        <f t="shared" si="138"/>
        <v>"gender":"0",</v>
      </c>
      <c r="BF254" t="str">
        <f t="shared" si="139"/>
        <v>"gear":"0",</v>
      </c>
      <c r="BG254" t="str">
        <f t="shared" si="140"/>
        <v>"lifts":"0",</v>
      </c>
      <c r="BH254" t="str">
        <f t="shared" si="141"/>
        <v>"division":"--",</v>
      </c>
      <c r="BI254" t="str">
        <f t="shared" si="142"/>
        <v>"wc":"0",</v>
      </c>
      <c r="BJ254" t="str">
        <f t="shared" si="143"/>
        <v>"bw":"",</v>
      </c>
      <c r="BK254" t="str">
        <f t="shared" si="144"/>
        <v>"pb":[0,0,0,0],</v>
      </c>
      <c r="BL254" t="str">
        <f t="shared" si="116"/>
        <v>"idx":"23",</v>
      </c>
      <c r="BM254" t="str">
        <f t="shared" si="117"/>
        <v>"sr":"0",</v>
      </c>
      <c r="BN254" t="str">
        <f t="shared" si="118"/>
        <v>"br":"0",</v>
      </c>
      <c r="BO254" t="str">
        <f t="shared" si="119"/>
        <v>"row":0,</v>
      </c>
      <c r="BP254" t="s">
        <v>55</v>
      </c>
      <c r="BQ254" t="str">
        <f t="shared" si="120"/>
        <v>"sq":{"a1":0,"a2":"","a3":"","s1":0,"s2":0,"s3":0},"bp":{"a1":0,"a2":"","a3":"","s1":0,"s2":0,"s3":0},"dl":{"a1":0,"a2":"","a3":"","s1":0,"s2":0,"s3":0},"sortOrder":0,"act":{}}</v>
      </c>
      <c r="BR254" t="str">
        <f t="shared" si="145"/>
        <v>{"group":"A","lot":0,"name":"0","team":"","year":"0","gender":"0","gear":"0","lifts":"0","division":"--","wc":"0","bw":"","pb":[0,0,0,0],"idx":"23","sr":"0","br":"0","row":0,"sq":{"a1":0,"a2":"","a3":"","s1":0,"s2":0,"s3":0},"bp":{"a1":0,"a2":"","a3":"","s1":0,"s2":0,"s3":0},"dl":{"a1":0,"a2":"","a3":"","s1":0,"s2":0,"s3":0},"sortOrder":0,"act":{}}</v>
      </c>
    </row>
    <row r="255" spans="5:70" x14ac:dyDescent="0.25">
      <c r="E255" s="128"/>
      <c r="F255" s="129"/>
      <c r="G255" s="129"/>
      <c r="H255" s="129"/>
      <c r="I255" s="129"/>
      <c r="J255" s="129"/>
      <c r="K255" s="129"/>
      <c r="L255" s="130"/>
      <c r="M255" s="131"/>
      <c r="N255" s="130"/>
      <c r="O255" s="148">
        <f t="shared" ca="1" si="146"/>
        <v>2023</v>
      </c>
      <c r="P255" s="129"/>
      <c r="Q255" s="129"/>
      <c r="R255" s="129"/>
      <c r="S255" s="129"/>
      <c r="T255" s="129"/>
      <c r="U255" s="129"/>
      <c r="V255" s="129"/>
      <c r="W255" s="129"/>
      <c r="X255" s="129"/>
      <c r="Y255" s="132"/>
      <c r="Z255" s="133"/>
      <c r="AA255" s="133"/>
      <c r="AB255" s="134"/>
      <c r="AE255" s="15" t="str">
        <f t="shared" si="147"/>
        <v>A</v>
      </c>
      <c r="AF255" s="8">
        <f t="shared" si="113"/>
        <v>0</v>
      </c>
      <c r="AG255" s="9">
        <f t="shared" si="121"/>
        <v>0</v>
      </c>
      <c r="AH255" s="9" t="str">
        <f t="shared" si="122"/>
        <v/>
      </c>
      <c r="AI255" s="8">
        <f t="shared" si="114"/>
        <v>0</v>
      </c>
      <c r="AJ255" s="45">
        <f t="shared" si="123"/>
        <v>0</v>
      </c>
      <c r="AK255" s="45">
        <f t="shared" si="124"/>
        <v>0</v>
      </c>
      <c r="AL255" s="45">
        <f t="shared" si="125"/>
        <v>0</v>
      </c>
      <c r="AM255" s="8" t="str">
        <f t="shared" si="126"/>
        <v>--</v>
      </c>
      <c r="AN255" s="10">
        <f t="shared" si="127"/>
        <v>0</v>
      </c>
      <c r="AO255" s="10">
        <f t="shared" si="128"/>
        <v>0</v>
      </c>
      <c r="AP255" s="10">
        <f t="shared" si="129"/>
        <v>0</v>
      </c>
      <c r="AQ255" s="10">
        <f t="shared" si="130"/>
        <v>0</v>
      </c>
      <c r="AR255" s="10">
        <f t="shared" si="131"/>
        <v>0</v>
      </c>
      <c r="AS255" s="8">
        <v>23</v>
      </c>
      <c r="AT255" s="9">
        <f t="shared" si="132"/>
        <v>0</v>
      </c>
      <c r="AU255" s="11">
        <f t="shared" si="133"/>
        <v>0</v>
      </c>
      <c r="AV255" s="6"/>
      <c r="AW255" s="6"/>
      <c r="AX255" s="6"/>
      <c r="AZ255" t="str">
        <f t="shared" si="134"/>
        <v>{"group":"A",</v>
      </c>
      <c r="BA255" t="str">
        <f t="shared" si="115"/>
        <v>"lot":0,</v>
      </c>
      <c r="BB255" t="str">
        <f t="shared" si="135"/>
        <v>"name":"0",</v>
      </c>
      <c r="BC255" t="str">
        <f t="shared" si="136"/>
        <v>"team":"",</v>
      </c>
      <c r="BD255" t="str">
        <f t="shared" si="137"/>
        <v>"year":"0",</v>
      </c>
      <c r="BE255" t="str">
        <f t="shared" si="138"/>
        <v>"gender":"0",</v>
      </c>
      <c r="BF255" t="str">
        <f t="shared" si="139"/>
        <v>"gear":"0",</v>
      </c>
      <c r="BG255" t="str">
        <f t="shared" si="140"/>
        <v>"lifts":"0",</v>
      </c>
      <c r="BH255" t="str">
        <f t="shared" si="141"/>
        <v>"division":"--",</v>
      </c>
      <c r="BI255" t="str">
        <f t="shared" si="142"/>
        <v>"wc":"0",</v>
      </c>
      <c r="BJ255" t="str">
        <f t="shared" si="143"/>
        <v>"bw":"",</v>
      </c>
      <c r="BK255" t="str">
        <f t="shared" si="144"/>
        <v>"pb":[0,0,0,0],</v>
      </c>
      <c r="BL255" t="str">
        <f t="shared" si="116"/>
        <v>"idx":"23",</v>
      </c>
      <c r="BM255" t="str">
        <f t="shared" si="117"/>
        <v>"sr":"0",</v>
      </c>
      <c r="BN255" t="str">
        <f t="shared" si="118"/>
        <v>"br":"0",</v>
      </c>
      <c r="BO255" t="str">
        <f t="shared" si="119"/>
        <v>"row":0,</v>
      </c>
      <c r="BP255" t="s">
        <v>55</v>
      </c>
      <c r="BQ255" t="str">
        <f t="shared" si="120"/>
        <v>"sq":{"a1":0,"a2":"","a3":"","s1":0,"s2":0,"s3":0},"bp":{"a1":0,"a2":"","a3":"","s1":0,"s2":0,"s3":0},"dl":{"a1":0,"a2":"","a3":"","s1":0,"s2":0,"s3":0},"sortOrder":0,"act":{}}</v>
      </c>
      <c r="BR255" t="str">
        <f t="shared" si="145"/>
        <v>{"group":"A","lot":0,"name":"0","team":"","year":"0","gender":"0","gear":"0","lifts":"0","division":"--","wc":"0","bw":"","pb":[0,0,0,0],"idx":"23","sr":"0","br":"0","row":0,"sq":{"a1":0,"a2":"","a3":"","s1":0,"s2":0,"s3":0},"bp":{"a1":0,"a2":"","a3":"","s1":0,"s2":0,"s3":0},"dl":{"a1":0,"a2":"","a3":"","s1":0,"s2":0,"s3":0},"sortOrder":0,"act":{}}</v>
      </c>
    </row>
    <row r="256" spans="5:70" x14ac:dyDescent="0.25">
      <c r="E256" s="128"/>
      <c r="F256" s="129"/>
      <c r="G256" s="129"/>
      <c r="H256" s="129"/>
      <c r="I256" s="129"/>
      <c r="J256" s="129"/>
      <c r="K256" s="129"/>
      <c r="L256" s="130"/>
      <c r="M256" s="131"/>
      <c r="N256" s="130"/>
      <c r="O256" s="148">
        <f t="shared" ca="1" si="146"/>
        <v>2023</v>
      </c>
      <c r="P256" s="129"/>
      <c r="Q256" s="129"/>
      <c r="R256" s="129"/>
      <c r="S256" s="129"/>
      <c r="T256" s="129"/>
      <c r="U256" s="129"/>
      <c r="V256" s="129"/>
      <c r="W256" s="129"/>
      <c r="X256" s="129"/>
      <c r="Y256" s="132"/>
      <c r="Z256" s="133"/>
      <c r="AA256" s="133"/>
      <c r="AB256" s="134"/>
      <c r="AE256" s="15" t="str">
        <f t="shared" si="147"/>
        <v>A</v>
      </c>
      <c r="AF256" s="8">
        <f t="shared" si="113"/>
        <v>0</v>
      </c>
      <c r="AG256" s="9">
        <f t="shared" si="121"/>
        <v>0</v>
      </c>
      <c r="AH256" s="9" t="str">
        <f t="shared" si="122"/>
        <v/>
      </c>
      <c r="AI256" s="8">
        <f t="shared" si="114"/>
        <v>0</v>
      </c>
      <c r="AJ256" s="45">
        <f t="shared" si="123"/>
        <v>0</v>
      </c>
      <c r="AK256" s="45">
        <f t="shared" si="124"/>
        <v>0</v>
      </c>
      <c r="AL256" s="45">
        <f t="shared" si="125"/>
        <v>0</v>
      </c>
      <c r="AM256" s="8" t="str">
        <f t="shared" si="126"/>
        <v>--</v>
      </c>
      <c r="AN256" s="10">
        <f t="shared" si="127"/>
        <v>0</v>
      </c>
      <c r="AO256" s="10">
        <f t="shared" si="128"/>
        <v>0</v>
      </c>
      <c r="AP256" s="10">
        <f t="shared" si="129"/>
        <v>0</v>
      </c>
      <c r="AQ256" s="10">
        <f t="shared" si="130"/>
        <v>0</v>
      </c>
      <c r="AR256" s="10">
        <f t="shared" si="131"/>
        <v>0</v>
      </c>
      <c r="AS256" s="8">
        <v>23</v>
      </c>
      <c r="AT256" s="9">
        <f t="shared" si="132"/>
        <v>0</v>
      </c>
      <c r="AU256" s="11">
        <f t="shared" si="133"/>
        <v>0</v>
      </c>
      <c r="AV256" s="6"/>
      <c r="AW256" s="6"/>
      <c r="AX256" s="6"/>
      <c r="AZ256" t="str">
        <f t="shared" si="134"/>
        <v>{"group":"A",</v>
      </c>
      <c r="BA256" t="str">
        <f t="shared" si="115"/>
        <v>"lot":0,</v>
      </c>
      <c r="BB256" t="str">
        <f t="shared" si="135"/>
        <v>"name":"0",</v>
      </c>
      <c r="BC256" t="str">
        <f t="shared" si="136"/>
        <v>"team":"",</v>
      </c>
      <c r="BD256" t="str">
        <f t="shared" si="137"/>
        <v>"year":"0",</v>
      </c>
      <c r="BE256" t="str">
        <f t="shared" si="138"/>
        <v>"gender":"0",</v>
      </c>
      <c r="BF256" t="str">
        <f t="shared" si="139"/>
        <v>"gear":"0",</v>
      </c>
      <c r="BG256" t="str">
        <f t="shared" si="140"/>
        <v>"lifts":"0",</v>
      </c>
      <c r="BH256" t="str">
        <f t="shared" si="141"/>
        <v>"division":"--",</v>
      </c>
      <c r="BI256" t="str">
        <f t="shared" si="142"/>
        <v>"wc":"0",</v>
      </c>
      <c r="BJ256" t="str">
        <f t="shared" si="143"/>
        <v>"bw":"",</v>
      </c>
      <c r="BK256" t="str">
        <f t="shared" si="144"/>
        <v>"pb":[0,0,0,0],</v>
      </c>
      <c r="BL256" t="str">
        <f t="shared" si="116"/>
        <v>"idx":"23",</v>
      </c>
      <c r="BM256" t="str">
        <f t="shared" si="117"/>
        <v>"sr":"0",</v>
      </c>
      <c r="BN256" t="str">
        <f t="shared" si="118"/>
        <v>"br":"0",</v>
      </c>
      <c r="BO256" t="str">
        <f t="shared" si="119"/>
        <v>"row":0,</v>
      </c>
      <c r="BP256" t="s">
        <v>55</v>
      </c>
      <c r="BQ256" t="str">
        <f t="shared" si="120"/>
        <v>"sq":{"a1":0,"a2":"","a3":"","s1":0,"s2":0,"s3":0},"bp":{"a1":0,"a2":"","a3":"","s1":0,"s2":0,"s3":0},"dl":{"a1":0,"a2":"","a3":"","s1":0,"s2":0,"s3":0},"sortOrder":0,"act":{}}</v>
      </c>
      <c r="BR256" t="str">
        <f t="shared" si="145"/>
        <v>{"group":"A","lot":0,"name":"0","team":"","year":"0","gender":"0","gear":"0","lifts":"0","division":"--","wc":"0","bw":"","pb":[0,0,0,0],"idx":"23","sr":"0","br":"0","row":0,"sq":{"a1":0,"a2":"","a3":"","s1":0,"s2":0,"s3":0},"bp":{"a1":0,"a2":"","a3":"","s1":0,"s2":0,"s3":0},"dl":{"a1":0,"a2":"","a3":"","s1":0,"s2":0,"s3":0},"sortOrder":0,"act":{}}</v>
      </c>
    </row>
    <row r="257" spans="5:70" x14ac:dyDescent="0.25">
      <c r="E257" s="128"/>
      <c r="F257" s="129"/>
      <c r="G257" s="129"/>
      <c r="H257" s="129"/>
      <c r="I257" s="129"/>
      <c r="J257" s="129"/>
      <c r="K257" s="129"/>
      <c r="L257" s="130"/>
      <c r="M257" s="131"/>
      <c r="N257" s="130"/>
      <c r="O257" s="148">
        <f t="shared" ca="1" si="146"/>
        <v>2023</v>
      </c>
      <c r="P257" s="129"/>
      <c r="Q257" s="129"/>
      <c r="R257" s="129"/>
      <c r="S257" s="129"/>
      <c r="T257" s="129"/>
      <c r="U257" s="129"/>
      <c r="V257" s="129"/>
      <c r="W257" s="129"/>
      <c r="X257" s="129"/>
      <c r="Y257" s="132"/>
      <c r="Z257" s="133"/>
      <c r="AA257" s="133"/>
      <c r="AB257" s="134"/>
      <c r="AE257" s="15" t="str">
        <f t="shared" si="147"/>
        <v>A</v>
      </c>
      <c r="AF257" s="8">
        <f t="shared" si="113"/>
        <v>0</v>
      </c>
      <c r="AG257" s="9">
        <f t="shared" si="121"/>
        <v>0</v>
      </c>
      <c r="AH257" s="9" t="str">
        <f t="shared" si="122"/>
        <v/>
      </c>
      <c r="AI257" s="8">
        <f t="shared" si="114"/>
        <v>0</v>
      </c>
      <c r="AJ257" s="45">
        <f t="shared" si="123"/>
        <v>0</v>
      </c>
      <c r="AK257" s="45">
        <f t="shared" si="124"/>
        <v>0</v>
      </c>
      <c r="AL257" s="45">
        <f t="shared" si="125"/>
        <v>0</v>
      </c>
      <c r="AM257" s="8" t="str">
        <f t="shared" si="126"/>
        <v>--</v>
      </c>
      <c r="AN257" s="10">
        <f t="shared" si="127"/>
        <v>0</v>
      </c>
      <c r="AO257" s="10">
        <f t="shared" si="128"/>
        <v>0</v>
      </c>
      <c r="AP257" s="10">
        <f t="shared" si="129"/>
        <v>0</v>
      </c>
      <c r="AQ257" s="10">
        <f t="shared" si="130"/>
        <v>0</v>
      </c>
      <c r="AR257" s="10">
        <f t="shared" si="131"/>
        <v>0</v>
      </c>
      <c r="AS257" s="8">
        <v>23</v>
      </c>
      <c r="AT257" s="9">
        <f t="shared" si="132"/>
        <v>0</v>
      </c>
      <c r="AU257" s="11">
        <f t="shared" si="133"/>
        <v>0</v>
      </c>
      <c r="AV257" s="6"/>
      <c r="AW257" s="6"/>
      <c r="AX257" s="6"/>
      <c r="AZ257" t="str">
        <f t="shared" si="134"/>
        <v>{"group":"A",</v>
      </c>
      <c r="BA257" t="str">
        <f t="shared" si="115"/>
        <v>"lot":0,</v>
      </c>
      <c r="BB257" t="str">
        <f t="shared" si="135"/>
        <v>"name":"0",</v>
      </c>
      <c r="BC257" t="str">
        <f t="shared" si="136"/>
        <v>"team":"",</v>
      </c>
      <c r="BD257" t="str">
        <f t="shared" si="137"/>
        <v>"year":"0",</v>
      </c>
      <c r="BE257" t="str">
        <f t="shared" si="138"/>
        <v>"gender":"0",</v>
      </c>
      <c r="BF257" t="str">
        <f t="shared" si="139"/>
        <v>"gear":"0",</v>
      </c>
      <c r="BG257" t="str">
        <f t="shared" si="140"/>
        <v>"lifts":"0",</v>
      </c>
      <c r="BH257" t="str">
        <f t="shared" si="141"/>
        <v>"division":"--",</v>
      </c>
      <c r="BI257" t="str">
        <f t="shared" si="142"/>
        <v>"wc":"0",</v>
      </c>
      <c r="BJ257" t="str">
        <f t="shared" si="143"/>
        <v>"bw":"",</v>
      </c>
      <c r="BK257" t="str">
        <f t="shared" si="144"/>
        <v>"pb":[0,0,0,0],</v>
      </c>
      <c r="BL257" t="str">
        <f t="shared" si="116"/>
        <v>"idx":"23",</v>
      </c>
      <c r="BM257" t="str">
        <f t="shared" si="117"/>
        <v>"sr":"0",</v>
      </c>
      <c r="BN257" t="str">
        <f t="shared" si="118"/>
        <v>"br":"0",</v>
      </c>
      <c r="BO257" t="str">
        <f t="shared" si="119"/>
        <v>"row":0,</v>
      </c>
      <c r="BP257" t="s">
        <v>55</v>
      </c>
      <c r="BQ257" t="str">
        <f t="shared" si="120"/>
        <v>"sq":{"a1":0,"a2":"","a3":"","s1":0,"s2":0,"s3":0},"bp":{"a1":0,"a2":"","a3":"","s1":0,"s2":0,"s3":0},"dl":{"a1":0,"a2":"","a3":"","s1":0,"s2":0,"s3":0},"sortOrder":0,"act":{}}</v>
      </c>
      <c r="BR257" t="str">
        <f t="shared" si="145"/>
        <v>{"group":"A","lot":0,"name":"0","team":"","year":"0","gender":"0","gear":"0","lifts":"0","division":"--","wc":"0","bw":"","pb":[0,0,0,0],"idx":"23","sr":"0","br":"0","row":0,"sq":{"a1":0,"a2":"","a3":"","s1":0,"s2":0,"s3":0},"bp":{"a1":0,"a2":"","a3":"","s1":0,"s2":0,"s3":0},"dl":{"a1":0,"a2":"","a3":"","s1":0,"s2":0,"s3":0},"sortOrder":0,"act":{}}</v>
      </c>
    </row>
    <row r="258" spans="5:70" x14ac:dyDescent="0.25">
      <c r="E258" s="128"/>
      <c r="F258" s="129"/>
      <c r="G258" s="129"/>
      <c r="H258" s="129"/>
      <c r="I258" s="129"/>
      <c r="J258" s="129"/>
      <c r="K258" s="129"/>
      <c r="L258" s="130"/>
      <c r="M258" s="131"/>
      <c r="N258" s="130"/>
      <c r="O258" s="148">
        <f t="shared" ca="1" si="146"/>
        <v>2023</v>
      </c>
      <c r="P258" s="129"/>
      <c r="Q258" s="129"/>
      <c r="R258" s="129"/>
      <c r="S258" s="129"/>
      <c r="T258" s="129"/>
      <c r="U258" s="129"/>
      <c r="V258" s="129"/>
      <c r="W258" s="129"/>
      <c r="X258" s="129"/>
      <c r="Y258" s="132"/>
      <c r="Z258" s="133"/>
      <c r="AA258" s="133"/>
      <c r="AB258" s="134"/>
      <c r="AE258" s="15" t="str">
        <f t="shared" si="147"/>
        <v>A</v>
      </c>
      <c r="AF258" s="8">
        <f t="shared" si="113"/>
        <v>0</v>
      </c>
      <c r="AG258" s="9">
        <f t="shared" si="121"/>
        <v>0</v>
      </c>
      <c r="AH258" s="9" t="str">
        <f t="shared" si="122"/>
        <v/>
      </c>
      <c r="AI258" s="8">
        <f t="shared" si="114"/>
        <v>0</v>
      </c>
      <c r="AJ258" s="45">
        <f t="shared" si="123"/>
        <v>0</v>
      </c>
      <c r="AK258" s="45">
        <f t="shared" si="124"/>
        <v>0</v>
      </c>
      <c r="AL258" s="45">
        <f t="shared" si="125"/>
        <v>0</v>
      </c>
      <c r="AM258" s="8" t="str">
        <f t="shared" si="126"/>
        <v>--</v>
      </c>
      <c r="AN258" s="10">
        <f t="shared" si="127"/>
        <v>0</v>
      </c>
      <c r="AO258" s="10">
        <f t="shared" si="128"/>
        <v>0</v>
      </c>
      <c r="AP258" s="10">
        <f t="shared" si="129"/>
        <v>0</v>
      </c>
      <c r="AQ258" s="10">
        <f t="shared" si="130"/>
        <v>0</v>
      </c>
      <c r="AR258" s="10">
        <f t="shared" si="131"/>
        <v>0</v>
      </c>
      <c r="AS258" s="8">
        <v>23</v>
      </c>
      <c r="AT258" s="9">
        <f t="shared" si="132"/>
        <v>0</v>
      </c>
      <c r="AU258" s="11">
        <f t="shared" si="133"/>
        <v>0</v>
      </c>
      <c r="AV258" s="6"/>
      <c r="AW258" s="6"/>
      <c r="AX258" s="6"/>
      <c r="AZ258" t="str">
        <f t="shared" si="134"/>
        <v>{"group":"A",</v>
      </c>
      <c r="BA258" t="str">
        <f t="shared" si="115"/>
        <v>"lot":0,</v>
      </c>
      <c r="BB258" t="str">
        <f t="shared" si="135"/>
        <v>"name":"0",</v>
      </c>
      <c r="BC258" t="str">
        <f t="shared" si="136"/>
        <v>"team":"",</v>
      </c>
      <c r="BD258" t="str">
        <f t="shared" si="137"/>
        <v>"year":"0",</v>
      </c>
      <c r="BE258" t="str">
        <f t="shared" si="138"/>
        <v>"gender":"0",</v>
      </c>
      <c r="BF258" t="str">
        <f t="shared" si="139"/>
        <v>"gear":"0",</v>
      </c>
      <c r="BG258" t="str">
        <f t="shared" si="140"/>
        <v>"lifts":"0",</v>
      </c>
      <c r="BH258" t="str">
        <f t="shared" si="141"/>
        <v>"division":"--",</v>
      </c>
      <c r="BI258" t="str">
        <f t="shared" si="142"/>
        <v>"wc":"0",</v>
      </c>
      <c r="BJ258" t="str">
        <f t="shared" si="143"/>
        <v>"bw":"",</v>
      </c>
      <c r="BK258" t="str">
        <f t="shared" si="144"/>
        <v>"pb":[0,0,0,0],</v>
      </c>
      <c r="BL258" t="str">
        <f t="shared" si="116"/>
        <v>"idx":"23",</v>
      </c>
      <c r="BM258" t="str">
        <f t="shared" si="117"/>
        <v>"sr":"0",</v>
      </c>
      <c r="BN258" t="str">
        <f t="shared" si="118"/>
        <v>"br":"0",</v>
      </c>
      <c r="BO258" t="str">
        <f t="shared" si="119"/>
        <v>"row":0,</v>
      </c>
      <c r="BP258" t="s">
        <v>55</v>
      </c>
      <c r="BQ258" t="str">
        <f t="shared" si="120"/>
        <v>"sq":{"a1":0,"a2":"","a3":"","s1":0,"s2":0,"s3":0},"bp":{"a1":0,"a2":"","a3":"","s1":0,"s2":0,"s3":0},"dl":{"a1":0,"a2":"","a3":"","s1":0,"s2":0,"s3":0},"sortOrder":0,"act":{}}</v>
      </c>
      <c r="BR258" t="str">
        <f t="shared" si="145"/>
        <v>{"group":"A","lot":0,"name":"0","team":"","year":"0","gender":"0","gear":"0","lifts":"0","division":"--","wc":"0","bw":"","pb":[0,0,0,0],"idx":"23","sr":"0","br":"0","row":0,"sq":{"a1":0,"a2":"","a3":"","s1":0,"s2":0,"s3":0},"bp":{"a1":0,"a2":"","a3":"","s1":0,"s2":0,"s3":0},"dl":{"a1":0,"a2":"","a3":"","s1":0,"s2":0,"s3":0},"sortOrder":0,"act":{}}</v>
      </c>
    </row>
    <row r="259" spans="5:70" x14ac:dyDescent="0.25">
      <c r="E259" s="128"/>
      <c r="F259" s="129"/>
      <c r="G259" s="129"/>
      <c r="H259" s="129"/>
      <c r="I259" s="129"/>
      <c r="J259" s="129"/>
      <c r="K259" s="129"/>
      <c r="L259" s="130"/>
      <c r="M259" s="131"/>
      <c r="N259" s="130"/>
      <c r="O259" s="148">
        <f t="shared" ca="1" si="146"/>
        <v>2023</v>
      </c>
      <c r="P259" s="129"/>
      <c r="Q259" s="129"/>
      <c r="R259" s="129"/>
      <c r="S259" s="129"/>
      <c r="T259" s="129"/>
      <c r="U259" s="129"/>
      <c r="V259" s="129"/>
      <c r="W259" s="129"/>
      <c r="X259" s="129"/>
      <c r="Y259" s="132"/>
      <c r="Z259" s="133"/>
      <c r="AA259" s="133"/>
      <c r="AB259" s="134"/>
      <c r="AE259" s="15" t="str">
        <f t="shared" si="147"/>
        <v>A</v>
      </c>
      <c r="AF259" s="8">
        <f t="shared" si="113"/>
        <v>0</v>
      </c>
      <c r="AG259" s="9">
        <f t="shared" si="121"/>
        <v>0</v>
      </c>
      <c r="AH259" s="9" t="str">
        <f t="shared" si="122"/>
        <v/>
      </c>
      <c r="AI259" s="8">
        <f t="shared" si="114"/>
        <v>0</v>
      </c>
      <c r="AJ259" s="45">
        <f t="shared" si="123"/>
        <v>0</v>
      </c>
      <c r="AK259" s="45">
        <f t="shared" si="124"/>
        <v>0</v>
      </c>
      <c r="AL259" s="45">
        <f t="shared" si="125"/>
        <v>0</v>
      </c>
      <c r="AM259" s="8" t="str">
        <f t="shared" si="126"/>
        <v>--</v>
      </c>
      <c r="AN259" s="10">
        <f t="shared" si="127"/>
        <v>0</v>
      </c>
      <c r="AO259" s="10">
        <f t="shared" si="128"/>
        <v>0</v>
      </c>
      <c r="AP259" s="10">
        <f t="shared" si="129"/>
        <v>0</v>
      </c>
      <c r="AQ259" s="10">
        <f t="shared" si="130"/>
        <v>0</v>
      </c>
      <c r="AR259" s="10">
        <f t="shared" si="131"/>
        <v>0</v>
      </c>
      <c r="AS259" s="8">
        <v>23</v>
      </c>
      <c r="AT259" s="9">
        <f t="shared" si="132"/>
        <v>0</v>
      </c>
      <c r="AU259" s="11">
        <f t="shared" si="133"/>
        <v>0</v>
      </c>
      <c r="AV259" s="6"/>
      <c r="AW259" s="6"/>
      <c r="AX259" s="6"/>
      <c r="AZ259" t="str">
        <f t="shared" si="134"/>
        <v>{"group":"A",</v>
      </c>
      <c r="BA259" t="str">
        <f t="shared" si="115"/>
        <v>"lot":0,</v>
      </c>
      <c r="BB259" t="str">
        <f t="shared" si="135"/>
        <v>"name":"0",</v>
      </c>
      <c r="BC259" t="str">
        <f t="shared" si="136"/>
        <v>"team":"",</v>
      </c>
      <c r="BD259" t="str">
        <f t="shared" si="137"/>
        <v>"year":"0",</v>
      </c>
      <c r="BE259" t="str">
        <f t="shared" si="138"/>
        <v>"gender":"0",</v>
      </c>
      <c r="BF259" t="str">
        <f t="shared" si="139"/>
        <v>"gear":"0",</v>
      </c>
      <c r="BG259" t="str">
        <f t="shared" si="140"/>
        <v>"lifts":"0",</v>
      </c>
      <c r="BH259" t="str">
        <f t="shared" si="141"/>
        <v>"division":"--",</v>
      </c>
      <c r="BI259" t="str">
        <f t="shared" si="142"/>
        <v>"wc":"0",</v>
      </c>
      <c r="BJ259" t="str">
        <f t="shared" si="143"/>
        <v>"bw":"",</v>
      </c>
      <c r="BK259" t="str">
        <f t="shared" si="144"/>
        <v>"pb":[0,0,0,0],</v>
      </c>
      <c r="BL259" t="str">
        <f t="shared" si="116"/>
        <v>"idx":"23",</v>
      </c>
      <c r="BM259" t="str">
        <f t="shared" si="117"/>
        <v>"sr":"0",</v>
      </c>
      <c r="BN259" t="str">
        <f t="shared" si="118"/>
        <v>"br":"0",</v>
      </c>
      <c r="BO259" t="str">
        <f t="shared" si="119"/>
        <v>"row":0,</v>
      </c>
      <c r="BP259" t="s">
        <v>55</v>
      </c>
      <c r="BQ259" t="str">
        <f t="shared" si="120"/>
        <v>"sq":{"a1":0,"a2":"","a3":"","s1":0,"s2":0,"s3":0},"bp":{"a1":0,"a2":"","a3":"","s1":0,"s2":0,"s3":0},"dl":{"a1":0,"a2":"","a3":"","s1":0,"s2":0,"s3":0},"sortOrder":0,"act":{}}</v>
      </c>
      <c r="BR259" t="str">
        <f t="shared" si="145"/>
        <v>{"group":"A","lot":0,"name":"0","team":"","year":"0","gender":"0","gear":"0","lifts":"0","division":"--","wc":"0","bw":"","pb":[0,0,0,0],"idx":"23","sr":"0","br":"0","row":0,"sq":{"a1":0,"a2":"","a3":"","s1":0,"s2":0,"s3":0},"bp":{"a1":0,"a2":"","a3":"","s1":0,"s2":0,"s3":0},"dl":{"a1":0,"a2":"","a3":"","s1":0,"s2":0,"s3":0},"sortOrder":0,"act":{}}</v>
      </c>
    </row>
    <row r="260" spans="5:70" x14ac:dyDescent="0.25">
      <c r="E260" s="128"/>
      <c r="F260" s="129"/>
      <c r="G260" s="129"/>
      <c r="H260" s="129"/>
      <c r="I260" s="129"/>
      <c r="J260" s="129"/>
      <c r="K260" s="129"/>
      <c r="L260" s="130"/>
      <c r="M260" s="131"/>
      <c r="N260" s="130"/>
      <c r="O260" s="148">
        <f t="shared" ca="1" si="146"/>
        <v>2023</v>
      </c>
      <c r="P260" s="129"/>
      <c r="Q260" s="129"/>
      <c r="R260" s="129"/>
      <c r="S260" s="129"/>
      <c r="T260" s="129"/>
      <c r="U260" s="129"/>
      <c r="V260" s="129"/>
      <c r="W260" s="129"/>
      <c r="X260" s="129"/>
      <c r="Y260" s="132"/>
      <c r="Z260" s="133"/>
      <c r="AA260" s="133"/>
      <c r="AB260" s="134"/>
      <c r="AE260" s="15" t="str">
        <f t="shared" si="147"/>
        <v>A</v>
      </c>
      <c r="AF260" s="8">
        <f t="shared" ref="AF260:AF299" si="148">G260</f>
        <v>0</v>
      </c>
      <c r="AG260" s="9">
        <f t="shared" si="121"/>
        <v>0</v>
      </c>
      <c r="AH260" s="9" t="str">
        <f t="shared" si="122"/>
        <v/>
      </c>
      <c r="AI260" s="8">
        <f t="shared" ref="AI260:AI299" si="149">K260</f>
        <v>0</v>
      </c>
      <c r="AJ260" s="45">
        <f t="shared" si="123"/>
        <v>0</v>
      </c>
      <c r="AK260" s="45">
        <f t="shared" si="124"/>
        <v>0</v>
      </c>
      <c r="AL260" s="45">
        <f t="shared" si="125"/>
        <v>0</v>
      </c>
      <c r="AM260" s="8" t="str">
        <f t="shared" si="126"/>
        <v>--</v>
      </c>
      <c r="AN260" s="10">
        <f t="shared" si="127"/>
        <v>0</v>
      </c>
      <c r="AO260" s="10">
        <f t="shared" si="128"/>
        <v>0</v>
      </c>
      <c r="AP260" s="10">
        <f t="shared" si="129"/>
        <v>0</v>
      </c>
      <c r="AQ260" s="10">
        <f t="shared" si="130"/>
        <v>0</v>
      </c>
      <c r="AR260" s="10">
        <f t="shared" si="131"/>
        <v>0</v>
      </c>
      <c r="AS260" s="8">
        <v>23</v>
      </c>
      <c r="AT260" s="9">
        <f t="shared" si="132"/>
        <v>0</v>
      </c>
      <c r="AU260" s="11">
        <f t="shared" si="133"/>
        <v>0</v>
      </c>
      <c r="AV260" s="6"/>
      <c r="AW260" s="6"/>
      <c r="AX260" s="6"/>
      <c r="AZ260" t="str">
        <f t="shared" si="134"/>
        <v>{"group":"A",</v>
      </c>
      <c r="BA260" t="str">
        <f t="shared" ref="BA260:BA299" si="150">AF$3&amp;":"&amp;AF260&amp;","</f>
        <v>"lot":0,</v>
      </c>
      <c r="BB260" t="str">
        <f t="shared" si="135"/>
        <v>"name":"0",</v>
      </c>
      <c r="BC260" t="str">
        <f t="shared" si="136"/>
        <v>"team":"",</v>
      </c>
      <c r="BD260" t="str">
        <f t="shared" si="137"/>
        <v>"year":"0",</v>
      </c>
      <c r="BE260" t="str">
        <f t="shared" si="138"/>
        <v>"gender":"0",</v>
      </c>
      <c r="BF260" t="str">
        <f t="shared" si="139"/>
        <v>"gear":"0",</v>
      </c>
      <c r="BG260" t="str">
        <f t="shared" si="140"/>
        <v>"lifts":"0",</v>
      </c>
      <c r="BH260" t="str">
        <f t="shared" si="141"/>
        <v>"division":"--",</v>
      </c>
      <c r="BI260" t="str">
        <f t="shared" si="142"/>
        <v>"wc":"0",</v>
      </c>
      <c r="BJ260" t="str">
        <f t="shared" si="143"/>
        <v>"bw":"",</v>
      </c>
      <c r="BK260" t="str">
        <f t="shared" si="144"/>
        <v>"pb":[0,0,0,0],</v>
      </c>
      <c r="BL260" t="str">
        <f t="shared" ref="BL260:BL299" si="151">AS$3&amp;":"&amp;CHAR(34)&amp;AS260&amp;CHAR(34)&amp;","</f>
        <v>"idx":"23",</v>
      </c>
      <c r="BM260" t="str">
        <f t="shared" ref="BM260:BM299" si="152">AT$3&amp;":"&amp;CHAR(34)&amp;AT260&amp;CHAR(34)&amp;","</f>
        <v>"sr":"0",</v>
      </c>
      <c r="BN260" t="str">
        <f t="shared" ref="BN260:BN299" si="153">AU$3&amp;":"&amp;CHAR(34)&amp;AU260&amp;CHAR(34)&amp;","</f>
        <v>"br":"0",</v>
      </c>
      <c r="BO260" t="str">
        <f t="shared" ref="BO260:BO299" si="154">CHAR(34)&amp;"row"&amp;CHAR(34)&amp;":"&amp;AF260&amp;","</f>
        <v>"row":0,</v>
      </c>
      <c r="BP260" t="s">
        <v>55</v>
      </c>
      <c r="BQ260" t="str">
        <f t="shared" ref="BQ260:BQ299" si="155">SUBSTITUTE(SUBSTITUTE(SUBSTITUTE(BP260,"999.5",IF(ISBLANK(Z260),"0",Z260)),"888.5",IF(ISBLANK(AA260),"0",AA260)),"555.5",IF(ISBLANK(AB260),"0",AB260))</f>
        <v>"sq":{"a1":0,"a2":"","a3":"","s1":0,"s2":0,"s3":0},"bp":{"a1":0,"a2":"","a3":"","s1":0,"s2":0,"s3":0},"dl":{"a1":0,"a2":"","a3":"","s1":0,"s2":0,"s3":0},"sortOrder":0,"act":{}}</v>
      </c>
      <c r="BR260" t="str">
        <f t="shared" si="145"/>
        <v>{"group":"A","lot":0,"name":"0","team":"","year":"0","gender":"0","gear":"0","lifts":"0","division":"--","wc":"0","bw":"","pb":[0,0,0,0],"idx":"23","sr":"0","br":"0","row":0,"sq":{"a1":0,"a2":"","a3":"","s1":0,"s2":0,"s3":0},"bp":{"a1":0,"a2":"","a3":"","s1":0,"s2":0,"s3":0},"dl":{"a1":0,"a2":"","a3":"","s1":0,"s2":0,"s3":0},"sortOrder":0,"act":{}}</v>
      </c>
    </row>
    <row r="261" spans="5:70" x14ac:dyDescent="0.25">
      <c r="E261" s="128"/>
      <c r="F261" s="129"/>
      <c r="G261" s="129"/>
      <c r="H261" s="129"/>
      <c r="I261" s="129"/>
      <c r="J261" s="129"/>
      <c r="K261" s="129"/>
      <c r="L261" s="130"/>
      <c r="M261" s="131"/>
      <c r="N261" s="130"/>
      <c r="O261" s="148">
        <f t="shared" ca="1" si="146"/>
        <v>2023</v>
      </c>
      <c r="P261" s="129"/>
      <c r="Q261" s="129"/>
      <c r="R261" s="129"/>
      <c r="S261" s="129"/>
      <c r="T261" s="129"/>
      <c r="U261" s="129"/>
      <c r="V261" s="129"/>
      <c r="W261" s="129"/>
      <c r="X261" s="129"/>
      <c r="Y261" s="132"/>
      <c r="Z261" s="133"/>
      <c r="AA261" s="133"/>
      <c r="AB261" s="134"/>
      <c r="AE261" s="15" t="str">
        <f t="shared" si="147"/>
        <v>A</v>
      </c>
      <c r="AF261" s="8">
        <f t="shared" si="148"/>
        <v>0</v>
      </c>
      <c r="AG261" s="9">
        <f t="shared" ref="AG261:AG299" si="156">IF(ISBLANK(H261),I261,H261&amp;" " &amp;I261)</f>
        <v>0</v>
      </c>
      <c r="AH261" s="9" t="str">
        <f t="shared" ref="AH261:AH299" si="157">IF(ISBLANK(J261),"",J261)</f>
        <v/>
      </c>
      <c r="AI261" s="8">
        <f t="shared" si="149"/>
        <v>0</v>
      </c>
      <c r="AJ261" s="45">
        <f t="shared" ref="AJ261:AJ299" si="158">N261</f>
        <v>0</v>
      </c>
      <c r="AK261" s="45">
        <f t="shared" ref="AK261:AK299" si="159">L261</f>
        <v>0</v>
      </c>
      <c r="AL261" s="45">
        <f t="shared" ref="AL261:AL299" si="160">M261</f>
        <v>0</v>
      </c>
      <c r="AM261" s="8" t="str">
        <f t="shared" ref="AM261:AM299" si="161">LEFT(N261,1)&amp;"-"&amp;L261&amp;"-"&amp;M261</f>
        <v>--</v>
      </c>
      <c r="AN261" s="10">
        <f t="shared" ref="AN261:AN299" si="162">W261</f>
        <v>0</v>
      </c>
      <c r="AO261" s="10">
        <f t="shared" ref="AO261:AO299" si="163">R261</f>
        <v>0</v>
      </c>
      <c r="AP261" s="10">
        <f t="shared" ref="AP261:AP299" si="164">S261</f>
        <v>0</v>
      </c>
      <c r="AQ261" s="10">
        <f t="shared" ref="AQ261:AQ299" si="165">T261</f>
        <v>0</v>
      </c>
      <c r="AR261" s="10">
        <f t="shared" ref="AR261:AR299" si="166">U261</f>
        <v>0</v>
      </c>
      <c r="AS261" s="8">
        <v>23</v>
      </c>
      <c r="AT261" s="9">
        <f t="shared" ref="AT261:AT299" si="167">X261</f>
        <v>0</v>
      </c>
      <c r="AU261" s="11">
        <f t="shared" ref="AU261:AU299" si="168">Y261</f>
        <v>0</v>
      </c>
      <c r="AV261" s="6"/>
      <c r="AW261" s="6"/>
      <c r="AX261" s="6"/>
      <c r="AZ261" t="str">
        <f t="shared" ref="AZ261:AZ299" si="169">"{"&amp;AE$3&amp;":"&amp;CHAR(34)&amp;AE261&amp;CHAR(34)&amp;","</f>
        <v>{"group":"A",</v>
      </c>
      <c r="BA261" t="str">
        <f t="shared" si="150"/>
        <v>"lot":0,</v>
      </c>
      <c r="BB261" t="str">
        <f t="shared" ref="BB261:BB299" si="170">AG$3&amp;":"&amp;CHAR(34)&amp;AG261&amp;CHAR(34)&amp;","</f>
        <v>"name":"0",</v>
      </c>
      <c r="BC261" t="str">
        <f t="shared" ref="BC261:BC299" si="171">AH$3&amp;":"&amp;CHAR(34)&amp;AH261&amp;CHAR(34)&amp;","</f>
        <v>"team":"",</v>
      </c>
      <c r="BD261" t="str">
        <f t="shared" ref="BD261:BD299" si="172">AI$3&amp;":"&amp;CHAR(34)&amp;AI261&amp;CHAR(34)&amp;","</f>
        <v>"year":"0",</v>
      </c>
      <c r="BE261" t="str">
        <f t="shared" ref="BE261:BE299" si="173">AJ$3&amp;":"&amp;CHAR(34)&amp;AJ261&amp;CHAR(34)&amp;","</f>
        <v>"gender":"0",</v>
      </c>
      <c r="BF261" t="str">
        <f t="shared" ref="BF261:BF299" si="174">AK$3&amp;":"&amp;CHAR(34)&amp;AK261&amp;CHAR(34)&amp;","</f>
        <v>"gear":"0",</v>
      </c>
      <c r="BG261" t="str">
        <f t="shared" ref="BG261:BG299" si="175">AL$3&amp;":"&amp;CHAR(34)&amp;AL261&amp;CHAR(34)&amp;","</f>
        <v>"lifts":"0",</v>
      </c>
      <c r="BH261" t="str">
        <f t="shared" ref="BH261:BH299" si="176">AM$3&amp;":"&amp;CHAR(34)&amp;AM261&amp;CHAR(34)&amp;","</f>
        <v>"division":"--",</v>
      </c>
      <c r="BI261" t="str">
        <f t="shared" ref="BI261:BI299" si="177">AN$3&amp;":"&amp;CHAR(34)&amp;AN261&amp;CHAR(34)&amp;","</f>
        <v>"wc":"0",</v>
      </c>
      <c r="BJ261" t="str">
        <f t="shared" ref="BJ261:BJ299" si="178">CHAR(34)&amp;W$3&amp;CHAR(34)&amp;":"&amp;CHAR(34)&amp;W261&amp;CHAR(34)&amp;","</f>
        <v>"bw":"",</v>
      </c>
      <c r="BK261" t="str">
        <f t="shared" ref="BK261:BK299" si="179">CHAR(34)&amp;"pb"&amp;CHAR(34)&amp;":["&amp;AO261&amp;","&amp;AP261&amp;","&amp;AQ261&amp;","&amp;AR261&amp;"],"</f>
        <v>"pb":[0,0,0,0],</v>
      </c>
      <c r="BL261" t="str">
        <f t="shared" si="151"/>
        <v>"idx":"23",</v>
      </c>
      <c r="BM261" t="str">
        <f t="shared" si="152"/>
        <v>"sr":"0",</v>
      </c>
      <c r="BN261" t="str">
        <f t="shared" si="153"/>
        <v>"br":"0",</v>
      </c>
      <c r="BO261" t="str">
        <f t="shared" si="154"/>
        <v>"row":0,</v>
      </c>
      <c r="BP261" t="s">
        <v>55</v>
      </c>
      <c r="BQ261" t="str">
        <f t="shared" si="155"/>
        <v>"sq":{"a1":0,"a2":"","a3":"","s1":0,"s2":0,"s3":0},"bp":{"a1":0,"a2":"","a3":"","s1":0,"s2":0,"s3":0},"dl":{"a1":0,"a2":"","a3":"","s1":0,"s2":0,"s3":0},"sortOrder":0,"act":{}}</v>
      </c>
      <c r="BR261" t="str">
        <f t="shared" ref="BR261:BR299" si="180">AZ261&amp;BA261&amp;BB261&amp;BC261&amp;BD261&amp;BE261&amp;BF261&amp;BG261&amp;BH261&amp;BI261&amp;BJ261&amp;BK261&amp;BL261&amp;BM261&amp;BN261&amp;BO261&amp;BQ261</f>
        <v>{"group":"A","lot":0,"name":"0","team":"","year":"0","gender":"0","gear":"0","lifts":"0","division":"--","wc":"0","bw":"","pb":[0,0,0,0],"idx":"23","sr":"0","br":"0","row":0,"sq":{"a1":0,"a2":"","a3":"","s1":0,"s2":0,"s3":0},"bp":{"a1":0,"a2":"","a3":"","s1":0,"s2":0,"s3":0},"dl":{"a1":0,"a2":"","a3":"","s1":0,"s2":0,"s3":0},"sortOrder":0,"act":{}}</v>
      </c>
    </row>
    <row r="262" spans="5:70" x14ac:dyDescent="0.25">
      <c r="E262" s="128"/>
      <c r="F262" s="129"/>
      <c r="G262" s="129"/>
      <c r="H262" s="129"/>
      <c r="I262" s="129"/>
      <c r="J262" s="129"/>
      <c r="K262" s="129"/>
      <c r="L262" s="130"/>
      <c r="M262" s="131"/>
      <c r="N262" s="130"/>
      <c r="O262" s="148">
        <f t="shared" ref="O262:O299" ca="1" si="181">YEAR(TODAY())-K262</f>
        <v>2023</v>
      </c>
      <c r="P262" s="129"/>
      <c r="Q262" s="129"/>
      <c r="R262" s="129"/>
      <c r="S262" s="129"/>
      <c r="T262" s="129"/>
      <c r="U262" s="129"/>
      <c r="V262" s="129"/>
      <c r="W262" s="129"/>
      <c r="X262" s="129"/>
      <c r="Y262" s="132"/>
      <c r="Z262" s="133"/>
      <c r="AA262" s="133"/>
      <c r="AB262" s="134"/>
      <c r="AE262" s="15" t="str">
        <f t="shared" si="147"/>
        <v>A</v>
      </c>
      <c r="AF262" s="8">
        <f t="shared" si="148"/>
        <v>0</v>
      </c>
      <c r="AG262" s="9">
        <f t="shared" si="156"/>
        <v>0</v>
      </c>
      <c r="AH262" s="9" t="str">
        <f t="shared" si="157"/>
        <v/>
      </c>
      <c r="AI262" s="8">
        <f t="shared" si="149"/>
        <v>0</v>
      </c>
      <c r="AJ262" s="45">
        <f t="shared" si="158"/>
        <v>0</v>
      </c>
      <c r="AK262" s="45">
        <f t="shared" si="159"/>
        <v>0</v>
      </c>
      <c r="AL262" s="45">
        <f t="shared" si="160"/>
        <v>0</v>
      </c>
      <c r="AM262" s="8" t="str">
        <f t="shared" si="161"/>
        <v>--</v>
      </c>
      <c r="AN262" s="10">
        <f t="shared" si="162"/>
        <v>0</v>
      </c>
      <c r="AO262" s="10">
        <f t="shared" si="163"/>
        <v>0</v>
      </c>
      <c r="AP262" s="10">
        <f t="shared" si="164"/>
        <v>0</v>
      </c>
      <c r="AQ262" s="10">
        <f t="shared" si="165"/>
        <v>0</v>
      </c>
      <c r="AR262" s="10">
        <f t="shared" si="166"/>
        <v>0</v>
      </c>
      <c r="AS262" s="8">
        <v>23</v>
      </c>
      <c r="AT262" s="9">
        <f t="shared" si="167"/>
        <v>0</v>
      </c>
      <c r="AU262" s="11">
        <f t="shared" si="168"/>
        <v>0</v>
      </c>
      <c r="AV262" s="6"/>
      <c r="AW262" s="6"/>
      <c r="AX262" s="6"/>
      <c r="AZ262" t="str">
        <f t="shared" si="169"/>
        <v>{"group":"A",</v>
      </c>
      <c r="BA262" t="str">
        <f t="shared" si="150"/>
        <v>"lot":0,</v>
      </c>
      <c r="BB262" t="str">
        <f t="shared" si="170"/>
        <v>"name":"0",</v>
      </c>
      <c r="BC262" t="str">
        <f t="shared" si="171"/>
        <v>"team":"",</v>
      </c>
      <c r="BD262" t="str">
        <f t="shared" si="172"/>
        <v>"year":"0",</v>
      </c>
      <c r="BE262" t="str">
        <f t="shared" si="173"/>
        <v>"gender":"0",</v>
      </c>
      <c r="BF262" t="str">
        <f t="shared" si="174"/>
        <v>"gear":"0",</v>
      </c>
      <c r="BG262" t="str">
        <f t="shared" si="175"/>
        <v>"lifts":"0",</v>
      </c>
      <c r="BH262" t="str">
        <f t="shared" si="176"/>
        <v>"division":"--",</v>
      </c>
      <c r="BI262" t="str">
        <f t="shared" si="177"/>
        <v>"wc":"0",</v>
      </c>
      <c r="BJ262" t="str">
        <f t="shared" si="178"/>
        <v>"bw":"",</v>
      </c>
      <c r="BK262" t="str">
        <f t="shared" si="179"/>
        <v>"pb":[0,0,0,0],</v>
      </c>
      <c r="BL262" t="str">
        <f t="shared" si="151"/>
        <v>"idx":"23",</v>
      </c>
      <c r="BM262" t="str">
        <f t="shared" si="152"/>
        <v>"sr":"0",</v>
      </c>
      <c r="BN262" t="str">
        <f t="shared" si="153"/>
        <v>"br":"0",</v>
      </c>
      <c r="BO262" t="str">
        <f t="shared" si="154"/>
        <v>"row":0,</v>
      </c>
      <c r="BP262" t="s">
        <v>55</v>
      </c>
      <c r="BQ262" t="str">
        <f t="shared" si="155"/>
        <v>"sq":{"a1":0,"a2":"","a3":"","s1":0,"s2":0,"s3":0},"bp":{"a1":0,"a2":"","a3":"","s1":0,"s2":0,"s3":0},"dl":{"a1":0,"a2":"","a3":"","s1":0,"s2":0,"s3":0},"sortOrder":0,"act":{}}</v>
      </c>
      <c r="BR262" t="str">
        <f t="shared" si="180"/>
        <v>{"group":"A","lot":0,"name":"0","team":"","year":"0","gender":"0","gear":"0","lifts":"0","division":"--","wc":"0","bw":"","pb":[0,0,0,0],"idx":"23","sr":"0","br":"0","row":0,"sq":{"a1":0,"a2":"","a3":"","s1":0,"s2":0,"s3":0},"bp":{"a1":0,"a2":"","a3":"","s1":0,"s2":0,"s3":0},"dl":{"a1":0,"a2":"","a3":"","s1":0,"s2":0,"s3":0},"sortOrder":0,"act":{}}</v>
      </c>
    </row>
    <row r="263" spans="5:70" x14ac:dyDescent="0.25">
      <c r="E263" s="128"/>
      <c r="F263" s="129"/>
      <c r="G263" s="129"/>
      <c r="H263" s="129"/>
      <c r="I263" s="129"/>
      <c r="J263" s="129"/>
      <c r="K263" s="129"/>
      <c r="L263" s="130"/>
      <c r="M263" s="131"/>
      <c r="N263" s="130"/>
      <c r="O263" s="148">
        <f t="shared" ca="1" si="181"/>
        <v>2023</v>
      </c>
      <c r="P263" s="129"/>
      <c r="Q263" s="129"/>
      <c r="R263" s="129"/>
      <c r="S263" s="129"/>
      <c r="T263" s="129"/>
      <c r="U263" s="129"/>
      <c r="V263" s="129"/>
      <c r="W263" s="129"/>
      <c r="X263" s="129"/>
      <c r="Y263" s="132"/>
      <c r="Z263" s="133"/>
      <c r="AA263" s="133"/>
      <c r="AB263" s="134"/>
      <c r="AE263" s="15" t="str">
        <f t="shared" si="147"/>
        <v>A</v>
      </c>
      <c r="AF263" s="8">
        <f t="shared" si="148"/>
        <v>0</v>
      </c>
      <c r="AG263" s="9">
        <f t="shared" si="156"/>
        <v>0</v>
      </c>
      <c r="AH263" s="9" t="str">
        <f t="shared" si="157"/>
        <v/>
      </c>
      <c r="AI263" s="8">
        <f t="shared" si="149"/>
        <v>0</v>
      </c>
      <c r="AJ263" s="45">
        <f t="shared" si="158"/>
        <v>0</v>
      </c>
      <c r="AK263" s="45">
        <f t="shared" si="159"/>
        <v>0</v>
      </c>
      <c r="AL263" s="45">
        <f t="shared" si="160"/>
        <v>0</v>
      </c>
      <c r="AM263" s="8" t="str">
        <f t="shared" si="161"/>
        <v>--</v>
      </c>
      <c r="AN263" s="10">
        <f t="shared" si="162"/>
        <v>0</v>
      </c>
      <c r="AO263" s="10">
        <f t="shared" si="163"/>
        <v>0</v>
      </c>
      <c r="AP263" s="10">
        <f t="shared" si="164"/>
        <v>0</v>
      </c>
      <c r="AQ263" s="10">
        <f t="shared" si="165"/>
        <v>0</v>
      </c>
      <c r="AR263" s="10">
        <f t="shared" si="166"/>
        <v>0</v>
      </c>
      <c r="AS263" s="8">
        <v>23</v>
      </c>
      <c r="AT263" s="9">
        <f t="shared" si="167"/>
        <v>0</v>
      </c>
      <c r="AU263" s="11">
        <f t="shared" si="168"/>
        <v>0</v>
      </c>
      <c r="AV263" s="6"/>
      <c r="AW263" s="6"/>
      <c r="AX263" s="6"/>
      <c r="AZ263" t="str">
        <f t="shared" si="169"/>
        <v>{"group":"A",</v>
      </c>
      <c r="BA263" t="str">
        <f t="shared" si="150"/>
        <v>"lot":0,</v>
      </c>
      <c r="BB263" t="str">
        <f t="shared" si="170"/>
        <v>"name":"0",</v>
      </c>
      <c r="BC263" t="str">
        <f t="shared" si="171"/>
        <v>"team":"",</v>
      </c>
      <c r="BD263" t="str">
        <f t="shared" si="172"/>
        <v>"year":"0",</v>
      </c>
      <c r="BE263" t="str">
        <f t="shared" si="173"/>
        <v>"gender":"0",</v>
      </c>
      <c r="BF263" t="str">
        <f t="shared" si="174"/>
        <v>"gear":"0",</v>
      </c>
      <c r="BG263" t="str">
        <f t="shared" si="175"/>
        <v>"lifts":"0",</v>
      </c>
      <c r="BH263" t="str">
        <f t="shared" si="176"/>
        <v>"division":"--",</v>
      </c>
      <c r="BI263" t="str">
        <f t="shared" si="177"/>
        <v>"wc":"0",</v>
      </c>
      <c r="BJ263" t="str">
        <f t="shared" si="178"/>
        <v>"bw":"",</v>
      </c>
      <c r="BK263" t="str">
        <f t="shared" si="179"/>
        <v>"pb":[0,0,0,0],</v>
      </c>
      <c r="BL263" t="str">
        <f t="shared" si="151"/>
        <v>"idx":"23",</v>
      </c>
      <c r="BM263" t="str">
        <f t="shared" si="152"/>
        <v>"sr":"0",</v>
      </c>
      <c r="BN263" t="str">
        <f t="shared" si="153"/>
        <v>"br":"0",</v>
      </c>
      <c r="BO263" t="str">
        <f t="shared" si="154"/>
        <v>"row":0,</v>
      </c>
      <c r="BP263" t="s">
        <v>55</v>
      </c>
      <c r="BQ263" t="str">
        <f t="shared" si="155"/>
        <v>"sq":{"a1":0,"a2":"","a3":"","s1":0,"s2":0,"s3":0},"bp":{"a1":0,"a2":"","a3":"","s1":0,"s2":0,"s3":0},"dl":{"a1":0,"a2":"","a3":"","s1":0,"s2":0,"s3":0},"sortOrder":0,"act":{}}</v>
      </c>
      <c r="BR263" t="str">
        <f t="shared" si="180"/>
        <v>{"group":"A","lot":0,"name":"0","team":"","year":"0","gender":"0","gear":"0","lifts":"0","division":"--","wc":"0","bw":"","pb":[0,0,0,0],"idx":"23","sr":"0","br":"0","row":0,"sq":{"a1":0,"a2":"","a3":"","s1":0,"s2":0,"s3":0},"bp":{"a1":0,"a2":"","a3":"","s1":0,"s2":0,"s3":0},"dl":{"a1":0,"a2":"","a3":"","s1":0,"s2":0,"s3":0},"sortOrder":0,"act":{}}</v>
      </c>
    </row>
    <row r="264" spans="5:70" x14ac:dyDescent="0.25">
      <c r="E264" s="128"/>
      <c r="F264" s="129"/>
      <c r="G264" s="129"/>
      <c r="H264" s="129"/>
      <c r="I264" s="129"/>
      <c r="J264" s="129"/>
      <c r="K264" s="129"/>
      <c r="L264" s="130"/>
      <c r="M264" s="131"/>
      <c r="N264" s="130"/>
      <c r="O264" s="148">
        <f t="shared" ca="1" si="181"/>
        <v>2023</v>
      </c>
      <c r="P264" s="129"/>
      <c r="Q264" s="129"/>
      <c r="R264" s="129"/>
      <c r="S264" s="129"/>
      <c r="T264" s="129"/>
      <c r="U264" s="129"/>
      <c r="V264" s="129"/>
      <c r="W264" s="129"/>
      <c r="X264" s="129"/>
      <c r="Y264" s="132"/>
      <c r="Z264" s="133"/>
      <c r="AA264" s="133"/>
      <c r="AB264" s="134"/>
      <c r="AE264" s="15" t="str">
        <f t="shared" si="147"/>
        <v>A</v>
      </c>
      <c r="AF264" s="8">
        <f t="shared" si="148"/>
        <v>0</v>
      </c>
      <c r="AG264" s="9">
        <f t="shared" si="156"/>
        <v>0</v>
      </c>
      <c r="AH264" s="9" t="str">
        <f t="shared" si="157"/>
        <v/>
      </c>
      <c r="AI264" s="8">
        <f t="shared" si="149"/>
        <v>0</v>
      </c>
      <c r="AJ264" s="45">
        <f t="shared" si="158"/>
        <v>0</v>
      </c>
      <c r="AK264" s="45">
        <f t="shared" si="159"/>
        <v>0</v>
      </c>
      <c r="AL264" s="45">
        <f t="shared" si="160"/>
        <v>0</v>
      </c>
      <c r="AM264" s="8" t="str">
        <f t="shared" si="161"/>
        <v>--</v>
      </c>
      <c r="AN264" s="10">
        <f t="shared" si="162"/>
        <v>0</v>
      </c>
      <c r="AO264" s="10">
        <f t="shared" si="163"/>
        <v>0</v>
      </c>
      <c r="AP264" s="10">
        <f t="shared" si="164"/>
        <v>0</v>
      </c>
      <c r="AQ264" s="10">
        <f t="shared" si="165"/>
        <v>0</v>
      </c>
      <c r="AR264" s="10">
        <f t="shared" si="166"/>
        <v>0</v>
      </c>
      <c r="AS264" s="8">
        <v>23</v>
      </c>
      <c r="AT264" s="9">
        <f t="shared" si="167"/>
        <v>0</v>
      </c>
      <c r="AU264" s="11">
        <f t="shared" si="168"/>
        <v>0</v>
      </c>
      <c r="AV264" s="6"/>
      <c r="AW264" s="6"/>
      <c r="AX264" s="6"/>
      <c r="AZ264" t="str">
        <f t="shared" si="169"/>
        <v>{"group":"A",</v>
      </c>
      <c r="BA264" t="str">
        <f t="shared" si="150"/>
        <v>"lot":0,</v>
      </c>
      <c r="BB264" t="str">
        <f t="shared" si="170"/>
        <v>"name":"0",</v>
      </c>
      <c r="BC264" t="str">
        <f t="shared" si="171"/>
        <v>"team":"",</v>
      </c>
      <c r="BD264" t="str">
        <f t="shared" si="172"/>
        <v>"year":"0",</v>
      </c>
      <c r="BE264" t="str">
        <f t="shared" si="173"/>
        <v>"gender":"0",</v>
      </c>
      <c r="BF264" t="str">
        <f t="shared" si="174"/>
        <v>"gear":"0",</v>
      </c>
      <c r="BG264" t="str">
        <f t="shared" si="175"/>
        <v>"lifts":"0",</v>
      </c>
      <c r="BH264" t="str">
        <f t="shared" si="176"/>
        <v>"division":"--",</v>
      </c>
      <c r="BI264" t="str">
        <f t="shared" si="177"/>
        <v>"wc":"0",</v>
      </c>
      <c r="BJ264" t="str">
        <f t="shared" si="178"/>
        <v>"bw":"",</v>
      </c>
      <c r="BK264" t="str">
        <f t="shared" si="179"/>
        <v>"pb":[0,0,0,0],</v>
      </c>
      <c r="BL264" t="str">
        <f t="shared" si="151"/>
        <v>"idx":"23",</v>
      </c>
      <c r="BM264" t="str">
        <f t="shared" si="152"/>
        <v>"sr":"0",</v>
      </c>
      <c r="BN264" t="str">
        <f t="shared" si="153"/>
        <v>"br":"0",</v>
      </c>
      <c r="BO264" t="str">
        <f t="shared" si="154"/>
        <v>"row":0,</v>
      </c>
      <c r="BP264" t="s">
        <v>55</v>
      </c>
      <c r="BQ264" t="str">
        <f t="shared" si="155"/>
        <v>"sq":{"a1":0,"a2":"","a3":"","s1":0,"s2":0,"s3":0},"bp":{"a1":0,"a2":"","a3":"","s1":0,"s2":0,"s3":0},"dl":{"a1":0,"a2":"","a3":"","s1":0,"s2":0,"s3":0},"sortOrder":0,"act":{}}</v>
      </c>
      <c r="BR264" t="str">
        <f t="shared" si="180"/>
        <v>{"group":"A","lot":0,"name":"0","team":"","year":"0","gender":"0","gear":"0","lifts":"0","division":"--","wc":"0","bw":"","pb":[0,0,0,0],"idx":"23","sr":"0","br":"0","row":0,"sq":{"a1":0,"a2":"","a3":"","s1":0,"s2":0,"s3":0},"bp":{"a1":0,"a2":"","a3":"","s1":0,"s2":0,"s3":0},"dl":{"a1":0,"a2":"","a3":"","s1":0,"s2":0,"s3":0},"sortOrder":0,"act":{}}</v>
      </c>
    </row>
    <row r="265" spans="5:70" x14ac:dyDescent="0.25">
      <c r="E265" s="128"/>
      <c r="F265" s="129"/>
      <c r="G265" s="129"/>
      <c r="H265" s="129"/>
      <c r="I265" s="129"/>
      <c r="J265" s="129"/>
      <c r="K265" s="129"/>
      <c r="L265" s="130"/>
      <c r="M265" s="131"/>
      <c r="N265" s="130"/>
      <c r="O265" s="148">
        <f t="shared" ca="1" si="181"/>
        <v>2023</v>
      </c>
      <c r="P265" s="129"/>
      <c r="Q265" s="129"/>
      <c r="R265" s="129"/>
      <c r="S265" s="129"/>
      <c r="T265" s="129"/>
      <c r="U265" s="129"/>
      <c r="V265" s="129"/>
      <c r="W265" s="129"/>
      <c r="X265" s="129"/>
      <c r="Y265" s="132"/>
      <c r="Z265" s="133"/>
      <c r="AA265" s="133"/>
      <c r="AB265" s="134"/>
      <c r="AE265" s="15" t="str">
        <f t="shared" si="147"/>
        <v>A</v>
      </c>
      <c r="AF265" s="8">
        <f t="shared" si="148"/>
        <v>0</v>
      </c>
      <c r="AG265" s="9">
        <f t="shared" si="156"/>
        <v>0</v>
      </c>
      <c r="AH265" s="9" t="str">
        <f t="shared" si="157"/>
        <v/>
      </c>
      <c r="AI265" s="8">
        <f t="shared" si="149"/>
        <v>0</v>
      </c>
      <c r="AJ265" s="45">
        <f t="shared" si="158"/>
        <v>0</v>
      </c>
      <c r="AK265" s="45">
        <f t="shared" si="159"/>
        <v>0</v>
      </c>
      <c r="AL265" s="45">
        <f t="shared" si="160"/>
        <v>0</v>
      </c>
      <c r="AM265" s="8" t="str">
        <f t="shared" si="161"/>
        <v>--</v>
      </c>
      <c r="AN265" s="10">
        <f t="shared" si="162"/>
        <v>0</v>
      </c>
      <c r="AO265" s="10">
        <f t="shared" si="163"/>
        <v>0</v>
      </c>
      <c r="AP265" s="10">
        <f t="shared" si="164"/>
        <v>0</v>
      </c>
      <c r="AQ265" s="10">
        <f t="shared" si="165"/>
        <v>0</v>
      </c>
      <c r="AR265" s="10">
        <f t="shared" si="166"/>
        <v>0</v>
      </c>
      <c r="AS265" s="8">
        <v>23</v>
      </c>
      <c r="AT265" s="9">
        <f t="shared" si="167"/>
        <v>0</v>
      </c>
      <c r="AU265" s="11">
        <f t="shared" si="168"/>
        <v>0</v>
      </c>
      <c r="AV265" s="6"/>
      <c r="AW265" s="6"/>
      <c r="AX265" s="6"/>
      <c r="AZ265" t="str">
        <f t="shared" si="169"/>
        <v>{"group":"A",</v>
      </c>
      <c r="BA265" t="str">
        <f t="shared" si="150"/>
        <v>"lot":0,</v>
      </c>
      <c r="BB265" t="str">
        <f t="shared" si="170"/>
        <v>"name":"0",</v>
      </c>
      <c r="BC265" t="str">
        <f t="shared" si="171"/>
        <v>"team":"",</v>
      </c>
      <c r="BD265" t="str">
        <f t="shared" si="172"/>
        <v>"year":"0",</v>
      </c>
      <c r="BE265" t="str">
        <f t="shared" si="173"/>
        <v>"gender":"0",</v>
      </c>
      <c r="BF265" t="str">
        <f t="shared" si="174"/>
        <v>"gear":"0",</v>
      </c>
      <c r="BG265" t="str">
        <f t="shared" si="175"/>
        <v>"lifts":"0",</v>
      </c>
      <c r="BH265" t="str">
        <f t="shared" si="176"/>
        <v>"division":"--",</v>
      </c>
      <c r="BI265" t="str">
        <f t="shared" si="177"/>
        <v>"wc":"0",</v>
      </c>
      <c r="BJ265" t="str">
        <f t="shared" si="178"/>
        <v>"bw":"",</v>
      </c>
      <c r="BK265" t="str">
        <f t="shared" si="179"/>
        <v>"pb":[0,0,0,0],</v>
      </c>
      <c r="BL265" t="str">
        <f t="shared" si="151"/>
        <v>"idx":"23",</v>
      </c>
      <c r="BM265" t="str">
        <f t="shared" si="152"/>
        <v>"sr":"0",</v>
      </c>
      <c r="BN265" t="str">
        <f t="shared" si="153"/>
        <v>"br":"0",</v>
      </c>
      <c r="BO265" t="str">
        <f t="shared" si="154"/>
        <v>"row":0,</v>
      </c>
      <c r="BP265" t="s">
        <v>55</v>
      </c>
      <c r="BQ265" t="str">
        <f t="shared" si="155"/>
        <v>"sq":{"a1":0,"a2":"","a3":"","s1":0,"s2":0,"s3":0},"bp":{"a1":0,"a2":"","a3":"","s1":0,"s2":0,"s3":0},"dl":{"a1":0,"a2":"","a3":"","s1":0,"s2":0,"s3":0},"sortOrder":0,"act":{}}</v>
      </c>
      <c r="BR265" t="str">
        <f t="shared" si="180"/>
        <v>{"group":"A","lot":0,"name":"0","team":"","year":"0","gender":"0","gear":"0","lifts":"0","division":"--","wc":"0","bw":"","pb":[0,0,0,0],"idx":"23","sr":"0","br":"0","row":0,"sq":{"a1":0,"a2":"","a3":"","s1":0,"s2":0,"s3":0},"bp":{"a1":0,"a2":"","a3":"","s1":0,"s2":0,"s3":0},"dl":{"a1":0,"a2":"","a3":"","s1":0,"s2":0,"s3":0},"sortOrder":0,"act":{}}</v>
      </c>
    </row>
    <row r="266" spans="5:70" x14ac:dyDescent="0.25">
      <c r="E266" s="128"/>
      <c r="F266" s="129"/>
      <c r="G266" s="129"/>
      <c r="H266" s="129"/>
      <c r="I266" s="129"/>
      <c r="J266" s="129"/>
      <c r="K266" s="129"/>
      <c r="L266" s="130"/>
      <c r="M266" s="131"/>
      <c r="N266" s="130"/>
      <c r="O266" s="148">
        <f t="shared" ca="1" si="181"/>
        <v>2023</v>
      </c>
      <c r="P266" s="129"/>
      <c r="Q266" s="129"/>
      <c r="R266" s="129"/>
      <c r="S266" s="129"/>
      <c r="T266" s="129"/>
      <c r="U266" s="129"/>
      <c r="V266" s="129"/>
      <c r="W266" s="129"/>
      <c r="X266" s="129"/>
      <c r="Y266" s="132"/>
      <c r="Z266" s="133"/>
      <c r="AA266" s="133"/>
      <c r="AB266" s="134"/>
      <c r="AE266" s="15" t="str">
        <f t="shared" si="147"/>
        <v>A</v>
      </c>
      <c r="AF266" s="8">
        <f t="shared" si="148"/>
        <v>0</v>
      </c>
      <c r="AG266" s="9">
        <f t="shared" si="156"/>
        <v>0</v>
      </c>
      <c r="AH266" s="9" t="str">
        <f t="shared" si="157"/>
        <v/>
      </c>
      <c r="AI266" s="8">
        <f t="shared" si="149"/>
        <v>0</v>
      </c>
      <c r="AJ266" s="45">
        <f t="shared" si="158"/>
        <v>0</v>
      </c>
      <c r="AK266" s="45">
        <f t="shared" si="159"/>
        <v>0</v>
      </c>
      <c r="AL266" s="45">
        <f t="shared" si="160"/>
        <v>0</v>
      </c>
      <c r="AM266" s="8" t="str">
        <f t="shared" si="161"/>
        <v>--</v>
      </c>
      <c r="AN266" s="10">
        <f t="shared" si="162"/>
        <v>0</v>
      </c>
      <c r="AO266" s="10">
        <f t="shared" si="163"/>
        <v>0</v>
      </c>
      <c r="AP266" s="10">
        <f t="shared" si="164"/>
        <v>0</v>
      </c>
      <c r="AQ266" s="10">
        <f t="shared" si="165"/>
        <v>0</v>
      </c>
      <c r="AR266" s="10">
        <f t="shared" si="166"/>
        <v>0</v>
      </c>
      <c r="AS266" s="8">
        <v>23</v>
      </c>
      <c r="AT266" s="9">
        <f t="shared" si="167"/>
        <v>0</v>
      </c>
      <c r="AU266" s="11">
        <f t="shared" si="168"/>
        <v>0</v>
      </c>
      <c r="AV266" s="6"/>
      <c r="AW266" s="6"/>
      <c r="AX266" s="6"/>
      <c r="AZ266" t="str">
        <f t="shared" si="169"/>
        <v>{"group":"A",</v>
      </c>
      <c r="BA266" t="str">
        <f t="shared" si="150"/>
        <v>"lot":0,</v>
      </c>
      <c r="BB266" t="str">
        <f t="shared" si="170"/>
        <v>"name":"0",</v>
      </c>
      <c r="BC266" t="str">
        <f t="shared" si="171"/>
        <v>"team":"",</v>
      </c>
      <c r="BD266" t="str">
        <f t="shared" si="172"/>
        <v>"year":"0",</v>
      </c>
      <c r="BE266" t="str">
        <f t="shared" si="173"/>
        <v>"gender":"0",</v>
      </c>
      <c r="BF266" t="str">
        <f t="shared" si="174"/>
        <v>"gear":"0",</v>
      </c>
      <c r="BG266" t="str">
        <f t="shared" si="175"/>
        <v>"lifts":"0",</v>
      </c>
      <c r="BH266" t="str">
        <f t="shared" si="176"/>
        <v>"division":"--",</v>
      </c>
      <c r="BI266" t="str">
        <f t="shared" si="177"/>
        <v>"wc":"0",</v>
      </c>
      <c r="BJ266" t="str">
        <f t="shared" si="178"/>
        <v>"bw":"",</v>
      </c>
      <c r="BK266" t="str">
        <f t="shared" si="179"/>
        <v>"pb":[0,0,0,0],</v>
      </c>
      <c r="BL266" t="str">
        <f t="shared" si="151"/>
        <v>"idx":"23",</v>
      </c>
      <c r="BM266" t="str">
        <f t="shared" si="152"/>
        <v>"sr":"0",</v>
      </c>
      <c r="BN266" t="str">
        <f t="shared" si="153"/>
        <v>"br":"0",</v>
      </c>
      <c r="BO266" t="str">
        <f t="shared" si="154"/>
        <v>"row":0,</v>
      </c>
      <c r="BP266" t="s">
        <v>55</v>
      </c>
      <c r="BQ266" t="str">
        <f t="shared" si="155"/>
        <v>"sq":{"a1":0,"a2":"","a3":"","s1":0,"s2":0,"s3":0},"bp":{"a1":0,"a2":"","a3":"","s1":0,"s2":0,"s3":0},"dl":{"a1":0,"a2":"","a3":"","s1":0,"s2":0,"s3":0},"sortOrder":0,"act":{}}</v>
      </c>
      <c r="BR266" t="str">
        <f t="shared" si="180"/>
        <v>{"group":"A","lot":0,"name":"0","team":"","year":"0","gender":"0","gear":"0","lifts":"0","division":"--","wc":"0","bw":"","pb":[0,0,0,0],"idx":"23","sr":"0","br":"0","row":0,"sq":{"a1":0,"a2":"","a3":"","s1":0,"s2":0,"s3":0},"bp":{"a1":0,"a2":"","a3":"","s1":0,"s2":0,"s3":0},"dl":{"a1":0,"a2":"","a3":"","s1":0,"s2":0,"s3":0},"sortOrder":0,"act":{}}</v>
      </c>
    </row>
    <row r="267" spans="5:70" x14ac:dyDescent="0.25">
      <c r="E267" s="128"/>
      <c r="F267" s="129"/>
      <c r="G267" s="129"/>
      <c r="H267" s="129"/>
      <c r="I267" s="129"/>
      <c r="J267" s="129"/>
      <c r="K267" s="129"/>
      <c r="L267" s="130"/>
      <c r="M267" s="131"/>
      <c r="N267" s="130"/>
      <c r="O267" s="148">
        <f t="shared" ca="1" si="181"/>
        <v>2023</v>
      </c>
      <c r="P267" s="129"/>
      <c r="Q267" s="129"/>
      <c r="R267" s="129"/>
      <c r="S267" s="129"/>
      <c r="T267" s="129"/>
      <c r="U267" s="129"/>
      <c r="V267" s="129"/>
      <c r="W267" s="129"/>
      <c r="X267" s="129"/>
      <c r="Y267" s="132"/>
      <c r="Z267" s="133"/>
      <c r="AA267" s="133"/>
      <c r="AB267" s="134"/>
      <c r="AE267" s="15" t="str">
        <f t="shared" si="147"/>
        <v>A</v>
      </c>
      <c r="AF267" s="8">
        <f t="shared" si="148"/>
        <v>0</v>
      </c>
      <c r="AG267" s="9">
        <f t="shared" si="156"/>
        <v>0</v>
      </c>
      <c r="AH267" s="9" t="str">
        <f t="shared" si="157"/>
        <v/>
      </c>
      <c r="AI267" s="8">
        <f t="shared" si="149"/>
        <v>0</v>
      </c>
      <c r="AJ267" s="45">
        <f t="shared" si="158"/>
        <v>0</v>
      </c>
      <c r="AK267" s="45">
        <f t="shared" si="159"/>
        <v>0</v>
      </c>
      <c r="AL267" s="45">
        <f t="shared" si="160"/>
        <v>0</v>
      </c>
      <c r="AM267" s="8" t="str">
        <f t="shared" si="161"/>
        <v>--</v>
      </c>
      <c r="AN267" s="10">
        <f t="shared" si="162"/>
        <v>0</v>
      </c>
      <c r="AO267" s="10">
        <f t="shared" si="163"/>
        <v>0</v>
      </c>
      <c r="AP267" s="10">
        <f t="shared" si="164"/>
        <v>0</v>
      </c>
      <c r="AQ267" s="10">
        <f t="shared" si="165"/>
        <v>0</v>
      </c>
      <c r="AR267" s="10">
        <f t="shared" si="166"/>
        <v>0</v>
      </c>
      <c r="AS267" s="8">
        <v>23</v>
      </c>
      <c r="AT267" s="9">
        <f t="shared" si="167"/>
        <v>0</v>
      </c>
      <c r="AU267" s="11">
        <f t="shared" si="168"/>
        <v>0</v>
      </c>
      <c r="AV267" s="6"/>
      <c r="AW267" s="6"/>
      <c r="AX267" s="6"/>
      <c r="AZ267" t="str">
        <f t="shared" si="169"/>
        <v>{"group":"A",</v>
      </c>
      <c r="BA267" t="str">
        <f t="shared" si="150"/>
        <v>"lot":0,</v>
      </c>
      <c r="BB267" t="str">
        <f t="shared" si="170"/>
        <v>"name":"0",</v>
      </c>
      <c r="BC267" t="str">
        <f t="shared" si="171"/>
        <v>"team":"",</v>
      </c>
      <c r="BD267" t="str">
        <f t="shared" si="172"/>
        <v>"year":"0",</v>
      </c>
      <c r="BE267" t="str">
        <f t="shared" si="173"/>
        <v>"gender":"0",</v>
      </c>
      <c r="BF267" t="str">
        <f t="shared" si="174"/>
        <v>"gear":"0",</v>
      </c>
      <c r="BG267" t="str">
        <f t="shared" si="175"/>
        <v>"lifts":"0",</v>
      </c>
      <c r="BH267" t="str">
        <f t="shared" si="176"/>
        <v>"division":"--",</v>
      </c>
      <c r="BI267" t="str">
        <f t="shared" si="177"/>
        <v>"wc":"0",</v>
      </c>
      <c r="BJ267" t="str">
        <f t="shared" si="178"/>
        <v>"bw":"",</v>
      </c>
      <c r="BK267" t="str">
        <f t="shared" si="179"/>
        <v>"pb":[0,0,0,0],</v>
      </c>
      <c r="BL267" t="str">
        <f t="shared" si="151"/>
        <v>"idx":"23",</v>
      </c>
      <c r="BM267" t="str">
        <f t="shared" si="152"/>
        <v>"sr":"0",</v>
      </c>
      <c r="BN267" t="str">
        <f t="shared" si="153"/>
        <v>"br":"0",</v>
      </c>
      <c r="BO267" t="str">
        <f t="shared" si="154"/>
        <v>"row":0,</v>
      </c>
      <c r="BP267" t="s">
        <v>55</v>
      </c>
      <c r="BQ267" t="str">
        <f t="shared" si="155"/>
        <v>"sq":{"a1":0,"a2":"","a3":"","s1":0,"s2":0,"s3":0},"bp":{"a1":0,"a2":"","a3":"","s1":0,"s2":0,"s3":0},"dl":{"a1":0,"a2":"","a3":"","s1":0,"s2":0,"s3":0},"sortOrder":0,"act":{}}</v>
      </c>
      <c r="BR267" t="str">
        <f t="shared" si="180"/>
        <v>{"group":"A","lot":0,"name":"0","team":"","year":"0","gender":"0","gear":"0","lifts":"0","division":"--","wc":"0","bw":"","pb":[0,0,0,0],"idx":"23","sr":"0","br":"0","row":0,"sq":{"a1":0,"a2":"","a3":"","s1":0,"s2":0,"s3":0},"bp":{"a1":0,"a2":"","a3":"","s1":0,"s2":0,"s3":0},"dl":{"a1":0,"a2":"","a3":"","s1":0,"s2":0,"s3":0},"sortOrder":0,"act":{}}</v>
      </c>
    </row>
    <row r="268" spans="5:70" x14ac:dyDescent="0.25">
      <c r="E268" s="128"/>
      <c r="F268" s="129"/>
      <c r="G268" s="129"/>
      <c r="H268" s="129"/>
      <c r="I268" s="129"/>
      <c r="J268" s="129"/>
      <c r="K268" s="129"/>
      <c r="L268" s="130"/>
      <c r="M268" s="131"/>
      <c r="N268" s="130"/>
      <c r="O268" s="148">
        <f t="shared" ca="1" si="181"/>
        <v>2023</v>
      </c>
      <c r="P268" s="129"/>
      <c r="Q268" s="129"/>
      <c r="R268" s="129"/>
      <c r="S268" s="129"/>
      <c r="T268" s="129"/>
      <c r="U268" s="129"/>
      <c r="V268" s="129"/>
      <c r="W268" s="129"/>
      <c r="X268" s="129"/>
      <c r="Y268" s="132"/>
      <c r="Z268" s="133"/>
      <c r="AA268" s="133"/>
      <c r="AB268" s="134"/>
      <c r="AE268" s="15" t="str">
        <f t="shared" si="147"/>
        <v>A</v>
      </c>
      <c r="AF268" s="8">
        <f t="shared" si="148"/>
        <v>0</v>
      </c>
      <c r="AG268" s="9">
        <f t="shared" si="156"/>
        <v>0</v>
      </c>
      <c r="AH268" s="9" t="str">
        <f t="shared" si="157"/>
        <v/>
      </c>
      <c r="AI268" s="8">
        <f t="shared" si="149"/>
        <v>0</v>
      </c>
      <c r="AJ268" s="45">
        <f t="shared" si="158"/>
        <v>0</v>
      </c>
      <c r="AK268" s="45">
        <f t="shared" si="159"/>
        <v>0</v>
      </c>
      <c r="AL268" s="45">
        <f t="shared" si="160"/>
        <v>0</v>
      </c>
      <c r="AM268" s="8" t="str">
        <f t="shared" si="161"/>
        <v>--</v>
      </c>
      <c r="AN268" s="10">
        <f t="shared" si="162"/>
        <v>0</v>
      </c>
      <c r="AO268" s="10">
        <f t="shared" si="163"/>
        <v>0</v>
      </c>
      <c r="AP268" s="10">
        <f t="shared" si="164"/>
        <v>0</v>
      </c>
      <c r="AQ268" s="10">
        <f t="shared" si="165"/>
        <v>0</v>
      </c>
      <c r="AR268" s="10">
        <f t="shared" si="166"/>
        <v>0</v>
      </c>
      <c r="AS268" s="8">
        <v>23</v>
      </c>
      <c r="AT268" s="9">
        <f t="shared" si="167"/>
        <v>0</v>
      </c>
      <c r="AU268" s="11">
        <f t="shared" si="168"/>
        <v>0</v>
      </c>
      <c r="AV268" s="6"/>
      <c r="AW268" s="6"/>
      <c r="AX268" s="6"/>
      <c r="AZ268" t="str">
        <f t="shared" si="169"/>
        <v>{"group":"A",</v>
      </c>
      <c r="BA268" t="str">
        <f t="shared" si="150"/>
        <v>"lot":0,</v>
      </c>
      <c r="BB268" t="str">
        <f t="shared" si="170"/>
        <v>"name":"0",</v>
      </c>
      <c r="BC268" t="str">
        <f t="shared" si="171"/>
        <v>"team":"",</v>
      </c>
      <c r="BD268" t="str">
        <f t="shared" si="172"/>
        <v>"year":"0",</v>
      </c>
      <c r="BE268" t="str">
        <f t="shared" si="173"/>
        <v>"gender":"0",</v>
      </c>
      <c r="BF268" t="str">
        <f t="shared" si="174"/>
        <v>"gear":"0",</v>
      </c>
      <c r="BG268" t="str">
        <f t="shared" si="175"/>
        <v>"lifts":"0",</v>
      </c>
      <c r="BH268" t="str">
        <f t="shared" si="176"/>
        <v>"division":"--",</v>
      </c>
      <c r="BI268" t="str">
        <f t="shared" si="177"/>
        <v>"wc":"0",</v>
      </c>
      <c r="BJ268" t="str">
        <f t="shared" si="178"/>
        <v>"bw":"",</v>
      </c>
      <c r="BK268" t="str">
        <f t="shared" si="179"/>
        <v>"pb":[0,0,0,0],</v>
      </c>
      <c r="BL268" t="str">
        <f t="shared" si="151"/>
        <v>"idx":"23",</v>
      </c>
      <c r="BM268" t="str">
        <f t="shared" si="152"/>
        <v>"sr":"0",</v>
      </c>
      <c r="BN268" t="str">
        <f t="shared" si="153"/>
        <v>"br":"0",</v>
      </c>
      <c r="BO268" t="str">
        <f t="shared" si="154"/>
        <v>"row":0,</v>
      </c>
      <c r="BP268" t="s">
        <v>55</v>
      </c>
      <c r="BQ268" t="str">
        <f t="shared" si="155"/>
        <v>"sq":{"a1":0,"a2":"","a3":"","s1":0,"s2":0,"s3":0},"bp":{"a1":0,"a2":"","a3":"","s1":0,"s2":0,"s3":0},"dl":{"a1":0,"a2":"","a3":"","s1":0,"s2":0,"s3":0},"sortOrder":0,"act":{}}</v>
      </c>
      <c r="BR268" t="str">
        <f t="shared" si="180"/>
        <v>{"group":"A","lot":0,"name":"0","team":"","year":"0","gender":"0","gear":"0","lifts":"0","division":"--","wc":"0","bw":"","pb":[0,0,0,0],"idx":"23","sr":"0","br":"0","row":0,"sq":{"a1":0,"a2":"","a3":"","s1":0,"s2":0,"s3":0},"bp":{"a1":0,"a2":"","a3":"","s1":0,"s2":0,"s3":0},"dl":{"a1":0,"a2":"","a3":"","s1":0,"s2":0,"s3":0},"sortOrder":0,"act":{}}</v>
      </c>
    </row>
    <row r="269" spans="5:70" x14ac:dyDescent="0.25">
      <c r="E269" s="128"/>
      <c r="F269" s="129"/>
      <c r="G269" s="129"/>
      <c r="H269" s="129"/>
      <c r="I269" s="129"/>
      <c r="J269" s="129"/>
      <c r="K269" s="129"/>
      <c r="L269" s="130"/>
      <c r="M269" s="131"/>
      <c r="N269" s="130"/>
      <c r="O269" s="148">
        <f t="shared" ca="1" si="181"/>
        <v>2023</v>
      </c>
      <c r="P269" s="129"/>
      <c r="Q269" s="129"/>
      <c r="R269" s="129"/>
      <c r="S269" s="129"/>
      <c r="T269" s="129"/>
      <c r="U269" s="129"/>
      <c r="V269" s="129"/>
      <c r="W269" s="129"/>
      <c r="X269" s="129"/>
      <c r="Y269" s="132"/>
      <c r="Z269" s="133"/>
      <c r="AA269" s="133"/>
      <c r="AB269" s="134"/>
      <c r="AE269" s="15" t="str">
        <f t="shared" si="147"/>
        <v>A</v>
      </c>
      <c r="AF269" s="8">
        <f t="shared" si="148"/>
        <v>0</v>
      </c>
      <c r="AG269" s="9">
        <f t="shared" si="156"/>
        <v>0</v>
      </c>
      <c r="AH269" s="9" t="str">
        <f t="shared" si="157"/>
        <v/>
      </c>
      <c r="AI269" s="8">
        <f t="shared" si="149"/>
        <v>0</v>
      </c>
      <c r="AJ269" s="45">
        <f t="shared" si="158"/>
        <v>0</v>
      </c>
      <c r="AK269" s="45">
        <f t="shared" si="159"/>
        <v>0</v>
      </c>
      <c r="AL269" s="45">
        <f t="shared" si="160"/>
        <v>0</v>
      </c>
      <c r="AM269" s="8" t="str">
        <f t="shared" si="161"/>
        <v>--</v>
      </c>
      <c r="AN269" s="10">
        <f t="shared" si="162"/>
        <v>0</v>
      </c>
      <c r="AO269" s="10">
        <f t="shared" si="163"/>
        <v>0</v>
      </c>
      <c r="AP269" s="10">
        <f t="shared" si="164"/>
        <v>0</v>
      </c>
      <c r="AQ269" s="10">
        <f t="shared" si="165"/>
        <v>0</v>
      </c>
      <c r="AR269" s="10">
        <f t="shared" si="166"/>
        <v>0</v>
      </c>
      <c r="AS269" s="8">
        <v>23</v>
      </c>
      <c r="AT269" s="9">
        <f t="shared" si="167"/>
        <v>0</v>
      </c>
      <c r="AU269" s="11">
        <f t="shared" si="168"/>
        <v>0</v>
      </c>
      <c r="AV269" s="6"/>
      <c r="AW269" s="6"/>
      <c r="AX269" s="6"/>
      <c r="AZ269" t="str">
        <f t="shared" si="169"/>
        <v>{"group":"A",</v>
      </c>
      <c r="BA269" t="str">
        <f t="shared" si="150"/>
        <v>"lot":0,</v>
      </c>
      <c r="BB269" t="str">
        <f t="shared" si="170"/>
        <v>"name":"0",</v>
      </c>
      <c r="BC269" t="str">
        <f t="shared" si="171"/>
        <v>"team":"",</v>
      </c>
      <c r="BD269" t="str">
        <f t="shared" si="172"/>
        <v>"year":"0",</v>
      </c>
      <c r="BE269" t="str">
        <f t="shared" si="173"/>
        <v>"gender":"0",</v>
      </c>
      <c r="BF269" t="str">
        <f t="shared" si="174"/>
        <v>"gear":"0",</v>
      </c>
      <c r="BG269" t="str">
        <f t="shared" si="175"/>
        <v>"lifts":"0",</v>
      </c>
      <c r="BH269" t="str">
        <f t="shared" si="176"/>
        <v>"division":"--",</v>
      </c>
      <c r="BI269" t="str">
        <f t="shared" si="177"/>
        <v>"wc":"0",</v>
      </c>
      <c r="BJ269" t="str">
        <f t="shared" si="178"/>
        <v>"bw":"",</v>
      </c>
      <c r="BK269" t="str">
        <f t="shared" si="179"/>
        <v>"pb":[0,0,0,0],</v>
      </c>
      <c r="BL269" t="str">
        <f t="shared" si="151"/>
        <v>"idx":"23",</v>
      </c>
      <c r="BM269" t="str">
        <f t="shared" si="152"/>
        <v>"sr":"0",</v>
      </c>
      <c r="BN269" t="str">
        <f t="shared" si="153"/>
        <v>"br":"0",</v>
      </c>
      <c r="BO269" t="str">
        <f t="shared" si="154"/>
        <v>"row":0,</v>
      </c>
      <c r="BP269" t="s">
        <v>55</v>
      </c>
      <c r="BQ269" t="str">
        <f t="shared" si="155"/>
        <v>"sq":{"a1":0,"a2":"","a3":"","s1":0,"s2":0,"s3":0},"bp":{"a1":0,"a2":"","a3":"","s1":0,"s2":0,"s3":0},"dl":{"a1":0,"a2":"","a3":"","s1":0,"s2":0,"s3":0},"sortOrder":0,"act":{}}</v>
      </c>
      <c r="BR269" t="str">
        <f t="shared" si="180"/>
        <v>{"group":"A","lot":0,"name":"0","team":"","year":"0","gender":"0","gear":"0","lifts":"0","division":"--","wc":"0","bw":"","pb":[0,0,0,0],"idx":"23","sr":"0","br":"0","row":0,"sq":{"a1":0,"a2":"","a3":"","s1":0,"s2":0,"s3":0},"bp":{"a1":0,"a2":"","a3":"","s1":0,"s2":0,"s3":0},"dl":{"a1":0,"a2":"","a3":"","s1":0,"s2":0,"s3":0},"sortOrder":0,"act":{}}</v>
      </c>
    </row>
    <row r="270" spans="5:70" x14ac:dyDescent="0.25">
      <c r="E270" s="128"/>
      <c r="F270" s="129"/>
      <c r="G270" s="129"/>
      <c r="H270" s="129"/>
      <c r="I270" s="129"/>
      <c r="J270" s="129"/>
      <c r="K270" s="129"/>
      <c r="L270" s="130"/>
      <c r="M270" s="131"/>
      <c r="N270" s="130"/>
      <c r="O270" s="148">
        <f t="shared" ca="1" si="181"/>
        <v>2023</v>
      </c>
      <c r="P270" s="129"/>
      <c r="Q270" s="129"/>
      <c r="R270" s="129"/>
      <c r="S270" s="129"/>
      <c r="T270" s="129"/>
      <c r="U270" s="129"/>
      <c r="V270" s="129"/>
      <c r="W270" s="129"/>
      <c r="X270" s="129"/>
      <c r="Y270" s="132"/>
      <c r="Z270" s="133"/>
      <c r="AA270" s="133"/>
      <c r="AB270" s="134"/>
      <c r="AE270" s="15" t="str">
        <f t="shared" si="147"/>
        <v>A</v>
      </c>
      <c r="AF270" s="8">
        <f t="shared" si="148"/>
        <v>0</v>
      </c>
      <c r="AG270" s="9">
        <f t="shared" si="156"/>
        <v>0</v>
      </c>
      <c r="AH270" s="9" t="str">
        <f t="shared" si="157"/>
        <v/>
      </c>
      <c r="AI270" s="8">
        <f t="shared" si="149"/>
        <v>0</v>
      </c>
      <c r="AJ270" s="45">
        <f t="shared" si="158"/>
        <v>0</v>
      </c>
      <c r="AK270" s="45">
        <f t="shared" si="159"/>
        <v>0</v>
      </c>
      <c r="AL270" s="45">
        <f t="shared" si="160"/>
        <v>0</v>
      </c>
      <c r="AM270" s="8" t="str">
        <f t="shared" si="161"/>
        <v>--</v>
      </c>
      <c r="AN270" s="10">
        <f t="shared" si="162"/>
        <v>0</v>
      </c>
      <c r="AO270" s="10">
        <f t="shared" si="163"/>
        <v>0</v>
      </c>
      <c r="AP270" s="10">
        <f t="shared" si="164"/>
        <v>0</v>
      </c>
      <c r="AQ270" s="10">
        <f t="shared" si="165"/>
        <v>0</v>
      </c>
      <c r="AR270" s="10">
        <f t="shared" si="166"/>
        <v>0</v>
      </c>
      <c r="AS270" s="8">
        <v>23</v>
      </c>
      <c r="AT270" s="9">
        <f t="shared" si="167"/>
        <v>0</v>
      </c>
      <c r="AU270" s="11">
        <f t="shared" si="168"/>
        <v>0</v>
      </c>
      <c r="AV270" s="6"/>
      <c r="AW270" s="6"/>
      <c r="AX270" s="6"/>
      <c r="AZ270" t="str">
        <f t="shared" si="169"/>
        <v>{"group":"A",</v>
      </c>
      <c r="BA270" t="str">
        <f t="shared" si="150"/>
        <v>"lot":0,</v>
      </c>
      <c r="BB270" t="str">
        <f t="shared" si="170"/>
        <v>"name":"0",</v>
      </c>
      <c r="BC270" t="str">
        <f t="shared" si="171"/>
        <v>"team":"",</v>
      </c>
      <c r="BD270" t="str">
        <f t="shared" si="172"/>
        <v>"year":"0",</v>
      </c>
      <c r="BE270" t="str">
        <f t="shared" si="173"/>
        <v>"gender":"0",</v>
      </c>
      <c r="BF270" t="str">
        <f t="shared" si="174"/>
        <v>"gear":"0",</v>
      </c>
      <c r="BG270" t="str">
        <f t="shared" si="175"/>
        <v>"lifts":"0",</v>
      </c>
      <c r="BH270" t="str">
        <f t="shared" si="176"/>
        <v>"division":"--",</v>
      </c>
      <c r="BI270" t="str">
        <f t="shared" si="177"/>
        <v>"wc":"0",</v>
      </c>
      <c r="BJ270" t="str">
        <f t="shared" si="178"/>
        <v>"bw":"",</v>
      </c>
      <c r="BK270" t="str">
        <f t="shared" si="179"/>
        <v>"pb":[0,0,0,0],</v>
      </c>
      <c r="BL270" t="str">
        <f t="shared" si="151"/>
        <v>"idx":"23",</v>
      </c>
      <c r="BM270" t="str">
        <f t="shared" si="152"/>
        <v>"sr":"0",</v>
      </c>
      <c r="BN270" t="str">
        <f t="shared" si="153"/>
        <v>"br":"0",</v>
      </c>
      <c r="BO270" t="str">
        <f t="shared" si="154"/>
        <v>"row":0,</v>
      </c>
      <c r="BP270" t="s">
        <v>55</v>
      </c>
      <c r="BQ270" t="str">
        <f t="shared" si="155"/>
        <v>"sq":{"a1":0,"a2":"","a3":"","s1":0,"s2":0,"s3":0},"bp":{"a1":0,"a2":"","a3":"","s1":0,"s2":0,"s3":0},"dl":{"a1":0,"a2":"","a3":"","s1":0,"s2":0,"s3":0},"sortOrder":0,"act":{}}</v>
      </c>
      <c r="BR270" t="str">
        <f t="shared" si="180"/>
        <v>{"group":"A","lot":0,"name":"0","team":"","year":"0","gender":"0","gear":"0","lifts":"0","division":"--","wc":"0","bw":"","pb":[0,0,0,0],"idx":"23","sr":"0","br":"0","row":0,"sq":{"a1":0,"a2":"","a3":"","s1":0,"s2":0,"s3":0},"bp":{"a1":0,"a2":"","a3":"","s1":0,"s2":0,"s3":0},"dl":{"a1":0,"a2":"","a3":"","s1":0,"s2":0,"s3":0},"sortOrder":0,"act":{}}</v>
      </c>
    </row>
    <row r="271" spans="5:70" x14ac:dyDescent="0.25">
      <c r="E271" s="128"/>
      <c r="F271" s="129"/>
      <c r="G271" s="129"/>
      <c r="H271" s="129"/>
      <c r="I271" s="129"/>
      <c r="J271" s="129"/>
      <c r="K271" s="129"/>
      <c r="L271" s="130"/>
      <c r="M271" s="131"/>
      <c r="N271" s="130"/>
      <c r="O271" s="148">
        <f t="shared" ca="1" si="181"/>
        <v>2023</v>
      </c>
      <c r="P271" s="129"/>
      <c r="Q271" s="129"/>
      <c r="R271" s="129"/>
      <c r="S271" s="129"/>
      <c r="T271" s="129"/>
      <c r="U271" s="129"/>
      <c r="V271" s="129"/>
      <c r="W271" s="129"/>
      <c r="X271" s="129"/>
      <c r="Y271" s="132"/>
      <c r="Z271" s="133"/>
      <c r="AA271" s="133"/>
      <c r="AB271" s="134"/>
      <c r="AE271" s="15" t="str">
        <f t="shared" si="147"/>
        <v>A</v>
      </c>
      <c r="AF271" s="8">
        <f t="shared" si="148"/>
        <v>0</v>
      </c>
      <c r="AG271" s="9">
        <f t="shared" si="156"/>
        <v>0</v>
      </c>
      <c r="AH271" s="9" t="str">
        <f t="shared" si="157"/>
        <v/>
      </c>
      <c r="AI271" s="8">
        <f t="shared" si="149"/>
        <v>0</v>
      </c>
      <c r="AJ271" s="45">
        <f t="shared" si="158"/>
        <v>0</v>
      </c>
      <c r="AK271" s="45">
        <f t="shared" si="159"/>
        <v>0</v>
      </c>
      <c r="AL271" s="45">
        <f t="shared" si="160"/>
        <v>0</v>
      </c>
      <c r="AM271" s="8" t="str">
        <f t="shared" si="161"/>
        <v>--</v>
      </c>
      <c r="AN271" s="10">
        <f t="shared" si="162"/>
        <v>0</v>
      </c>
      <c r="AO271" s="10">
        <f t="shared" si="163"/>
        <v>0</v>
      </c>
      <c r="AP271" s="10">
        <f t="shared" si="164"/>
        <v>0</v>
      </c>
      <c r="AQ271" s="10">
        <f t="shared" si="165"/>
        <v>0</v>
      </c>
      <c r="AR271" s="10">
        <f t="shared" si="166"/>
        <v>0</v>
      </c>
      <c r="AS271" s="8">
        <v>23</v>
      </c>
      <c r="AT271" s="9">
        <f t="shared" si="167"/>
        <v>0</v>
      </c>
      <c r="AU271" s="11">
        <f t="shared" si="168"/>
        <v>0</v>
      </c>
      <c r="AV271" s="6"/>
      <c r="AW271" s="6"/>
      <c r="AX271" s="6"/>
      <c r="AZ271" t="str">
        <f t="shared" si="169"/>
        <v>{"group":"A",</v>
      </c>
      <c r="BA271" t="str">
        <f t="shared" si="150"/>
        <v>"lot":0,</v>
      </c>
      <c r="BB271" t="str">
        <f t="shared" si="170"/>
        <v>"name":"0",</v>
      </c>
      <c r="BC271" t="str">
        <f t="shared" si="171"/>
        <v>"team":"",</v>
      </c>
      <c r="BD271" t="str">
        <f t="shared" si="172"/>
        <v>"year":"0",</v>
      </c>
      <c r="BE271" t="str">
        <f t="shared" si="173"/>
        <v>"gender":"0",</v>
      </c>
      <c r="BF271" t="str">
        <f t="shared" si="174"/>
        <v>"gear":"0",</v>
      </c>
      <c r="BG271" t="str">
        <f t="shared" si="175"/>
        <v>"lifts":"0",</v>
      </c>
      <c r="BH271" t="str">
        <f t="shared" si="176"/>
        <v>"division":"--",</v>
      </c>
      <c r="BI271" t="str">
        <f t="shared" si="177"/>
        <v>"wc":"0",</v>
      </c>
      <c r="BJ271" t="str">
        <f t="shared" si="178"/>
        <v>"bw":"",</v>
      </c>
      <c r="BK271" t="str">
        <f t="shared" si="179"/>
        <v>"pb":[0,0,0,0],</v>
      </c>
      <c r="BL271" t="str">
        <f t="shared" si="151"/>
        <v>"idx":"23",</v>
      </c>
      <c r="BM271" t="str">
        <f t="shared" si="152"/>
        <v>"sr":"0",</v>
      </c>
      <c r="BN271" t="str">
        <f t="shared" si="153"/>
        <v>"br":"0",</v>
      </c>
      <c r="BO271" t="str">
        <f t="shared" si="154"/>
        <v>"row":0,</v>
      </c>
      <c r="BP271" t="s">
        <v>55</v>
      </c>
      <c r="BQ271" t="str">
        <f t="shared" si="155"/>
        <v>"sq":{"a1":0,"a2":"","a3":"","s1":0,"s2":0,"s3":0},"bp":{"a1":0,"a2":"","a3":"","s1":0,"s2":0,"s3":0},"dl":{"a1":0,"a2":"","a3":"","s1":0,"s2":0,"s3":0},"sortOrder":0,"act":{}}</v>
      </c>
      <c r="BR271" t="str">
        <f t="shared" si="180"/>
        <v>{"group":"A","lot":0,"name":"0","team":"","year":"0","gender":"0","gear":"0","lifts":"0","division":"--","wc":"0","bw":"","pb":[0,0,0,0],"idx":"23","sr":"0","br":"0","row":0,"sq":{"a1":0,"a2":"","a3":"","s1":0,"s2":0,"s3":0},"bp":{"a1":0,"a2":"","a3":"","s1":0,"s2":0,"s3":0},"dl":{"a1":0,"a2":"","a3":"","s1":0,"s2":0,"s3":0},"sortOrder":0,"act":{}}</v>
      </c>
    </row>
    <row r="272" spans="5:70" x14ac:dyDescent="0.25">
      <c r="E272" s="128"/>
      <c r="F272" s="129"/>
      <c r="G272" s="129"/>
      <c r="H272" s="129"/>
      <c r="I272" s="129"/>
      <c r="J272" s="129"/>
      <c r="K272" s="129"/>
      <c r="L272" s="130"/>
      <c r="M272" s="131"/>
      <c r="N272" s="130"/>
      <c r="O272" s="148">
        <f t="shared" ca="1" si="181"/>
        <v>2023</v>
      </c>
      <c r="P272" s="129"/>
      <c r="Q272" s="129"/>
      <c r="R272" s="129"/>
      <c r="S272" s="129"/>
      <c r="T272" s="129"/>
      <c r="U272" s="129"/>
      <c r="V272" s="129"/>
      <c r="W272" s="129"/>
      <c r="X272" s="129"/>
      <c r="Y272" s="132"/>
      <c r="Z272" s="133"/>
      <c r="AA272" s="133"/>
      <c r="AB272" s="134"/>
      <c r="AE272" s="15" t="str">
        <f t="shared" si="147"/>
        <v>A</v>
      </c>
      <c r="AF272" s="8">
        <f t="shared" si="148"/>
        <v>0</v>
      </c>
      <c r="AG272" s="9">
        <f t="shared" si="156"/>
        <v>0</v>
      </c>
      <c r="AH272" s="9" t="str">
        <f t="shared" si="157"/>
        <v/>
      </c>
      <c r="AI272" s="8">
        <f t="shared" si="149"/>
        <v>0</v>
      </c>
      <c r="AJ272" s="45">
        <f t="shared" si="158"/>
        <v>0</v>
      </c>
      <c r="AK272" s="45">
        <f t="shared" si="159"/>
        <v>0</v>
      </c>
      <c r="AL272" s="45">
        <f t="shared" si="160"/>
        <v>0</v>
      </c>
      <c r="AM272" s="8" t="str">
        <f t="shared" si="161"/>
        <v>--</v>
      </c>
      <c r="AN272" s="10">
        <f t="shared" si="162"/>
        <v>0</v>
      </c>
      <c r="AO272" s="10">
        <f t="shared" si="163"/>
        <v>0</v>
      </c>
      <c r="AP272" s="10">
        <f t="shared" si="164"/>
        <v>0</v>
      </c>
      <c r="AQ272" s="10">
        <f t="shared" si="165"/>
        <v>0</v>
      </c>
      <c r="AR272" s="10">
        <f t="shared" si="166"/>
        <v>0</v>
      </c>
      <c r="AS272" s="8">
        <v>23</v>
      </c>
      <c r="AT272" s="9">
        <f t="shared" si="167"/>
        <v>0</v>
      </c>
      <c r="AU272" s="11">
        <f t="shared" si="168"/>
        <v>0</v>
      </c>
      <c r="AV272" s="6"/>
      <c r="AW272" s="6"/>
      <c r="AX272" s="6"/>
      <c r="AZ272" t="str">
        <f t="shared" si="169"/>
        <v>{"group":"A",</v>
      </c>
      <c r="BA272" t="str">
        <f t="shared" si="150"/>
        <v>"lot":0,</v>
      </c>
      <c r="BB272" t="str">
        <f t="shared" si="170"/>
        <v>"name":"0",</v>
      </c>
      <c r="BC272" t="str">
        <f t="shared" si="171"/>
        <v>"team":"",</v>
      </c>
      <c r="BD272" t="str">
        <f t="shared" si="172"/>
        <v>"year":"0",</v>
      </c>
      <c r="BE272" t="str">
        <f t="shared" si="173"/>
        <v>"gender":"0",</v>
      </c>
      <c r="BF272" t="str">
        <f t="shared" si="174"/>
        <v>"gear":"0",</v>
      </c>
      <c r="BG272" t="str">
        <f t="shared" si="175"/>
        <v>"lifts":"0",</v>
      </c>
      <c r="BH272" t="str">
        <f t="shared" si="176"/>
        <v>"division":"--",</v>
      </c>
      <c r="BI272" t="str">
        <f t="shared" si="177"/>
        <v>"wc":"0",</v>
      </c>
      <c r="BJ272" t="str">
        <f t="shared" si="178"/>
        <v>"bw":"",</v>
      </c>
      <c r="BK272" t="str">
        <f t="shared" si="179"/>
        <v>"pb":[0,0,0,0],</v>
      </c>
      <c r="BL272" t="str">
        <f t="shared" si="151"/>
        <v>"idx":"23",</v>
      </c>
      <c r="BM272" t="str">
        <f t="shared" si="152"/>
        <v>"sr":"0",</v>
      </c>
      <c r="BN272" t="str">
        <f t="shared" si="153"/>
        <v>"br":"0",</v>
      </c>
      <c r="BO272" t="str">
        <f t="shared" si="154"/>
        <v>"row":0,</v>
      </c>
      <c r="BP272" t="s">
        <v>55</v>
      </c>
      <c r="BQ272" t="str">
        <f t="shared" si="155"/>
        <v>"sq":{"a1":0,"a2":"","a3":"","s1":0,"s2":0,"s3":0},"bp":{"a1":0,"a2":"","a3":"","s1":0,"s2":0,"s3":0},"dl":{"a1":0,"a2":"","a3":"","s1":0,"s2":0,"s3":0},"sortOrder":0,"act":{}}</v>
      </c>
      <c r="BR272" t="str">
        <f t="shared" si="180"/>
        <v>{"group":"A","lot":0,"name":"0","team":"","year":"0","gender":"0","gear":"0","lifts":"0","division":"--","wc":"0","bw":"","pb":[0,0,0,0],"idx":"23","sr":"0","br":"0","row":0,"sq":{"a1":0,"a2":"","a3":"","s1":0,"s2":0,"s3":0},"bp":{"a1":0,"a2":"","a3":"","s1":0,"s2":0,"s3":0},"dl":{"a1":0,"a2":"","a3":"","s1":0,"s2":0,"s3":0},"sortOrder":0,"act":{}}</v>
      </c>
    </row>
    <row r="273" spans="5:70" x14ac:dyDescent="0.25">
      <c r="E273" s="128"/>
      <c r="F273" s="129"/>
      <c r="G273" s="129"/>
      <c r="H273" s="129"/>
      <c r="I273" s="129"/>
      <c r="J273" s="129"/>
      <c r="K273" s="129"/>
      <c r="L273" s="130"/>
      <c r="M273" s="131"/>
      <c r="N273" s="130"/>
      <c r="O273" s="148">
        <f t="shared" ca="1" si="181"/>
        <v>2023</v>
      </c>
      <c r="P273" s="129"/>
      <c r="Q273" s="129"/>
      <c r="R273" s="129"/>
      <c r="S273" s="129"/>
      <c r="T273" s="129"/>
      <c r="U273" s="129"/>
      <c r="V273" s="129"/>
      <c r="W273" s="129"/>
      <c r="X273" s="129"/>
      <c r="Y273" s="132"/>
      <c r="Z273" s="133"/>
      <c r="AA273" s="133"/>
      <c r="AB273" s="134"/>
      <c r="AE273" s="15" t="str">
        <f t="shared" si="147"/>
        <v>A</v>
      </c>
      <c r="AF273" s="8">
        <f t="shared" si="148"/>
        <v>0</v>
      </c>
      <c r="AG273" s="9">
        <f t="shared" si="156"/>
        <v>0</v>
      </c>
      <c r="AH273" s="9" t="str">
        <f t="shared" si="157"/>
        <v/>
      </c>
      <c r="AI273" s="8">
        <f t="shared" si="149"/>
        <v>0</v>
      </c>
      <c r="AJ273" s="45">
        <f t="shared" si="158"/>
        <v>0</v>
      </c>
      <c r="AK273" s="45">
        <f t="shared" si="159"/>
        <v>0</v>
      </c>
      <c r="AL273" s="45">
        <f t="shared" si="160"/>
        <v>0</v>
      </c>
      <c r="AM273" s="8" t="str">
        <f t="shared" si="161"/>
        <v>--</v>
      </c>
      <c r="AN273" s="10">
        <f t="shared" si="162"/>
        <v>0</v>
      </c>
      <c r="AO273" s="10">
        <f t="shared" si="163"/>
        <v>0</v>
      </c>
      <c r="AP273" s="10">
        <f t="shared" si="164"/>
        <v>0</v>
      </c>
      <c r="AQ273" s="10">
        <f t="shared" si="165"/>
        <v>0</v>
      </c>
      <c r="AR273" s="10">
        <f t="shared" si="166"/>
        <v>0</v>
      </c>
      <c r="AS273" s="8">
        <v>23</v>
      </c>
      <c r="AT273" s="9">
        <f t="shared" si="167"/>
        <v>0</v>
      </c>
      <c r="AU273" s="11">
        <f t="shared" si="168"/>
        <v>0</v>
      </c>
      <c r="AV273" s="6"/>
      <c r="AW273" s="6"/>
      <c r="AX273" s="6"/>
      <c r="AZ273" t="str">
        <f t="shared" si="169"/>
        <v>{"group":"A",</v>
      </c>
      <c r="BA273" t="str">
        <f t="shared" si="150"/>
        <v>"lot":0,</v>
      </c>
      <c r="BB273" t="str">
        <f t="shared" si="170"/>
        <v>"name":"0",</v>
      </c>
      <c r="BC273" t="str">
        <f t="shared" si="171"/>
        <v>"team":"",</v>
      </c>
      <c r="BD273" t="str">
        <f t="shared" si="172"/>
        <v>"year":"0",</v>
      </c>
      <c r="BE273" t="str">
        <f t="shared" si="173"/>
        <v>"gender":"0",</v>
      </c>
      <c r="BF273" t="str">
        <f t="shared" si="174"/>
        <v>"gear":"0",</v>
      </c>
      <c r="BG273" t="str">
        <f t="shared" si="175"/>
        <v>"lifts":"0",</v>
      </c>
      <c r="BH273" t="str">
        <f t="shared" si="176"/>
        <v>"division":"--",</v>
      </c>
      <c r="BI273" t="str">
        <f t="shared" si="177"/>
        <v>"wc":"0",</v>
      </c>
      <c r="BJ273" t="str">
        <f t="shared" si="178"/>
        <v>"bw":"",</v>
      </c>
      <c r="BK273" t="str">
        <f t="shared" si="179"/>
        <v>"pb":[0,0,0,0],</v>
      </c>
      <c r="BL273" t="str">
        <f t="shared" si="151"/>
        <v>"idx":"23",</v>
      </c>
      <c r="BM273" t="str">
        <f t="shared" si="152"/>
        <v>"sr":"0",</v>
      </c>
      <c r="BN273" t="str">
        <f t="shared" si="153"/>
        <v>"br":"0",</v>
      </c>
      <c r="BO273" t="str">
        <f t="shared" si="154"/>
        <v>"row":0,</v>
      </c>
      <c r="BP273" t="s">
        <v>55</v>
      </c>
      <c r="BQ273" t="str">
        <f t="shared" si="155"/>
        <v>"sq":{"a1":0,"a2":"","a3":"","s1":0,"s2":0,"s3":0},"bp":{"a1":0,"a2":"","a3":"","s1":0,"s2":0,"s3":0},"dl":{"a1":0,"a2":"","a3":"","s1":0,"s2":0,"s3":0},"sortOrder":0,"act":{}}</v>
      </c>
      <c r="BR273" t="str">
        <f t="shared" si="180"/>
        <v>{"group":"A","lot":0,"name":"0","team":"","year":"0","gender":"0","gear":"0","lifts":"0","division":"--","wc":"0","bw":"","pb":[0,0,0,0],"idx":"23","sr":"0","br":"0","row":0,"sq":{"a1":0,"a2":"","a3":"","s1":0,"s2":0,"s3":0},"bp":{"a1":0,"a2":"","a3":"","s1":0,"s2":0,"s3":0},"dl":{"a1":0,"a2":"","a3":"","s1":0,"s2":0,"s3":0},"sortOrder":0,"act":{}}</v>
      </c>
    </row>
    <row r="274" spans="5:70" x14ac:dyDescent="0.25">
      <c r="E274" s="128"/>
      <c r="F274" s="129"/>
      <c r="G274" s="129"/>
      <c r="H274" s="129"/>
      <c r="I274" s="129"/>
      <c r="J274" s="129"/>
      <c r="K274" s="129"/>
      <c r="L274" s="130"/>
      <c r="M274" s="131"/>
      <c r="N274" s="130"/>
      <c r="O274" s="148">
        <f t="shared" ca="1" si="181"/>
        <v>2023</v>
      </c>
      <c r="P274" s="129"/>
      <c r="Q274" s="129"/>
      <c r="R274" s="129"/>
      <c r="S274" s="129"/>
      <c r="T274" s="129"/>
      <c r="U274" s="129"/>
      <c r="V274" s="129"/>
      <c r="W274" s="129"/>
      <c r="X274" s="129"/>
      <c r="Y274" s="132"/>
      <c r="Z274" s="133"/>
      <c r="AA274" s="133"/>
      <c r="AB274" s="134"/>
      <c r="AE274" s="15" t="str">
        <f t="shared" si="147"/>
        <v>A</v>
      </c>
      <c r="AF274" s="8">
        <f t="shared" si="148"/>
        <v>0</v>
      </c>
      <c r="AG274" s="9">
        <f t="shared" si="156"/>
        <v>0</v>
      </c>
      <c r="AH274" s="9" t="str">
        <f t="shared" si="157"/>
        <v/>
      </c>
      <c r="AI274" s="8">
        <f t="shared" si="149"/>
        <v>0</v>
      </c>
      <c r="AJ274" s="45">
        <f t="shared" si="158"/>
        <v>0</v>
      </c>
      <c r="AK274" s="45">
        <f t="shared" si="159"/>
        <v>0</v>
      </c>
      <c r="AL274" s="45">
        <f t="shared" si="160"/>
        <v>0</v>
      </c>
      <c r="AM274" s="8" t="str">
        <f t="shared" si="161"/>
        <v>--</v>
      </c>
      <c r="AN274" s="10">
        <f t="shared" si="162"/>
        <v>0</v>
      </c>
      <c r="AO274" s="10">
        <f t="shared" si="163"/>
        <v>0</v>
      </c>
      <c r="AP274" s="10">
        <f t="shared" si="164"/>
        <v>0</v>
      </c>
      <c r="AQ274" s="10">
        <f t="shared" si="165"/>
        <v>0</v>
      </c>
      <c r="AR274" s="10">
        <f t="shared" si="166"/>
        <v>0</v>
      </c>
      <c r="AS274" s="8">
        <v>23</v>
      </c>
      <c r="AT274" s="9">
        <f t="shared" si="167"/>
        <v>0</v>
      </c>
      <c r="AU274" s="11">
        <f t="shared" si="168"/>
        <v>0</v>
      </c>
      <c r="AV274" s="6"/>
      <c r="AW274" s="6"/>
      <c r="AX274" s="6"/>
      <c r="AZ274" t="str">
        <f t="shared" si="169"/>
        <v>{"group":"A",</v>
      </c>
      <c r="BA274" t="str">
        <f t="shared" si="150"/>
        <v>"lot":0,</v>
      </c>
      <c r="BB274" t="str">
        <f t="shared" si="170"/>
        <v>"name":"0",</v>
      </c>
      <c r="BC274" t="str">
        <f t="shared" si="171"/>
        <v>"team":"",</v>
      </c>
      <c r="BD274" t="str">
        <f t="shared" si="172"/>
        <v>"year":"0",</v>
      </c>
      <c r="BE274" t="str">
        <f t="shared" si="173"/>
        <v>"gender":"0",</v>
      </c>
      <c r="BF274" t="str">
        <f t="shared" si="174"/>
        <v>"gear":"0",</v>
      </c>
      <c r="BG274" t="str">
        <f t="shared" si="175"/>
        <v>"lifts":"0",</v>
      </c>
      <c r="BH274" t="str">
        <f t="shared" si="176"/>
        <v>"division":"--",</v>
      </c>
      <c r="BI274" t="str">
        <f t="shared" si="177"/>
        <v>"wc":"0",</v>
      </c>
      <c r="BJ274" t="str">
        <f t="shared" si="178"/>
        <v>"bw":"",</v>
      </c>
      <c r="BK274" t="str">
        <f t="shared" si="179"/>
        <v>"pb":[0,0,0,0],</v>
      </c>
      <c r="BL274" t="str">
        <f t="shared" si="151"/>
        <v>"idx":"23",</v>
      </c>
      <c r="BM274" t="str">
        <f t="shared" si="152"/>
        <v>"sr":"0",</v>
      </c>
      <c r="BN274" t="str">
        <f t="shared" si="153"/>
        <v>"br":"0",</v>
      </c>
      <c r="BO274" t="str">
        <f t="shared" si="154"/>
        <v>"row":0,</v>
      </c>
      <c r="BP274" t="s">
        <v>55</v>
      </c>
      <c r="BQ274" t="str">
        <f t="shared" si="155"/>
        <v>"sq":{"a1":0,"a2":"","a3":"","s1":0,"s2":0,"s3":0},"bp":{"a1":0,"a2":"","a3":"","s1":0,"s2":0,"s3":0},"dl":{"a1":0,"a2":"","a3":"","s1":0,"s2":0,"s3":0},"sortOrder":0,"act":{}}</v>
      </c>
      <c r="BR274" t="str">
        <f t="shared" si="180"/>
        <v>{"group":"A","lot":0,"name":"0","team":"","year":"0","gender":"0","gear":"0","lifts":"0","division":"--","wc":"0","bw":"","pb":[0,0,0,0],"idx":"23","sr":"0","br":"0","row":0,"sq":{"a1":0,"a2":"","a3":"","s1":0,"s2":0,"s3":0},"bp":{"a1":0,"a2":"","a3":"","s1":0,"s2":0,"s3":0},"dl":{"a1":0,"a2":"","a3":"","s1":0,"s2":0,"s3":0},"sortOrder":0,"act":{}}</v>
      </c>
    </row>
    <row r="275" spans="5:70" x14ac:dyDescent="0.25">
      <c r="E275" s="128"/>
      <c r="F275" s="129"/>
      <c r="G275" s="129"/>
      <c r="H275" s="129"/>
      <c r="I275" s="129"/>
      <c r="J275" s="129"/>
      <c r="K275" s="129"/>
      <c r="L275" s="130"/>
      <c r="M275" s="131"/>
      <c r="N275" s="130"/>
      <c r="O275" s="148">
        <f t="shared" ca="1" si="181"/>
        <v>2023</v>
      </c>
      <c r="P275" s="129"/>
      <c r="Q275" s="129"/>
      <c r="R275" s="129"/>
      <c r="S275" s="129"/>
      <c r="T275" s="129"/>
      <c r="U275" s="129"/>
      <c r="V275" s="129"/>
      <c r="W275" s="129"/>
      <c r="X275" s="129"/>
      <c r="Y275" s="132"/>
      <c r="Z275" s="133"/>
      <c r="AA275" s="133"/>
      <c r="AB275" s="134"/>
      <c r="AE275" s="15" t="str">
        <f t="shared" si="147"/>
        <v>A</v>
      </c>
      <c r="AF275" s="8">
        <f t="shared" si="148"/>
        <v>0</v>
      </c>
      <c r="AG275" s="9">
        <f t="shared" si="156"/>
        <v>0</v>
      </c>
      <c r="AH275" s="9" t="str">
        <f t="shared" si="157"/>
        <v/>
      </c>
      <c r="AI275" s="8">
        <f t="shared" si="149"/>
        <v>0</v>
      </c>
      <c r="AJ275" s="45">
        <f t="shared" si="158"/>
        <v>0</v>
      </c>
      <c r="AK275" s="45">
        <f t="shared" si="159"/>
        <v>0</v>
      </c>
      <c r="AL275" s="45">
        <f t="shared" si="160"/>
        <v>0</v>
      </c>
      <c r="AM275" s="8" t="str">
        <f t="shared" si="161"/>
        <v>--</v>
      </c>
      <c r="AN275" s="10">
        <f t="shared" si="162"/>
        <v>0</v>
      </c>
      <c r="AO275" s="10">
        <f t="shared" si="163"/>
        <v>0</v>
      </c>
      <c r="AP275" s="10">
        <f t="shared" si="164"/>
        <v>0</v>
      </c>
      <c r="AQ275" s="10">
        <f t="shared" si="165"/>
        <v>0</v>
      </c>
      <c r="AR275" s="10">
        <f t="shared" si="166"/>
        <v>0</v>
      </c>
      <c r="AS275" s="8">
        <v>23</v>
      </c>
      <c r="AT275" s="9">
        <f t="shared" si="167"/>
        <v>0</v>
      </c>
      <c r="AU275" s="11">
        <f t="shared" si="168"/>
        <v>0</v>
      </c>
      <c r="AV275" s="6"/>
      <c r="AW275" s="6"/>
      <c r="AX275" s="6"/>
      <c r="AZ275" t="str">
        <f t="shared" si="169"/>
        <v>{"group":"A",</v>
      </c>
      <c r="BA275" t="str">
        <f t="shared" si="150"/>
        <v>"lot":0,</v>
      </c>
      <c r="BB275" t="str">
        <f t="shared" si="170"/>
        <v>"name":"0",</v>
      </c>
      <c r="BC275" t="str">
        <f t="shared" si="171"/>
        <v>"team":"",</v>
      </c>
      <c r="BD275" t="str">
        <f t="shared" si="172"/>
        <v>"year":"0",</v>
      </c>
      <c r="BE275" t="str">
        <f t="shared" si="173"/>
        <v>"gender":"0",</v>
      </c>
      <c r="BF275" t="str">
        <f t="shared" si="174"/>
        <v>"gear":"0",</v>
      </c>
      <c r="BG275" t="str">
        <f t="shared" si="175"/>
        <v>"lifts":"0",</v>
      </c>
      <c r="BH275" t="str">
        <f t="shared" si="176"/>
        <v>"division":"--",</v>
      </c>
      <c r="BI275" t="str">
        <f t="shared" si="177"/>
        <v>"wc":"0",</v>
      </c>
      <c r="BJ275" t="str">
        <f t="shared" si="178"/>
        <v>"bw":"",</v>
      </c>
      <c r="BK275" t="str">
        <f t="shared" si="179"/>
        <v>"pb":[0,0,0,0],</v>
      </c>
      <c r="BL275" t="str">
        <f t="shared" si="151"/>
        <v>"idx":"23",</v>
      </c>
      <c r="BM275" t="str">
        <f t="shared" si="152"/>
        <v>"sr":"0",</v>
      </c>
      <c r="BN275" t="str">
        <f t="shared" si="153"/>
        <v>"br":"0",</v>
      </c>
      <c r="BO275" t="str">
        <f t="shared" si="154"/>
        <v>"row":0,</v>
      </c>
      <c r="BP275" t="s">
        <v>55</v>
      </c>
      <c r="BQ275" t="str">
        <f t="shared" si="155"/>
        <v>"sq":{"a1":0,"a2":"","a3":"","s1":0,"s2":0,"s3":0},"bp":{"a1":0,"a2":"","a3":"","s1":0,"s2":0,"s3":0},"dl":{"a1":0,"a2":"","a3":"","s1":0,"s2":0,"s3":0},"sortOrder":0,"act":{}}</v>
      </c>
      <c r="BR275" t="str">
        <f t="shared" si="180"/>
        <v>{"group":"A","lot":0,"name":"0","team":"","year":"0","gender":"0","gear":"0","lifts":"0","division":"--","wc":"0","bw":"","pb":[0,0,0,0],"idx":"23","sr":"0","br":"0","row":0,"sq":{"a1":0,"a2":"","a3":"","s1":0,"s2":0,"s3":0},"bp":{"a1":0,"a2":"","a3":"","s1":0,"s2":0,"s3":0},"dl":{"a1":0,"a2":"","a3":"","s1":0,"s2":0,"s3":0},"sortOrder":0,"act":{}}</v>
      </c>
    </row>
    <row r="276" spans="5:70" x14ac:dyDescent="0.25">
      <c r="E276" s="128"/>
      <c r="F276" s="129"/>
      <c r="G276" s="129"/>
      <c r="H276" s="129"/>
      <c r="I276" s="129"/>
      <c r="J276" s="129"/>
      <c r="K276" s="129"/>
      <c r="L276" s="130"/>
      <c r="M276" s="131"/>
      <c r="N276" s="130"/>
      <c r="O276" s="148">
        <f t="shared" ca="1" si="181"/>
        <v>2023</v>
      </c>
      <c r="P276" s="129"/>
      <c r="Q276" s="129"/>
      <c r="R276" s="129"/>
      <c r="S276" s="129"/>
      <c r="T276" s="129"/>
      <c r="U276" s="129"/>
      <c r="V276" s="129"/>
      <c r="W276" s="129"/>
      <c r="X276" s="129"/>
      <c r="Y276" s="132"/>
      <c r="Z276" s="133"/>
      <c r="AA276" s="133"/>
      <c r="AB276" s="134"/>
      <c r="AE276" s="15" t="str">
        <f t="shared" si="147"/>
        <v>A</v>
      </c>
      <c r="AF276" s="8">
        <f t="shared" si="148"/>
        <v>0</v>
      </c>
      <c r="AG276" s="9">
        <f t="shared" si="156"/>
        <v>0</v>
      </c>
      <c r="AH276" s="9" t="str">
        <f t="shared" si="157"/>
        <v/>
      </c>
      <c r="AI276" s="8">
        <f t="shared" si="149"/>
        <v>0</v>
      </c>
      <c r="AJ276" s="45">
        <f t="shared" si="158"/>
        <v>0</v>
      </c>
      <c r="AK276" s="45">
        <f t="shared" si="159"/>
        <v>0</v>
      </c>
      <c r="AL276" s="45">
        <f t="shared" si="160"/>
        <v>0</v>
      </c>
      <c r="AM276" s="8" t="str">
        <f t="shared" si="161"/>
        <v>--</v>
      </c>
      <c r="AN276" s="10">
        <f t="shared" si="162"/>
        <v>0</v>
      </c>
      <c r="AO276" s="10">
        <f t="shared" si="163"/>
        <v>0</v>
      </c>
      <c r="AP276" s="10">
        <f t="shared" si="164"/>
        <v>0</v>
      </c>
      <c r="AQ276" s="10">
        <f t="shared" si="165"/>
        <v>0</v>
      </c>
      <c r="AR276" s="10">
        <f t="shared" si="166"/>
        <v>0</v>
      </c>
      <c r="AS276" s="8">
        <v>23</v>
      </c>
      <c r="AT276" s="9">
        <f t="shared" si="167"/>
        <v>0</v>
      </c>
      <c r="AU276" s="11">
        <f t="shared" si="168"/>
        <v>0</v>
      </c>
      <c r="AV276" s="6"/>
      <c r="AW276" s="6"/>
      <c r="AX276" s="6"/>
      <c r="AZ276" t="str">
        <f t="shared" si="169"/>
        <v>{"group":"A",</v>
      </c>
      <c r="BA276" t="str">
        <f t="shared" si="150"/>
        <v>"lot":0,</v>
      </c>
      <c r="BB276" t="str">
        <f t="shared" si="170"/>
        <v>"name":"0",</v>
      </c>
      <c r="BC276" t="str">
        <f t="shared" si="171"/>
        <v>"team":"",</v>
      </c>
      <c r="BD276" t="str">
        <f t="shared" si="172"/>
        <v>"year":"0",</v>
      </c>
      <c r="BE276" t="str">
        <f t="shared" si="173"/>
        <v>"gender":"0",</v>
      </c>
      <c r="BF276" t="str">
        <f t="shared" si="174"/>
        <v>"gear":"0",</v>
      </c>
      <c r="BG276" t="str">
        <f t="shared" si="175"/>
        <v>"lifts":"0",</v>
      </c>
      <c r="BH276" t="str">
        <f t="shared" si="176"/>
        <v>"division":"--",</v>
      </c>
      <c r="BI276" t="str">
        <f t="shared" si="177"/>
        <v>"wc":"0",</v>
      </c>
      <c r="BJ276" t="str">
        <f t="shared" si="178"/>
        <v>"bw":"",</v>
      </c>
      <c r="BK276" t="str">
        <f t="shared" si="179"/>
        <v>"pb":[0,0,0,0],</v>
      </c>
      <c r="BL276" t="str">
        <f t="shared" si="151"/>
        <v>"idx":"23",</v>
      </c>
      <c r="BM276" t="str">
        <f t="shared" si="152"/>
        <v>"sr":"0",</v>
      </c>
      <c r="BN276" t="str">
        <f t="shared" si="153"/>
        <v>"br":"0",</v>
      </c>
      <c r="BO276" t="str">
        <f t="shared" si="154"/>
        <v>"row":0,</v>
      </c>
      <c r="BP276" t="s">
        <v>55</v>
      </c>
      <c r="BQ276" t="str">
        <f t="shared" si="155"/>
        <v>"sq":{"a1":0,"a2":"","a3":"","s1":0,"s2":0,"s3":0},"bp":{"a1":0,"a2":"","a3":"","s1":0,"s2":0,"s3":0},"dl":{"a1":0,"a2":"","a3":"","s1":0,"s2":0,"s3":0},"sortOrder":0,"act":{}}</v>
      </c>
      <c r="BR276" t="str">
        <f t="shared" si="180"/>
        <v>{"group":"A","lot":0,"name":"0","team":"","year":"0","gender":"0","gear":"0","lifts":"0","division":"--","wc":"0","bw":"","pb":[0,0,0,0],"idx":"23","sr":"0","br":"0","row":0,"sq":{"a1":0,"a2":"","a3":"","s1":0,"s2":0,"s3":0},"bp":{"a1":0,"a2":"","a3":"","s1":0,"s2":0,"s3":0},"dl":{"a1":0,"a2":"","a3":"","s1":0,"s2":0,"s3":0},"sortOrder":0,"act":{}}</v>
      </c>
    </row>
    <row r="277" spans="5:70" x14ac:dyDescent="0.25">
      <c r="E277" s="128"/>
      <c r="F277" s="129"/>
      <c r="G277" s="129"/>
      <c r="H277" s="129"/>
      <c r="I277" s="129"/>
      <c r="J277" s="129"/>
      <c r="K277" s="129"/>
      <c r="L277" s="130"/>
      <c r="M277" s="131"/>
      <c r="N277" s="130"/>
      <c r="O277" s="148">
        <f t="shared" ca="1" si="181"/>
        <v>2023</v>
      </c>
      <c r="P277" s="129"/>
      <c r="Q277" s="129"/>
      <c r="R277" s="129"/>
      <c r="S277" s="129"/>
      <c r="T277" s="129"/>
      <c r="U277" s="129"/>
      <c r="V277" s="129"/>
      <c r="W277" s="129"/>
      <c r="X277" s="129"/>
      <c r="Y277" s="132"/>
      <c r="Z277" s="133"/>
      <c r="AA277" s="133"/>
      <c r="AB277" s="134"/>
      <c r="AE277" s="15" t="str">
        <f t="shared" si="147"/>
        <v>A</v>
      </c>
      <c r="AF277" s="8">
        <f t="shared" si="148"/>
        <v>0</v>
      </c>
      <c r="AG277" s="9">
        <f t="shared" si="156"/>
        <v>0</v>
      </c>
      <c r="AH277" s="9" t="str">
        <f t="shared" si="157"/>
        <v/>
      </c>
      <c r="AI277" s="8">
        <f t="shared" si="149"/>
        <v>0</v>
      </c>
      <c r="AJ277" s="45">
        <f t="shared" si="158"/>
        <v>0</v>
      </c>
      <c r="AK277" s="45">
        <f t="shared" si="159"/>
        <v>0</v>
      </c>
      <c r="AL277" s="45">
        <f t="shared" si="160"/>
        <v>0</v>
      </c>
      <c r="AM277" s="8" t="str">
        <f t="shared" si="161"/>
        <v>--</v>
      </c>
      <c r="AN277" s="10">
        <f t="shared" si="162"/>
        <v>0</v>
      </c>
      <c r="AO277" s="10">
        <f t="shared" si="163"/>
        <v>0</v>
      </c>
      <c r="AP277" s="10">
        <f t="shared" si="164"/>
        <v>0</v>
      </c>
      <c r="AQ277" s="10">
        <f t="shared" si="165"/>
        <v>0</v>
      </c>
      <c r="AR277" s="10">
        <f t="shared" si="166"/>
        <v>0</v>
      </c>
      <c r="AS277" s="8">
        <v>23</v>
      </c>
      <c r="AT277" s="9">
        <f t="shared" si="167"/>
        <v>0</v>
      </c>
      <c r="AU277" s="11">
        <f t="shared" si="168"/>
        <v>0</v>
      </c>
      <c r="AV277" s="6"/>
      <c r="AW277" s="6"/>
      <c r="AX277" s="6"/>
      <c r="AZ277" t="str">
        <f t="shared" si="169"/>
        <v>{"group":"A",</v>
      </c>
      <c r="BA277" t="str">
        <f t="shared" si="150"/>
        <v>"lot":0,</v>
      </c>
      <c r="BB277" t="str">
        <f t="shared" si="170"/>
        <v>"name":"0",</v>
      </c>
      <c r="BC277" t="str">
        <f t="shared" si="171"/>
        <v>"team":"",</v>
      </c>
      <c r="BD277" t="str">
        <f t="shared" si="172"/>
        <v>"year":"0",</v>
      </c>
      <c r="BE277" t="str">
        <f t="shared" si="173"/>
        <v>"gender":"0",</v>
      </c>
      <c r="BF277" t="str">
        <f t="shared" si="174"/>
        <v>"gear":"0",</v>
      </c>
      <c r="BG277" t="str">
        <f t="shared" si="175"/>
        <v>"lifts":"0",</v>
      </c>
      <c r="BH277" t="str">
        <f t="shared" si="176"/>
        <v>"division":"--",</v>
      </c>
      <c r="BI277" t="str">
        <f t="shared" si="177"/>
        <v>"wc":"0",</v>
      </c>
      <c r="BJ277" t="str">
        <f t="shared" si="178"/>
        <v>"bw":"",</v>
      </c>
      <c r="BK277" t="str">
        <f t="shared" si="179"/>
        <v>"pb":[0,0,0,0],</v>
      </c>
      <c r="BL277" t="str">
        <f t="shared" si="151"/>
        <v>"idx":"23",</v>
      </c>
      <c r="BM277" t="str">
        <f t="shared" si="152"/>
        <v>"sr":"0",</v>
      </c>
      <c r="BN277" t="str">
        <f t="shared" si="153"/>
        <v>"br":"0",</v>
      </c>
      <c r="BO277" t="str">
        <f t="shared" si="154"/>
        <v>"row":0,</v>
      </c>
      <c r="BP277" t="s">
        <v>55</v>
      </c>
      <c r="BQ277" t="str">
        <f t="shared" si="155"/>
        <v>"sq":{"a1":0,"a2":"","a3":"","s1":0,"s2":0,"s3":0},"bp":{"a1":0,"a2":"","a3":"","s1":0,"s2":0,"s3":0},"dl":{"a1":0,"a2":"","a3":"","s1":0,"s2":0,"s3":0},"sortOrder":0,"act":{}}</v>
      </c>
      <c r="BR277" t="str">
        <f t="shared" si="180"/>
        <v>{"group":"A","lot":0,"name":"0","team":"","year":"0","gender":"0","gear":"0","lifts":"0","division":"--","wc":"0","bw":"","pb":[0,0,0,0],"idx":"23","sr":"0","br":"0","row":0,"sq":{"a1":0,"a2":"","a3":"","s1":0,"s2":0,"s3":0},"bp":{"a1":0,"a2":"","a3":"","s1":0,"s2":0,"s3":0},"dl":{"a1":0,"a2":"","a3":"","s1":0,"s2":0,"s3":0},"sortOrder":0,"act":{}}</v>
      </c>
    </row>
    <row r="278" spans="5:70" x14ac:dyDescent="0.25">
      <c r="E278" s="128"/>
      <c r="F278" s="129"/>
      <c r="G278" s="129"/>
      <c r="H278" s="129"/>
      <c r="I278" s="129"/>
      <c r="J278" s="129"/>
      <c r="K278" s="129"/>
      <c r="L278" s="130"/>
      <c r="M278" s="131"/>
      <c r="N278" s="130"/>
      <c r="O278" s="148">
        <f t="shared" ca="1" si="181"/>
        <v>2023</v>
      </c>
      <c r="P278" s="129"/>
      <c r="Q278" s="129"/>
      <c r="R278" s="129"/>
      <c r="S278" s="129"/>
      <c r="T278" s="129"/>
      <c r="U278" s="129"/>
      <c r="V278" s="129"/>
      <c r="W278" s="129"/>
      <c r="X278" s="129"/>
      <c r="Y278" s="132"/>
      <c r="Z278" s="133"/>
      <c r="AA278" s="133"/>
      <c r="AB278" s="134"/>
      <c r="AE278" s="15" t="str">
        <f t="shared" si="147"/>
        <v>A</v>
      </c>
      <c r="AF278" s="8">
        <f t="shared" si="148"/>
        <v>0</v>
      </c>
      <c r="AG278" s="9">
        <f t="shared" si="156"/>
        <v>0</v>
      </c>
      <c r="AH278" s="9" t="str">
        <f t="shared" si="157"/>
        <v/>
      </c>
      <c r="AI278" s="8">
        <f t="shared" si="149"/>
        <v>0</v>
      </c>
      <c r="AJ278" s="45">
        <f t="shared" si="158"/>
        <v>0</v>
      </c>
      <c r="AK278" s="45">
        <f t="shared" si="159"/>
        <v>0</v>
      </c>
      <c r="AL278" s="45">
        <f t="shared" si="160"/>
        <v>0</v>
      </c>
      <c r="AM278" s="8" t="str">
        <f t="shared" si="161"/>
        <v>--</v>
      </c>
      <c r="AN278" s="10">
        <f t="shared" si="162"/>
        <v>0</v>
      </c>
      <c r="AO278" s="10">
        <f t="shared" si="163"/>
        <v>0</v>
      </c>
      <c r="AP278" s="10">
        <f t="shared" si="164"/>
        <v>0</v>
      </c>
      <c r="AQ278" s="10">
        <f t="shared" si="165"/>
        <v>0</v>
      </c>
      <c r="AR278" s="10">
        <f t="shared" si="166"/>
        <v>0</v>
      </c>
      <c r="AS278" s="8">
        <v>23</v>
      </c>
      <c r="AT278" s="9">
        <f t="shared" si="167"/>
        <v>0</v>
      </c>
      <c r="AU278" s="11">
        <f t="shared" si="168"/>
        <v>0</v>
      </c>
      <c r="AV278" s="6"/>
      <c r="AW278" s="6"/>
      <c r="AX278" s="6"/>
      <c r="AZ278" t="str">
        <f t="shared" si="169"/>
        <v>{"group":"A",</v>
      </c>
      <c r="BA278" t="str">
        <f t="shared" si="150"/>
        <v>"lot":0,</v>
      </c>
      <c r="BB278" t="str">
        <f t="shared" si="170"/>
        <v>"name":"0",</v>
      </c>
      <c r="BC278" t="str">
        <f t="shared" si="171"/>
        <v>"team":"",</v>
      </c>
      <c r="BD278" t="str">
        <f t="shared" si="172"/>
        <v>"year":"0",</v>
      </c>
      <c r="BE278" t="str">
        <f t="shared" si="173"/>
        <v>"gender":"0",</v>
      </c>
      <c r="BF278" t="str">
        <f t="shared" si="174"/>
        <v>"gear":"0",</v>
      </c>
      <c r="BG278" t="str">
        <f t="shared" si="175"/>
        <v>"lifts":"0",</v>
      </c>
      <c r="BH278" t="str">
        <f t="shared" si="176"/>
        <v>"division":"--",</v>
      </c>
      <c r="BI278" t="str">
        <f t="shared" si="177"/>
        <v>"wc":"0",</v>
      </c>
      <c r="BJ278" t="str">
        <f t="shared" si="178"/>
        <v>"bw":"",</v>
      </c>
      <c r="BK278" t="str">
        <f t="shared" si="179"/>
        <v>"pb":[0,0,0,0],</v>
      </c>
      <c r="BL278" t="str">
        <f t="shared" si="151"/>
        <v>"idx":"23",</v>
      </c>
      <c r="BM278" t="str">
        <f t="shared" si="152"/>
        <v>"sr":"0",</v>
      </c>
      <c r="BN278" t="str">
        <f t="shared" si="153"/>
        <v>"br":"0",</v>
      </c>
      <c r="BO278" t="str">
        <f t="shared" si="154"/>
        <v>"row":0,</v>
      </c>
      <c r="BP278" t="s">
        <v>55</v>
      </c>
      <c r="BQ278" t="str">
        <f t="shared" si="155"/>
        <v>"sq":{"a1":0,"a2":"","a3":"","s1":0,"s2":0,"s3":0},"bp":{"a1":0,"a2":"","a3":"","s1":0,"s2":0,"s3":0},"dl":{"a1":0,"a2":"","a3":"","s1":0,"s2":0,"s3":0},"sortOrder":0,"act":{}}</v>
      </c>
      <c r="BR278" t="str">
        <f t="shared" si="180"/>
        <v>{"group":"A","lot":0,"name":"0","team":"","year":"0","gender":"0","gear":"0","lifts":"0","division":"--","wc":"0","bw":"","pb":[0,0,0,0],"idx":"23","sr":"0","br":"0","row":0,"sq":{"a1":0,"a2":"","a3":"","s1":0,"s2":0,"s3":0},"bp":{"a1":0,"a2":"","a3":"","s1":0,"s2":0,"s3":0},"dl":{"a1":0,"a2":"","a3":"","s1":0,"s2":0,"s3":0},"sortOrder":0,"act":{}}</v>
      </c>
    </row>
    <row r="279" spans="5:70" x14ac:dyDescent="0.25">
      <c r="E279" s="128"/>
      <c r="F279" s="129"/>
      <c r="G279" s="129"/>
      <c r="H279" s="129"/>
      <c r="I279" s="129"/>
      <c r="J279" s="129"/>
      <c r="K279" s="129"/>
      <c r="L279" s="130"/>
      <c r="M279" s="131"/>
      <c r="N279" s="130"/>
      <c r="O279" s="148">
        <f t="shared" ca="1" si="181"/>
        <v>2023</v>
      </c>
      <c r="P279" s="129"/>
      <c r="Q279" s="129"/>
      <c r="R279" s="129"/>
      <c r="S279" s="129"/>
      <c r="T279" s="129"/>
      <c r="U279" s="129"/>
      <c r="V279" s="129"/>
      <c r="W279" s="129"/>
      <c r="X279" s="129"/>
      <c r="Y279" s="132"/>
      <c r="Z279" s="133"/>
      <c r="AA279" s="133"/>
      <c r="AB279" s="134"/>
      <c r="AE279" s="15" t="str">
        <f t="shared" si="147"/>
        <v>A</v>
      </c>
      <c r="AF279" s="8">
        <f t="shared" si="148"/>
        <v>0</v>
      </c>
      <c r="AG279" s="9">
        <f t="shared" si="156"/>
        <v>0</v>
      </c>
      <c r="AH279" s="9" t="str">
        <f t="shared" si="157"/>
        <v/>
      </c>
      <c r="AI279" s="8">
        <f t="shared" si="149"/>
        <v>0</v>
      </c>
      <c r="AJ279" s="45">
        <f t="shared" si="158"/>
        <v>0</v>
      </c>
      <c r="AK279" s="45">
        <f t="shared" si="159"/>
        <v>0</v>
      </c>
      <c r="AL279" s="45">
        <f t="shared" si="160"/>
        <v>0</v>
      </c>
      <c r="AM279" s="8" t="str">
        <f t="shared" si="161"/>
        <v>--</v>
      </c>
      <c r="AN279" s="10">
        <f t="shared" si="162"/>
        <v>0</v>
      </c>
      <c r="AO279" s="10">
        <f t="shared" si="163"/>
        <v>0</v>
      </c>
      <c r="AP279" s="10">
        <f t="shared" si="164"/>
        <v>0</v>
      </c>
      <c r="AQ279" s="10">
        <f t="shared" si="165"/>
        <v>0</v>
      </c>
      <c r="AR279" s="10">
        <f t="shared" si="166"/>
        <v>0</v>
      </c>
      <c r="AS279" s="8">
        <v>23</v>
      </c>
      <c r="AT279" s="9">
        <f t="shared" si="167"/>
        <v>0</v>
      </c>
      <c r="AU279" s="11">
        <f t="shared" si="168"/>
        <v>0</v>
      </c>
      <c r="AV279" s="6"/>
      <c r="AW279" s="6"/>
      <c r="AX279" s="6"/>
      <c r="AZ279" t="str">
        <f t="shared" si="169"/>
        <v>{"group":"A",</v>
      </c>
      <c r="BA279" t="str">
        <f t="shared" si="150"/>
        <v>"lot":0,</v>
      </c>
      <c r="BB279" t="str">
        <f t="shared" si="170"/>
        <v>"name":"0",</v>
      </c>
      <c r="BC279" t="str">
        <f t="shared" si="171"/>
        <v>"team":"",</v>
      </c>
      <c r="BD279" t="str">
        <f t="shared" si="172"/>
        <v>"year":"0",</v>
      </c>
      <c r="BE279" t="str">
        <f t="shared" si="173"/>
        <v>"gender":"0",</v>
      </c>
      <c r="BF279" t="str">
        <f t="shared" si="174"/>
        <v>"gear":"0",</v>
      </c>
      <c r="BG279" t="str">
        <f t="shared" si="175"/>
        <v>"lifts":"0",</v>
      </c>
      <c r="BH279" t="str">
        <f t="shared" si="176"/>
        <v>"division":"--",</v>
      </c>
      <c r="BI279" t="str">
        <f t="shared" si="177"/>
        <v>"wc":"0",</v>
      </c>
      <c r="BJ279" t="str">
        <f t="shared" si="178"/>
        <v>"bw":"",</v>
      </c>
      <c r="BK279" t="str">
        <f t="shared" si="179"/>
        <v>"pb":[0,0,0,0],</v>
      </c>
      <c r="BL279" t="str">
        <f t="shared" si="151"/>
        <v>"idx":"23",</v>
      </c>
      <c r="BM279" t="str">
        <f t="shared" si="152"/>
        <v>"sr":"0",</v>
      </c>
      <c r="BN279" t="str">
        <f t="shared" si="153"/>
        <v>"br":"0",</v>
      </c>
      <c r="BO279" t="str">
        <f t="shared" si="154"/>
        <v>"row":0,</v>
      </c>
      <c r="BP279" t="s">
        <v>55</v>
      </c>
      <c r="BQ279" t="str">
        <f t="shared" si="155"/>
        <v>"sq":{"a1":0,"a2":"","a3":"","s1":0,"s2":0,"s3":0},"bp":{"a1":0,"a2":"","a3":"","s1":0,"s2":0,"s3":0},"dl":{"a1":0,"a2":"","a3":"","s1":0,"s2":0,"s3":0},"sortOrder":0,"act":{}}</v>
      </c>
      <c r="BR279" t="str">
        <f t="shared" si="180"/>
        <v>{"group":"A","lot":0,"name":"0","team":"","year":"0","gender":"0","gear":"0","lifts":"0","division":"--","wc":"0","bw":"","pb":[0,0,0,0],"idx":"23","sr":"0","br":"0","row":0,"sq":{"a1":0,"a2":"","a3":"","s1":0,"s2":0,"s3":0},"bp":{"a1":0,"a2":"","a3":"","s1":0,"s2":0,"s3":0},"dl":{"a1":0,"a2":"","a3":"","s1":0,"s2":0,"s3":0},"sortOrder":0,"act":{}}</v>
      </c>
    </row>
    <row r="280" spans="5:70" x14ac:dyDescent="0.25">
      <c r="E280" s="128"/>
      <c r="F280" s="129"/>
      <c r="G280" s="129"/>
      <c r="H280" s="129"/>
      <c r="I280" s="129"/>
      <c r="J280" s="129"/>
      <c r="K280" s="129"/>
      <c r="L280" s="130"/>
      <c r="M280" s="131"/>
      <c r="N280" s="130"/>
      <c r="O280" s="148">
        <f t="shared" ca="1" si="181"/>
        <v>2023</v>
      </c>
      <c r="P280" s="129"/>
      <c r="Q280" s="129"/>
      <c r="R280" s="129"/>
      <c r="S280" s="129"/>
      <c r="T280" s="129"/>
      <c r="U280" s="129"/>
      <c r="V280" s="129"/>
      <c r="W280" s="129"/>
      <c r="X280" s="129"/>
      <c r="Y280" s="132"/>
      <c r="Z280" s="133"/>
      <c r="AA280" s="133"/>
      <c r="AB280" s="134"/>
      <c r="AE280" s="15" t="str">
        <f t="shared" si="147"/>
        <v>A</v>
      </c>
      <c r="AF280" s="8">
        <f t="shared" si="148"/>
        <v>0</v>
      </c>
      <c r="AG280" s="9">
        <f t="shared" si="156"/>
        <v>0</v>
      </c>
      <c r="AH280" s="9" t="str">
        <f t="shared" si="157"/>
        <v/>
      </c>
      <c r="AI280" s="8">
        <f t="shared" si="149"/>
        <v>0</v>
      </c>
      <c r="AJ280" s="45">
        <f t="shared" si="158"/>
        <v>0</v>
      </c>
      <c r="AK280" s="45">
        <f t="shared" si="159"/>
        <v>0</v>
      </c>
      <c r="AL280" s="45">
        <f t="shared" si="160"/>
        <v>0</v>
      </c>
      <c r="AM280" s="8" t="str">
        <f t="shared" si="161"/>
        <v>--</v>
      </c>
      <c r="AN280" s="10">
        <f t="shared" si="162"/>
        <v>0</v>
      </c>
      <c r="AO280" s="10">
        <f t="shared" si="163"/>
        <v>0</v>
      </c>
      <c r="AP280" s="10">
        <f t="shared" si="164"/>
        <v>0</v>
      </c>
      <c r="AQ280" s="10">
        <f t="shared" si="165"/>
        <v>0</v>
      </c>
      <c r="AR280" s="10">
        <f t="shared" si="166"/>
        <v>0</v>
      </c>
      <c r="AS280" s="8">
        <v>23</v>
      </c>
      <c r="AT280" s="9">
        <f t="shared" si="167"/>
        <v>0</v>
      </c>
      <c r="AU280" s="11">
        <f t="shared" si="168"/>
        <v>0</v>
      </c>
      <c r="AV280" s="6"/>
      <c r="AW280" s="6"/>
      <c r="AX280" s="6"/>
      <c r="AZ280" t="str">
        <f t="shared" si="169"/>
        <v>{"group":"A",</v>
      </c>
      <c r="BA280" t="str">
        <f t="shared" si="150"/>
        <v>"lot":0,</v>
      </c>
      <c r="BB280" t="str">
        <f t="shared" si="170"/>
        <v>"name":"0",</v>
      </c>
      <c r="BC280" t="str">
        <f t="shared" si="171"/>
        <v>"team":"",</v>
      </c>
      <c r="BD280" t="str">
        <f t="shared" si="172"/>
        <v>"year":"0",</v>
      </c>
      <c r="BE280" t="str">
        <f t="shared" si="173"/>
        <v>"gender":"0",</v>
      </c>
      <c r="BF280" t="str">
        <f t="shared" si="174"/>
        <v>"gear":"0",</v>
      </c>
      <c r="BG280" t="str">
        <f t="shared" si="175"/>
        <v>"lifts":"0",</v>
      </c>
      <c r="BH280" t="str">
        <f t="shared" si="176"/>
        <v>"division":"--",</v>
      </c>
      <c r="BI280" t="str">
        <f t="shared" si="177"/>
        <v>"wc":"0",</v>
      </c>
      <c r="BJ280" t="str">
        <f t="shared" si="178"/>
        <v>"bw":"",</v>
      </c>
      <c r="BK280" t="str">
        <f t="shared" si="179"/>
        <v>"pb":[0,0,0,0],</v>
      </c>
      <c r="BL280" t="str">
        <f t="shared" si="151"/>
        <v>"idx":"23",</v>
      </c>
      <c r="BM280" t="str">
        <f t="shared" si="152"/>
        <v>"sr":"0",</v>
      </c>
      <c r="BN280" t="str">
        <f t="shared" si="153"/>
        <v>"br":"0",</v>
      </c>
      <c r="BO280" t="str">
        <f t="shared" si="154"/>
        <v>"row":0,</v>
      </c>
      <c r="BP280" t="s">
        <v>55</v>
      </c>
      <c r="BQ280" t="str">
        <f t="shared" si="155"/>
        <v>"sq":{"a1":0,"a2":"","a3":"","s1":0,"s2":0,"s3":0},"bp":{"a1":0,"a2":"","a3":"","s1":0,"s2":0,"s3":0},"dl":{"a1":0,"a2":"","a3":"","s1":0,"s2":0,"s3":0},"sortOrder":0,"act":{}}</v>
      </c>
      <c r="BR280" t="str">
        <f t="shared" si="180"/>
        <v>{"group":"A","lot":0,"name":"0","team":"","year":"0","gender":"0","gear":"0","lifts":"0","division":"--","wc":"0","bw":"","pb":[0,0,0,0],"idx":"23","sr":"0","br":"0","row":0,"sq":{"a1":0,"a2":"","a3":"","s1":0,"s2":0,"s3":0},"bp":{"a1":0,"a2":"","a3":"","s1":0,"s2":0,"s3":0},"dl":{"a1":0,"a2":"","a3":"","s1":0,"s2":0,"s3":0},"sortOrder":0,"act":{}}</v>
      </c>
    </row>
    <row r="281" spans="5:70" x14ac:dyDescent="0.25">
      <c r="E281" s="128"/>
      <c r="F281" s="129"/>
      <c r="G281" s="129"/>
      <c r="H281" s="129"/>
      <c r="I281" s="129"/>
      <c r="J281" s="129"/>
      <c r="K281" s="129"/>
      <c r="L281" s="130"/>
      <c r="M281" s="131"/>
      <c r="N281" s="130"/>
      <c r="O281" s="148">
        <f t="shared" ca="1" si="181"/>
        <v>2023</v>
      </c>
      <c r="P281" s="129"/>
      <c r="Q281" s="129"/>
      <c r="R281" s="129"/>
      <c r="S281" s="129"/>
      <c r="T281" s="129"/>
      <c r="U281" s="129"/>
      <c r="V281" s="129"/>
      <c r="W281" s="129"/>
      <c r="X281" s="129"/>
      <c r="Y281" s="132"/>
      <c r="Z281" s="133"/>
      <c r="AA281" s="133"/>
      <c r="AB281" s="134"/>
      <c r="AE281" s="15" t="str">
        <f t="shared" si="147"/>
        <v>A</v>
      </c>
      <c r="AF281" s="8">
        <f t="shared" si="148"/>
        <v>0</v>
      </c>
      <c r="AG281" s="9">
        <f t="shared" si="156"/>
        <v>0</v>
      </c>
      <c r="AH281" s="9" t="str">
        <f t="shared" si="157"/>
        <v/>
      </c>
      <c r="AI281" s="8">
        <f t="shared" si="149"/>
        <v>0</v>
      </c>
      <c r="AJ281" s="45">
        <f t="shared" si="158"/>
        <v>0</v>
      </c>
      <c r="AK281" s="45">
        <f t="shared" si="159"/>
        <v>0</v>
      </c>
      <c r="AL281" s="45">
        <f t="shared" si="160"/>
        <v>0</v>
      </c>
      <c r="AM281" s="8" t="str">
        <f t="shared" si="161"/>
        <v>--</v>
      </c>
      <c r="AN281" s="10">
        <f t="shared" si="162"/>
        <v>0</v>
      </c>
      <c r="AO281" s="10">
        <f t="shared" si="163"/>
        <v>0</v>
      </c>
      <c r="AP281" s="10">
        <f t="shared" si="164"/>
        <v>0</v>
      </c>
      <c r="AQ281" s="10">
        <f t="shared" si="165"/>
        <v>0</v>
      </c>
      <c r="AR281" s="10">
        <f t="shared" si="166"/>
        <v>0</v>
      </c>
      <c r="AS281" s="8">
        <v>23</v>
      </c>
      <c r="AT281" s="9">
        <f t="shared" si="167"/>
        <v>0</v>
      </c>
      <c r="AU281" s="11">
        <f t="shared" si="168"/>
        <v>0</v>
      </c>
      <c r="AV281" s="6"/>
      <c r="AW281" s="6"/>
      <c r="AX281" s="6"/>
      <c r="AZ281" t="str">
        <f t="shared" si="169"/>
        <v>{"group":"A",</v>
      </c>
      <c r="BA281" t="str">
        <f t="shared" si="150"/>
        <v>"lot":0,</v>
      </c>
      <c r="BB281" t="str">
        <f t="shared" si="170"/>
        <v>"name":"0",</v>
      </c>
      <c r="BC281" t="str">
        <f t="shared" si="171"/>
        <v>"team":"",</v>
      </c>
      <c r="BD281" t="str">
        <f t="shared" si="172"/>
        <v>"year":"0",</v>
      </c>
      <c r="BE281" t="str">
        <f t="shared" si="173"/>
        <v>"gender":"0",</v>
      </c>
      <c r="BF281" t="str">
        <f t="shared" si="174"/>
        <v>"gear":"0",</v>
      </c>
      <c r="BG281" t="str">
        <f t="shared" si="175"/>
        <v>"lifts":"0",</v>
      </c>
      <c r="BH281" t="str">
        <f t="shared" si="176"/>
        <v>"division":"--",</v>
      </c>
      <c r="BI281" t="str">
        <f t="shared" si="177"/>
        <v>"wc":"0",</v>
      </c>
      <c r="BJ281" t="str">
        <f t="shared" si="178"/>
        <v>"bw":"",</v>
      </c>
      <c r="BK281" t="str">
        <f t="shared" si="179"/>
        <v>"pb":[0,0,0,0],</v>
      </c>
      <c r="BL281" t="str">
        <f t="shared" si="151"/>
        <v>"idx":"23",</v>
      </c>
      <c r="BM281" t="str">
        <f t="shared" si="152"/>
        <v>"sr":"0",</v>
      </c>
      <c r="BN281" t="str">
        <f t="shared" si="153"/>
        <v>"br":"0",</v>
      </c>
      <c r="BO281" t="str">
        <f t="shared" si="154"/>
        <v>"row":0,</v>
      </c>
      <c r="BP281" t="s">
        <v>55</v>
      </c>
      <c r="BQ281" t="str">
        <f t="shared" si="155"/>
        <v>"sq":{"a1":0,"a2":"","a3":"","s1":0,"s2":0,"s3":0},"bp":{"a1":0,"a2":"","a3":"","s1":0,"s2":0,"s3":0},"dl":{"a1":0,"a2":"","a3":"","s1":0,"s2":0,"s3":0},"sortOrder":0,"act":{}}</v>
      </c>
      <c r="BR281" t="str">
        <f t="shared" si="180"/>
        <v>{"group":"A","lot":0,"name":"0","team":"","year":"0","gender":"0","gear":"0","lifts":"0","division":"--","wc":"0","bw":"","pb":[0,0,0,0],"idx":"23","sr":"0","br":"0","row":0,"sq":{"a1":0,"a2":"","a3":"","s1":0,"s2":0,"s3":0},"bp":{"a1":0,"a2":"","a3":"","s1":0,"s2":0,"s3":0},"dl":{"a1":0,"a2":"","a3":"","s1":0,"s2":0,"s3":0},"sortOrder":0,"act":{}}</v>
      </c>
    </row>
    <row r="282" spans="5:70" x14ac:dyDescent="0.25">
      <c r="E282" s="128"/>
      <c r="F282" s="129"/>
      <c r="G282" s="129"/>
      <c r="H282" s="129"/>
      <c r="I282" s="129"/>
      <c r="J282" s="129"/>
      <c r="K282" s="129"/>
      <c r="L282" s="130"/>
      <c r="M282" s="131"/>
      <c r="N282" s="130"/>
      <c r="O282" s="148">
        <f t="shared" ca="1" si="181"/>
        <v>2023</v>
      </c>
      <c r="P282" s="129"/>
      <c r="Q282" s="129"/>
      <c r="R282" s="129"/>
      <c r="S282" s="129"/>
      <c r="T282" s="129"/>
      <c r="U282" s="129"/>
      <c r="V282" s="129"/>
      <c r="W282" s="129"/>
      <c r="X282" s="129"/>
      <c r="Y282" s="132"/>
      <c r="Z282" s="133"/>
      <c r="AA282" s="133"/>
      <c r="AB282" s="134"/>
      <c r="AE282" s="15" t="str">
        <f t="shared" si="147"/>
        <v>A</v>
      </c>
      <c r="AF282" s="8">
        <f t="shared" si="148"/>
        <v>0</v>
      </c>
      <c r="AG282" s="9">
        <f t="shared" si="156"/>
        <v>0</v>
      </c>
      <c r="AH282" s="9" t="str">
        <f t="shared" si="157"/>
        <v/>
      </c>
      <c r="AI282" s="8">
        <f t="shared" si="149"/>
        <v>0</v>
      </c>
      <c r="AJ282" s="45">
        <f t="shared" si="158"/>
        <v>0</v>
      </c>
      <c r="AK282" s="45">
        <f t="shared" si="159"/>
        <v>0</v>
      </c>
      <c r="AL282" s="45">
        <f t="shared" si="160"/>
        <v>0</v>
      </c>
      <c r="AM282" s="8" t="str">
        <f t="shared" si="161"/>
        <v>--</v>
      </c>
      <c r="AN282" s="10">
        <f t="shared" si="162"/>
        <v>0</v>
      </c>
      <c r="AO282" s="10">
        <f t="shared" si="163"/>
        <v>0</v>
      </c>
      <c r="AP282" s="10">
        <f t="shared" si="164"/>
        <v>0</v>
      </c>
      <c r="AQ282" s="10">
        <f t="shared" si="165"/>
        <v>0</v>
      </c>
      <c r="AR282" s="10">
        <f t="shared" si="166"/>
        <v>0</v>
      </c>
      <c r="AS282" s="8">
        <v>23</v>
      </c>
      <c r="AT282" s="9">
        <f t="shared" si="167"/>
        <v>0</v>
      </c>
      <c r="AU282" s="11">
        <f t="shared" si="168"/>
        <v>0</v>
      </c>
      <c r="AV282" s="6"/>
      <c r="AW282" s="6"/>
      <c r="AX282" s="6"/>
      <c r="AZ282" t="str">
        <f t="shared" si="169"/>
        <v>{"group":"A",</v>
      </c>
      <c r="BA282" t="str">
        <f t="shared" si="150"/>
        <v>"lot":0,</v>
      </c>
      <c r="BB282" t="str">
        <f t="shared" si="170"/>
        <v>"name":"0",</v>
      </c>
      <c r="BC282" t="str">
        <f t="shared" si="171"/>
        <v>"team":"",</v>
      </c>
      <c r="BD282" t="str">
        <f t="shared" si="172"/>
        <v>"year":"0",</v>
      </c>
      <c r="BE282" t="str">
        <f t="shared" si="173"/>
        <v>"gender":"0",</v>
      </c>
      <c r="BF282" t="str">
        <f t="shared" si="174"/>
        <v>"gear":"0",</v>
      </c>
      <c r="BG282" t="str">
        <f t="shared" si="175"/>
        <v>"lifts":"0",</v>
      </c>
      <c r="BH282" t="str">
        <f t="shared" si="176"/>
        <v>"division":"--",</v>
      </c>
      <c r="BI282" t="str">
        <f t="shared" si="177"/>
        <v>"wc":"0",</v>
      </c>
      <c r="BJ282" t="str">
        <f t="shared" si="178"/>
        <v>"bw":"",</v>
      </c>
      <c r="BK282" t="str">
        <f t="shared" si="179"/>
        <v>"pb":[0,0,0,0],</v>
      </c>
      <c r="BL282" t="str">
        <f t="shared" si="151"/>
        <v>"idx":"23",</v>
      </c>
      <c r="BM282" t="str">
        <f t="shared" si="152"/>
        <v>"sr":"0",</v>
      </c>
      <c r="BN282" t="str">
        <f t="shared" si="153"/>
        <v>"br":"0",</v>
      </c>
      <c r="BO282" t="str">
        <f t="shared" si="154"/>
        <v>"row":0,</v>
      </c>
      <c r="BP282" t="s">
        <v>55</v>
      </c>
      <c r="BQ282" t="str">
        <f t="shared" si="155"/>
        <v>"sq":{"a1":0,"a2":"","a3":"","s1":0,"s2":0,"s3":0},"bp":{"a1":0,"a2":"","a3":"","s1":0,"s2":0,"s3":0},"dl":{"a1":0,"a2":"","a3":"","s1":0,"s2":0,"s3":0},"sortOrder":0,"act":{}}</v>
      </c>
      <c r="BR282" t="str">
        <f t="shared" si="180"/>
        <v>{"group":"A","lot":0,"name":"0","team":"","year":"0","gender":"0","gear":"0","lifts":"0","division":"--","wc":"0","bw":"","pb":[0,0,0,0],"idx":"23","sr":"0","br":"0","row":0,"sq":{"a1":0,"a2":"","a3":"","s1":0,"s2":0,"s3":0},"bp":{"a1":0,"a2":"","a3":"","s1":0,"s2":0,"s3":0},"dl":{"a1":0,"a2":"","a3":"","s1":0,"s2":0,"s3":0},"sortOrder":0,"act":{}}</v>
      </c>
    </row>
    <row r="283" spans="5:70" x14ac:dyDescent="0.25">
      <c r="E283" s="128"/>
      <c r="F283" s="129"/>
      <c r="G283" s="129"/>
      <c r="H283" s="129"/>
      <c r="I283" s="129"/>
      <c r="J283" s="129"/>
      <c r="K283" s="129"/>
      <c r="L283" s="130"/>
      <c r="M283" s="131"/>
      <c r="N283" s="130"/>
      <c r="O283" s="148">
        <f t="shared" ca="1" si="181"/>
        <v>2023</v>
      </c>
      <c r="P283" s="129"/>
      <c r="Q283" s="129"/>
      <c r="R283" s="129"/>
      <c r="S283" s="129"/>
      <c r="T283" s="129"/>
      <c r="U283" s="129"/>
      <c r="V283" s="129"/>
      <c r="W283" s="129"/>
      <c r="X283" s="129"/>
      <c r="Y283" s="132"/>
      <c r="Z283" s="133"/>
      <c r="AA283" s="133"/>
      <c r="AB283" s="134"/>
      <c r="AE283" s="15" t="str">
        <f t="shared" si="147"/>
        <v>A</v>
      </c>
      <c r="AF283" s="8">
        <f t="shared" si="148"/>
        <v>0</v>
      </c>
      <c r="AG283" s="9">
        <f t="shared" si="156"/>
        <v>0</v>
      </c>
      <c r="AH283" s="9" t="str">
        <f t="shared" si="157"/>
        <v/>
      </c>
      <c r="AI283" s="8">
        <f t="shared" si="149"/>
        <v>0</v>
      </c>
      <c r="AJ283" s="45">
        <f t="shared" si="158"/>
        <v>0</v>
      </c>
      <c r="AK283" s="45">
        <f t="shared" si="159"/>
        <v>0</v>
      </c>
      <c r="AL283" s="45">
        <f t="shared" si="160"/>
        <v>0</v>
      </c>
      <c r="AM283" s="8" t="str">
        <f t="shared" si="161"/>
        <v>--</v>
      </c>
      <c r="AN283" s="10">
        <f t="shared" si="162"/>
        <v>0</v>
      </c>
      <c r="AO283" s="10">
        <f t="shared" si="163"/>
        <v>0</v>
      </c>
      <c r="AP283" s="10">
        <f t="shared" si="164"/>
        <v>0</v>
      </c>
      <c r="AQ283" s="10">
        <f t="shared" si="165"/>
        <v>0</v>
      </c>
      <c r="AR283" s="10">
        <f t="shared" si="166"/>
        <v>0</v>
      </c>
      <c r="AS283" s="8">
        <v>23</v>
      </c>
      <c r="AT283" s="9">
        <f t="shared" si="167"/>
        <v>0</v>
      </c>
      <c r="AU283" s="11">
        <f t="shared" si="168"/>
        <v>0</v>
      </c>
      <c r="AV283" s="6"/>
      <c r="AW283" s="6"/>
      <c r="AX283" s="6"/>
      <c r="AZ283" t="str">
        <f t="shared" si="169"/>
        <v>{"group":"A",</v>
      </c>
      <c r="BA283" t="str">
        <f t="shared" si="150"/>
        <v>"lot":0,</v>
      </c>
      <c r="BB283" t="str">
        <f t="shared" si="170"/>
        <v>"name":"0",</v>
      </c>
      <c r="BC283" t="str">
        <f t="shared" si="171"/>
        <v>"team":"",</v>
      </c>
      <c r="BD283" t="str">
        <f t="shared" si="172"/>
        <v>"year":"0",</v>
      </c>
      <c r="BE283" t="str">
        <f t="shared" si="173"/>
        <v>"gender":"0",</v>
      </c>
      <c r="BF283" t="str">
        <f t="shared" si="174"/>
        <v>"gear":"0",</v>
      </c>
      <c r="BG283" t="str">
        <f t="shared" si="175"/>
        <v>"lifts":"0",</v>
      </c>
      <c r="BH283" t="str">
        <f t="shared" si="176"/>
        <v>"division":"--",</v>
      </c>
      <c r="BI283" t="str">
        <f t="shared" si="177"/>
        <v>"wc":"0",</v>
      </c>
      <c r="BJ283" t="str">
        <f t="shared" si="178"/>
        <v>"bw":"",</v>
      </c>
      <c r="BK283" t="str">
        <f t="shared" si="179"/>
        <v>"pb":[0,0,0,0],</v>
      </c>
      <c r="BL283" t="str">
        <f t="shared" si="151"/>
        <v>"idx":"23",</v>
      </c>
      <c r="BM283" t="str">
        <f t="shared" si="152"/>
        <v>"sr":"0",</v>
      </c>
      <c r="BN283" t="str">
        <f t="shared" si="153"/>
        <v>"br":"0",</v>
      </c>
      <c r="BO283" t="str">
        <f t="shared" si="154"/>
        <v>"row":0,</v>
      </c>
      <c r="BP283" t="s">
        <v>55</v>
      </c>
      <c r="BQ283" t="str">
        <f t="shared" si="155"/>
        <v>"sq":{"a1":0,"a2":"","a3":"","s1":0,"s2":0,"s3":0},"bp":{"a1":0,"a2":"","a3":"","s1":0,"s2":0,"s3":0},"dl":{"a1":0,"a2":"","a3":"","s1":0,"s2":0,"s3":0},"sortOrder":0,"act":{}}</v>
      </c>
      <c r="BR283" t="str">
        <f t="shared" si="180"/>
        <v>{"group":"A","lot":0,"name":"0","team":"","year":"0","gender":"0","gear":"0","lifts":"0","division":"--","wc":"0","bw":"","pb":[0,0,0,0],"idx":"23","sr":"0","br":"0","row":0,"sq":{"a1":0,"a2":"","a3":"","s1":0,"s2":0,"s3":0},"bp":{"a1":0,"a2":"","a3":"","s1":0,"s2":0,"s3":0},"dl":{"a1":0,"a2":"","a3":"","s1":0,"s2":0,"s3":0},"sortOrder":0,"act":{}}</v>
      </c>
    </row>
    <row r="284" spans="5:70" x14ac:dyDescent="0.25">
      <c r="E284" s="128"/>
      <c r="F284" s="129"/>
      <c r="G284" s="129"/>
      <c r="H284" s="129"/>
      <c r="I284" s="129"/>
      <c r="J284" s="129"/>
      <c r="K284" s="129"/>
      <c r="L284" s="130"/>
      <c r="M284" s="131"/>
      <c r="N284" s="130"/>
      <c r="O284" s="148">
        <f t="shared" ca="1" si="181"/>
        <v>2023</v>
      </c>
      <c r="P284" s="129"/>
      <c r="Q284" s="129"/>
      <c r="R284" s="129"/>
      <c r="S284" s="129"/>
      <c r="T284" s="129"/>
      <c r="U284" s="129"/>
      <c r="V284" s="129"/>
      <c r="W284" s="129"/>
      <c r="X284" s="129"/>
      <c r="Y284" s="132"/>
      <c r="Z284" s="133"/>
      <c r="AA284" s="133"/>
      <c r="AB284" s="134"/>
      <c r="AE284" s="15" t="str">
        <f t="shared" si="147"/>
        <v>A</v>
      </c>
      <c r="AF284" s="8">
        <f t="shared" si="148"/>
        <v>0</v>
      </c>
      <c r="AG284" s="9">
        <f t="shared" si="156"/>
        <v>0</v>
      </c>
      <c r="AH284" s="9" t="str">
        <f t="shared" si="157"/>
        <v/>
      </c>
      <c r="AI284" s="8">
        <f t="shared" si="149"/>
        <v>0</v>
      </c>
      <c r="AJ284" s="45">
        <f t="shared" si="158"/>
        <v>0</v>
      </c>
      <c r="AK284" s="45">
        <f t="shared" si="159"/>
        <v>0</v>
      </c>
      <c r="AL284" s="45">
        <f t="shared" si="160"/>
        <v>0</v>
      </c>
      <c r="AM284" s="8" t="str">
        <f t="shared" si="161"/>
        <v>--</v>
      </c>
      <c r="AN284" s="10">
        <f t="shared" si="162"/>
        <v>0</v>
      </c>
      <c r="AO284" s="10">
        <f t="shared" si="163"/>
        <v>0</v>
      </c>
      <c r="AP284" s="10">
        <f t="shared" si="164"/>
        <v>0</v>
      </c>
      <c r="AQ284" s="10">
        <f t="shared" si="165"/>
        <v>0</v>
      </c>
      <c r="AR284" s="10">
        <f t="shared" si="166"/>
        <v>0</v>
      </c>
      <c r="AS284" s="8">
        <v>23</v>
      </c>
      <c r="AT284" s="9">
        <f t="shared" si="167"/>
        <v>0</v>
      </c>
      <c r="AU284" s="11">
        <f t="shared" si="168"/>
        <v>0</v>
      </c>
      <c r="AV284" s="6"/>
      <c r="AW284" s="6"/>
      <c r="AX284" s="6"/>
      <c r="AZ284" t="str">
        <f t="shared" si="169"/>
        <v>{"group":"A",</v>
      </c>
      <c r="BA284" t="str">
        <f t="shared" si="150"/>
        <v>"lot":0,</v>
      </c>
      <c r="BB284" t="str">
        <f t="shared" si="170"/>
        <v>"name":"0",</v>
      </c>
      <c r="BC284" t="str">
        <f t="shared" si="171"/>
        <v>"team":"",</v>
      </c>
      <c r="BD284" t="str">
        <f t="shared" si="172"/>
        <v>"year":"0",</v>
      </c>
      <c r="BE284" t="str">
        <f t="shared" si="173"/>
        <v>"gender":"0",</v>
      </c>
      <c r="BF284" t="str">
        <f t="shared" si="174"/>
        <v>"gear":"0",</v>
      </c>
      <c r="BG284" t="str">
        <f t="shared" si="175"/>
        <v>"lifts":"0",</v>
      </c>
      <c r="BH284" t="str">
        <f t="shared" si="176"/>
        <v>"division":"--",</v>
      </c>
      <c r="BI284" t="str">
        <f t="shared" si="177"/>
        <v>"wc":"0",</v>
      </c>
      <c r="BJ284" t="str">
        <f t="shared" si="178"/>
        <v>"bw":"",</v>
      </c>
      <c r="BK284" t="str">
        <f t="shared" si="179"/>
        <v>"pb":[0,0,0,0],</v>
      </c>
      <c r="BL284" t="str">
        <f t="shared" si="151"/>
        <v>"idx":"23",</v>
      </c>
      <c r="BM284" t="str">
        <f t="shared" si="152"/>
        <v>"sr":"0",</v>
      </c>
      <c r="BN284" t="str">
        <f t="shared" si="153"/>
        <v>"br":"0",</v>
      </c>
      <c r="BO284" t="str">
        <f t="shared" si="154"/>
        <v>"row":0,</v>
      </c>
      <c r="BP284" t="s">
        <v>55</v>
      </c>
      <c r="BQ284" t="str">
        <f t="shared" si="155"/>
        <v>"sq":{"a1":0,"a2":"","a3":"","s1":0,"s2":0,"s3":0},"bp":{"a1":0,"a2":"","a3":"","s1":0,"s2":0,"s3":0},"dl":{"a1":0,"a2":"","a3":"","s1":0,"s2":0,"s3":0},"sortOrder":0,"act":{}}</v>
      </c>
      <c r="BR284" t="str">
        <f t="shared" si="180"/>
        <v>{"group":"A","lot":0,"name":"0","team":"","year":"0","gender":"0","gear":"0","lifts":"0","division":"--","wc":"0","bw":"","pb":[0,0,0,0],"idx":"23","sr":"0","br":"0","row":0,"sq":{"a1":0,"a2":"","a3":"","s1":0,"s2":0,"s3":0},"bp":{"a1":0,"a2":"","a3":"","s1":0,"s2":0,"s3":0},"dl":{"a1":0,"a2":"","a3":"","s1":0,"s2":0,"s3":0},"sortOrder":0,"act":{}}</v>
      </c>
    </row>
    <row r="285" spans="5:70" x14ac:dyDescent="0.25">
      <c r="E285" s="128"/>
      <c r="F285" s="129"/>
      <c r="G285" s="129"/>
      <c r="H285" s="129"/>
      <c r="I285" s="129"/>
      <c r="J285" s="129"/>
      <c r="K285" s="129"/>
      <c r="L285" s="130"/>
      <c r="M285" s="131"/>
      <c r="N285" s="130"/>
      <c r="O285" s="148">
        <f t="shared" ca="1" si="181"/>
        <v>2023</v>
      </c>
      <c r="P285" s="129"/>
      <c r="Q285" s="129"/>
      <c r="R285" s="129"/>
      <c r="S285" s="129"/>
      <c r="T285" s="129"/>
      <c r="U285" s="129"/>
      <c r="V285" s="129"/>
      <c r="W285" s="129"/>
      <c r="X285" s="129"/>
      <c r="Y285" s="132"/>
      <c r="Z285" s="133"/>
      <c r="AA285" s="133"/>
      <c r="AB285" s="134"/>
      <c r="AE285" s="15" t="str">
        <f t="shared" si="147"/>
        <v>A</v>
      </c>
      <c r="AF285" s="8">
        <f t="shared" si="148"/>
        <v>0</v>
      </c>
      <c r="AG285" s="9">
        <f t="shared" si="156"/>
        <v>0</v>
      </c>
      <c r="AH285" s="9" t="str">
        <f t="shared" si="157"/>
        <v/>
      </c>
      <c r="AI285" s="8">
        <f t="shared" si="149"/>
        <v>0</v>
      </c>
      <c r="AJ285" s="45">
        <f t="shared" si="158"/>
        <v>0</v>
      </c>
      <c r="AK285" s="45">
        <f t="shared" si="159"/>
        <v>0</v>
      </c>
      <c r="AL285" s="45">
        <f t="shared" si="160"/>
        <v>0</v>
      </c>
      <c r="AM285" s="8" t="str">
        <f t="shared" si="161"/>
        <v>--</v>
      </c>
      <c r="AN285" s="10">
        <f t="shared" si="162"/>
        <v>0</v>
      </c>
      <c r="AO285" s="10">
        <f t="shared" si="163"/>
        <v>0</v>
      </c>
      <c r="AP285" s="10">
        <f t="shared" si="164"/>
        <v>0</v>
      </c>
      <c r="AQ285" s="10">
        <f t="shared" si="165"/>
        <v>0</v>
      </c>
      <c r="AR285" s="10">
        <f t="shared" si="166"/>
        <v>0</v>
      </c>
      <c r="AS285" s="8">
        <v>23</v>
      </c>
      <c r="AT285" s="9">
        <f t="shared" si="167"/>
        <v>0</v>
      </c>
      <c r="AU285" s="11">
        <f t="shared" si="168"/>
        <v>0</v>
      </c>
      <c r="AV285" s="6"/>
      <c r="AW285" s="6"/>
      <c r="AX285" s="6"/>
      <c r="AZ285" t="str">
        <f t="shared" si="169"/>
        <v>{"group":"A",</v>
      </c>
      <c r="BA285" t="str">
        <f t="shared" si="150"/>
        <v>"lot":0,</v>
      </c>
      <c r="BB285" t="str">
        <f t="shared" si="170"/>
        <v>"name":"0",</v>
      </c>
      <c r="BC285" t="str">
        <f t="shared" si="171"/>
        <v>"team":"",</v>
      </c>
      <c r="BD285" t="str">
        <f t="shared" si="172"/>
        <v>"year":"0",</v>
      </c>
      <c r="BE285" t="str">
        <f t="shared" si="173"/>
        <v>"gender":"0",</v>
      </c>
      <c r="BF285" t="str">
        <f t="shared" si="174"/>
        <v>"gear":"0",</v>
      </c>
      <c r="BG285" t="str">
        <f t="shared" si="175"/>
        <v>"lifts":"0",</v>
      </c>
      <c r="BH285" t="str">
        <f t="shared" si="176"/>
        <v>"division":"--",</v>
      </c>
      <c r="BI285" t="str">
        <f t="shared" si="177"/>
        <v>"wc":"0",</v>
      </c>
      <c r="BJ285" t="str">
        <f t="shared" si="178"/>
        <v>"bw":"",</v>
      </c>
      <c r="BK285" t="str">
        <f t="shared" si="179"/>
        <v>"pb":[0,0,0,0],</v>
      </c>
      <c r="BL285" t="str">
        <f t="shared" si="151"/>
        <v>"idx":"23",</v>
      </c>
      <c r="BM285" t="str">
        <f t="shared" si="152"/>
        <v>"sr":"0",</v>
      </c>
      <c r="BN285" t="str">
        <f t="shared" si="153"/>
        <v>"br":"0",</v>
      </c>
      <c r="BO285" t="str">
        <f t="shared" si="154"/>
        <v>"row":0,</v>
      </c>
      <c r="BP285" t="s">
        <v>55</v>
      </c>
      <c r="BQ285" t="str">
        <f t="shared" si="155"/>
        <v>"sq":{"a1":0,"a2":"","a3":"","s1":0,"s2":0,"s3":0},"bp":{"a1":0,"a2":"","a3":"","s1":0,"s2":0,"s3":0},"dl":{"a1":0,"a2":"","a3":"","s1":0,"s2":0,"s3":0},"sortOrder":0,"act":{}}</v>
      </c>
      <c r="BR285" t="str">
        <f t="shared" si="180"/>
        <v>{"group":"A","lot":0,"name":"0","team":"","year":"0","gender":"0","gear":"0","lifts":"0","division":"--","wc":"0","bw":"","pb":[0,0,0,0],"idx":"23","sr":"0","br":"0","row":0,"sq":{"a1":0,"a2":"","a3":"","s1":0,"s2":0,"s3":0},"bp":{"a1":0,"a2":"","a3":"","s1":0,"s2":0,"s3":0},"dl":{"a1":0,"a2":"","a3":"","s1":0,"s2":0,"s3":0},"sortOrder":0,"act":{}}</v>
      </c>
    </row>
    <row r="286" spans="5:70" x14ac:dyDescent="0.25">
      <c r="E286" s="128"/>
      <c r="F286" s="129"/>
      <c r="G286" s="129"/>
      <c r="H286" s="129"/>
      <c r="I286" s="129"/>
      <c r="J286" s="129"/>
      <c r="K286" s="129"/>
      <c r="L286" s="130"/>
      <c r="M286" s="131"/>
      <c r="N286" s="130"/>
      <c r="O286" s="148">
        <f t="shared" ca="1" si="181"/>
        <v>2023</v>
      </c>
      <c r="P286" s="129"/>
      <c r="Q286" s="129"/>
      <c r="R286" s="129"/>
      <c r="S286" s="129"/>
      <c r="T286" s="129"/>
      <c r="U286" s="129"/>
      <c r="V286" s="129"/>
      <c r="W286" s="129"/>
      <c r="X286" s="129"/>
      <c r="Y286" s="132"/>
      <c r="Z286" s="133"/>
      <c r="AA286" s="133"/>
      <c r="AB286" s="134"/>
      <c r="AE286" s="15" t="str">
        <f t="shared" si="147"/>
        <v>A</v>
      </c>
      <c r="AF286" s="8">
        <f t="shared" si="148"/>
        <v>0</v>
      </c>
      <c r="AG286" s="9">
        <f t="shared" si="156"/>
        <v>0</v>
      </c>
      <c r="AH286" s="9" t="str">
        <f t="shared" si="157"/>
        <v/>
      </c>
      <c r="AI286" s="8">
        <f t="shared" si="149"/>
        <v>0</v>
      </c>
      <c r="AJ286" s="45">
        <f t="shared" si="158"/>
        <v>0</v>
      </c>
      <c r="AK286" s="45">
        <f t="shared" si="159"/>
        <v>0</v>
      </c>
      <c r="AL286" s="45">
        <f t="shared" si="160"/>
        <v>0</v>
      </c>
      <c r="AM286" s="8" t="str">
        <f t="shared" si="161"/>
        <v>--</v>
      </c>
      <c r="AN286" s="10">
        <f t="shared" si="162"/>
        <v>0</v>
      </c>
      <c r="AO286" s="10">
        <f t="shared" si="163"/>
        <v>0</v>
      </c>
      <c r="AP286" s="10">
        <f t="shared" si="164"/>
        <v>0</v>
      </c>
      <c r="AQ286" s="10">
        <f t="shared" si="165"/>
        <v>0</v>
      </c>
      <c r="AR286" s="10">
        <f t="shared" si="166"/>
        <v>0</v>
      </c>
      <c r="AS286" s="8">
        <v>23</v>
      </c>
      <c r="AT286" s="9">
        <f t="shared" si="167"/>
        <v>0</v>
      </c>
      <c r="AU286" s="11">
        <f t="shared" si="168"/>
        <v>0</v>
      </c>
      <c r="AV286" s="6"/>
      <c r="AW286" s="6"/>
      <c r="AX286" s="6"/>
      <c r="AZ286" t="str">
        <f t="shared" si="169"/>
        <v>{"group":"A",</v>
      </c>
      <c r="BA286" t="str">
        <f t="shared" si="150"/>
        <v>"lot":0,</v>
      </c>
      <c r="BB286" t="str">
        <f t="shared" si="170"/>
        <v>"name":"0",</v>
      </c>
      <c r="BC286" t="str">
        <f t="shared" si="171"/>
        <v>"team":"",</v>
      </c>
      <c r="BD286" t="str">
        <f t="shared" si="172"/>
        <v>"year":"0",</v>
      </c>
      <c r="BE286" t="str">
        <f t="shared" si="173"/>
        <v>"gender":"0",</v>
      </c>
      <c r="BF286" t="str">
        <f t="shared" si="174"/>
        <v>"gear":"0",</v>
      </c>
      <c r="BG286" t="str">
        <f t="shared" si="175"/>
        <v>"lifts":"0",</v>
      </c>
      <c r="BH286" t="str">
        <f t="shared" si="176"/>
        <v>"division":"--",</v>
      </c>
      <c r="BI286" t="str">
        <f t="shared" si="177"/>
        <v>"wc":"0",</v>
      </c>
      <c r="BJ286" t="str">
        <f t="shared" si="178"/>
        <v>"bw":"",</v>
      </c>
      <c r="BK286" t="str">
        <f t="shared" si="179"/>
        <v>"pb":[0,0,0,0],</v>
      </c>
      <c r="BL286" t="str">
        <f t="shared" si="151"/>
        <v>"idx":"23",</v>
      </c>
      <c r="BM286" t="str">
        <f t="shared" si="152"/>
        <v>"sr":"0",</v>
      </c>
      <c r="BN286" t="str">
        <f t="shared" si="153"/>
        <v>"br":"0",</v>
      </c>
      <c r="BO286" t="str">
        <f t="shared" si="154"/>
        <v>"row":0,</v>
      </c>
      <c r="BP286" t="s">
        <v>55</v>
      </c>
      <c r="BQ286" t="str">
        <f t="shared" si="155"/>
        <v>"sq":{"a1":0,"a2":"","a3":"","s1":0,"s2":0,"s3":0},"bp":{"a1":0,"a2":"","a3":"","s1":0,"s2":0,"s3":0},"dl":{"a1":0,"a2":"","a3":"","s1":0,"s2":0,"s3":0},"sortOrder":0,"act":{}}</v>
      </c>
      <c r="BR286" t="str">
        <f t="shared" si="180"/>
        <v>{"group":"A","lot":0,"name":"0","team":"","year":"0","gender":"0","gear":"0","lifts":"0","division":"--","wc":"0","bw":"","pb":[0,0,0,0],"idx":"23","sr":"0","br":"0","row":0,"sq":{"a1":0,"a2":"","a3":"","s1":0,"s2":0,"s3":0},"bp":{"a1":0,"a2":"","a3":"","s1":0,"s2":0,"s3":0},"dl":{"a1":0,"a2":"","a3":"","s1":0,"s2":0,"s3":0},"sortOrder":0,"act":{}}</v>
      </c>
    </row>
    <row r="287" spans="5:70" x14ac:dyDescent="0.25">
      <c r="E287" s="128"/>
      <c r="F287" s="129"/>
      <c r="G287" s="129"/>
      <c r="H287" s="129"/>
      <c r="I287" s="129"/>
      <c r="J287" s="129"/>
      <c r="K287" s="129"/>
      <c r="L287" s="130"/>
      <c r="M287" s="131"/>
      <c r="N287" s="130"/>
      <c r="O287" s="148">
        <f t="shared" ca="1" si="181"/>
        <v>2023</v>
      </c>
      <c r="P287" s="129"/>
      <c r="Q287" s="129"/>
      <c r="R287" s="129"/>
      <c r="S287" s="129"/>
      <c r="T287" s="129"/>
      <c r="U287" s="129"/>
      <c r="V287" s="129"/>
      <c r="W287" s="129"/>
      <c r="X287" s="129"/>
      <c r="Y287" s="132"/>
      <c r="Z287" s="133"/>
      <c r="AA287" s="133"/>
      <c r="AB287" s="134"/>
      <c r="AE287" s="15" t="str">
        <f t="shared" si="147"/>
        <v>A</v>
      </c>
      <c r="AF287" s="8">
        <f t="shared" si="148"/>
        <v>0</v>
      </c>
      <c r="AG287" s="9">
        <f t="shared" si="156"/>
        <v>0</v>
      </c>
      <c r="AH287" s="9" t="str">
        <f t="shared" si="157"/>
        <v/>
      </c>
      <c r="AI287" s="8">
        <f t="shared" si="149"/>
        <v>0</v>
      </c>
      <c r="AJ287" s="45">
        <f t="shared" si="158"/>
        <v>0</v>
      </c>
      <c r="AK287" s="45">
        <f t="shared" si="159"/>
        <v>0</v>
      </c>
      <c r="AL287" s="45">
        <f t="shared" si="160"/>
        <v>0</v>
      </c>
      <c r="AM287" s="8" t="str">
        <f t="shared" si="161"/>
        <v>--</v>
      </c>
      <c r="AN287" s="10">
        <f t="shared" si="162"/>
        <v>0</v>
      </c>
      <c r="AO287" s="10">
        <f t="shared" si="163"/>
        <v>0</v>
      </c>
      <c r="AP287" s="10">
        <f t="shared" si="164"/>
        <v>0</v>
      </c>
      <c r="AQ287" s="10">
        <f t="shared" si="165"/>
        <v>0</v>
      </c>
      <c r="AR287" s="10">
        <f t="shared" si="166"/>
        <v>0</v>
      </c>
      <c r="AS287" s="8">
        <v>23</v>
      </c>
      <c r="AT287" s="9">
        <f t="shared" si="167"/>
        <v>0</v>
      </c>
      <c r="AU287" s="11">
        <f t="shared" si="168"/>
        <v>0</v>
      </c>
      <c r="AV287" s="6"/>
      <c r="AW287" s="6"/>
      <c r="AX287" s="6"/>
      <c r="AZ287" t="str">
        <f t="shared" si="169"/>
        <v>{"group":"A",</v>
      </c>
      <c r="BA287" t="str">
        <f t="shared" si="150"/>
        <v>"lot":0,</v>
      </c>
      <c r="BB287" t="str">
        <f t="shared" si="170"/>
        <v>"name":"0",</v>
      </c>
      <c r="BC287" t="str">
        <f t="shared" si="171"/>
        <v>"team":"",</v>
      </c>
      <c r="BD287" t="str">
        <f t="shared" si="172"/>
        <v>"year":"0",</v>
      </c>
      <c r="BE287" t="str">
        <f t="shared" si="173"/>
        <v>"gender":"0",</v>
      </c>
      <c r="BF287" t="str">
        <f t="shared" si="174"/>
        <v>"gear":"0",</v>
      </c>
      <c r="BG287" t="str">
        <f t="shared" si="175"/>
        <v>"lifts":"0",</v>
      </c>
      <c r="BH287" t="str">
        <f t="shared" si="176"/>
        <v>"division":"--",</v>
      </c>
      <c r="BI287" t="str">
        <f t="shared" si="177"/>
        <v>"wc":"0",</v>
      </c>
      <c r="BJ287" t="str">
        <f t="shared" si="178"/>
        <v>"bw":"",</v>
      </c>
      <c r="BK287" t="str">
        <f t="shared" si="179"/>
        <v>"pb":[0,0,0,0],</v>
      </c>
      <c r="BL287" t="str">
        <f t="shared" si="151"/>
        <v>"idx":"23",</v>
      </c>
      <c r="BM287" t="str">
        <f t="shared" si="152"/>
        <v>"sr":"0",</v>
      </c>
      <c r="BN287" t="str">
        <f t="shared" si="153"/>
        <v>"br":"0",</v>
      </c>
      <c r="BO287" t="str">
        <f t="shared" si="154"/>
        <v>"row":0,</v>
      </c>
      <c r="BP287" t="s">
        <v>55</v>
      </c>
      <c r="BQ287" t="str">
        <f t="shared" si="155"/>
        <v>"sq":{"a1":0,"a2":"","a3":"","s1":0,"s2":0,"s3":0},"bp":{"a1":0,"a2":"","a3":"","s1":0,"s2":0,"s3":0},"dl":{"a1":0,"a2":"","a3":"","s1":0,"s2":0,"s3":0},"sortOrder":0,"act":{}}</v>
      </c>
      <c r="BR287" t="str">
        <f t="shared" si="180"/>
        <v>{"group":"A","lot":0,"name":"0","team":"","year":"0","gender":"0","gear":"0","lifts":"0","division":"--","wc":"0","bw":"","pb":[0,0,0,0],"idx":"23","sr":"0","br":"0","row":0,"sq":{"a1":0,"a2":"","a3":"","s1":0,"s2":0,"s3":0},"bp":{"a1":0,"a2":"","a3":"","s1":0,"s2":0,"s3":0},"dl":{"a1":0,"a2":"","a3":"","s1":0,"s2":0,"s3":0},"sortOrder":0,"act":{}}</v>
      </c>
    </row>
    <row r="288" spans="5:70" x14ac:dyDescent="0.25">
      <c r="E288" s="128"/>
      <c r="F288" s="129"/>
      <c r="G288" s="129"/>
      <c r="H288" s="129"/>
      <c r="I288" s="129"/>
      <c r="J288" s="129"/>
      <c r="K288" s="129"/>
      <c r="L288" s="130"/>
      <c r="M288" s="131"/>
      <c r="N288" s="130"/>
      <c r="O288" s="148">
        <f t="shared" ca="1" si="181"/>
        <v>2023</v>
      </c>
      <c r="P288" s="129"/>
      <c r="Q288" s="129"/>
      <c r="R288" s="129"/>
      <c r="S288" s="129"/>
      <c r="T288" s="129"/>
      <c r="U288" s="129"/>
      <c r="V288" s="129"/>
      <c r="W288" s="129"/>
      <c r="X288" s="129"/>
      <c r="Y288" s="132"/>
      <c r="Z288" s="133"/>
      <c r="AA288" s="133"/>
      <c r="AB288" s="134"/>
      <c r="AE288" s="15" t="str">
        <f t="shared" si="147"/>
        <v>A</v>
      </c>
      <c r="AF288" s="8">
        <f t="shared" si="148"/>
        <v>0</v>
      </c>
      <c r="AG288" s="9">
        <f t="shared" si="156"/>
        <v>0</v>
      </c>
      <c r="AH288" s="9" t="str">
        <f t="shared" si="157"/>
        <v/>
      </c>
      <c r="AI288" s="8">
        <f t="shared" si="149"/>
        <v>0</v>
      </c>
      <c r="AJ288" s="45">
        <f t="shared" si="158"/>
        <v>0</v>
      </c>
      <c r="AK288" s="45">
        <f t="shared" si="159"/>
        <v>0</v>
      </c>
      <c r="AL288" s="45">
        <f t="shared" si="160"/>
        <v>0</v>
      </c>
      <c r="AM288" s="8" t="str">
        <f t="shared" si="161"/>
        <v>--</v>
      </c>
      <c r="AN288" s="10">
        <f t="shared" si="162"/>
        <v>0</v>
      </c>
      <c r="AO288" s="10">
        <f t="shared" si="163"/>
        <v>0</v>
      </c>
      <c r="AP288" s="10">
        <f t="shared" si="164"/>
        <v>0</v>
      </c>
      <c r="AQ288" s="10">
        <f t="shared" si="165"/>
        <v>0</v>
      </c>
      <c r="AR288" s="10">
        <f t="shared" si="166"/>
        <v>0</v>
      </c>
      <c r="AS288" s="8">
        <v>23</v>
      </c>
      <c r="AT288" s="9">
        <f t="shared" si="167"/>
        <v>0</v>
      </c>
      <c r="AU288" s="11">
        <f t="shared" si="168"/>
        <v>0</v>
      </c>
      <c r="AV288" s="6"/>
      <c r="AW288" s="6"/>
      <c r="AX288" s="6"/>
      <c r="AZ288" t="str">
        <f t="shared" si="169"/>
        <v>{"group":"A",</v>
      </c>
      <c r="BA288" t="str">
        <f t="shared" si="150"/>
        <v>"lot":0,</v>
      </c>
      <c r="BB288" t="str">
        <f t="shared" si="170"/>
        <v>"name":"0",</v>
      </c>
      <c r="BC288" t="str">
        <f t="shared" si="171"/>
        <v>"team":"",</v>
      </c>
      <c r="BD288" t="str">
        <f t="shared" si="172"/>
        <v>"year":"0",</v>
      </c>
      <c r="BE288" t="str">
        <f t="shared" si="173"/>
        <v>"gender":"0",</v>
      </c>
      <c r="BF288" t="str">
        <f t="shared" si="174"/>
        <v>"gear":"0",</v>
      </c>
      <c r="BG288" t="str">
        <f t="shared" si="175"/>
        <v>"lifts":"0",</v>
      </c>
      <c r="BH288" t="str">
        <f t="shared" si="176"/>
        <v>"division":"--",</v>
      </c>
      <c r="BI288" t="str">
        <f t="shared" si="177"/>
        <v>"wc":"0",</v>
      </c>
      <c r="BJ288" t="str">
        <f t="shared" si="178"/>
        <v>"bw":"",</v>
      </c>
      <c r="BK288" t="str">
        <f t="shared" si="179"/>
        <v>"pb":[0,0,0,0],</v>
      </c>
      <c r="BL288" t="str">
        <f t="shared" si="151"/>
        <v>"idx":"23",</v>
      </c>
      <c r="BM288" t="str">
        <f t="shared" si="152"/>
        <v>"sr":"0",</v>
      </c>
      <c r="BN288" t="str">
        <f t="shared" si="153"/>
        <v>"br":"0",</v>
      </c>
      <c r="BO288" t="str">
        <f t="shared" si="154"/>
        <v>"row":0,</v>
      </c>
      <c r="BP288" t="s">
        <v>55</v>
      </c>
      <c r="BQ288" t="str">
        <f t="shared" si="155"/>
        <v>"sq":{"a1":0,"a2":"","a3":"","s1":0,"s2":0,"s3":0},"bp":{"a1":0,"a2":"","a3":"","s1":0,"s2":0,"s3":0},"dl":{"a1":0,"a2":"","a3":"","s1":0,"s2":0,"s3":0},"sortOrder":0,"act":{}}</v>
      </c>
      <c r="BR288" t="str">
        <f t="shared" si="180"/>
        <v>{"group":"A","lot":0,"name":"0","team":"","year":"0","gender":"0","gear":"0","lifts":"0","division":"--","wc":"0","bw":"","pb":[0,0,0,0],"idx":"23","sr":"0","br":"0","row":0,"sq":{"a1":0,"a2":"","a3":"","s1":0,"s2":0,"s3":0},"bp":{"a1":0,"a2":"","a3":"","s1":0,"s2":0,"s3":0},"dl":{"a1":0,"a2":"","a3":"","s1":0,"s2":0,"s3":0},"sortOrder":0,"act":{}}</v>
      </c>
    </row>
    <row r="289" spans="5:70" x14ac:dyDescent="0.25">
      <c r="E289" s="128"/>
      <c r="F289" s="129"/>
      <c r="G289" s="129"/>
      <c r="H289" s="129"/>
      <c r="I289" s="129"/>
      <c r="J289" s="129"/>
      <c r="K289" s="129"/>
      <c r="L289" s="130"/>
      <c r="M289" s="131"/>
      <c r="N289" s="130"/>
      <c r="O289" s="148">
        <f t="shared" ca="1" si="181"/>
        <v>2023</v>
      </c>
      <c r="P289" s="129"/>
      <c r="Q289" s="129"/>
      <c r="R289" s="129"/>
      <c r="S289" s="129"/>
      <c r="T289" s="129"/>
      <c r="U289" s="129"/>
      <c r="V289" s="129"/>
      <c r="W289" s="129"/>
      <c r="X289" s="129"/>
      <c r="Y289" s="132"/>
      <c r="Z289" s="133"/>
      <c r="AA289" s="133"/>
      <c r="AB289" s="134"/>
      <c r="AE289" s="15" t="str">
        <f t="shared" si="147"/>
        <v>A</v>
      </c>
      <c r="AF289" s="8">
        <f t="shared" si="148"/>
        <v>0</v>
      </c>
      <c r="AG289" s="9">
        <f t="shared" si="156"/>
        <v>0</v>
      </c>
      <c r="AH289" s="9" t="str">
        <f t="shared" si="157"/>
        <v/>
      </c>
      <c r="AI289" s="8">
        <f t="shared" si="149"/>
        <v>0</v>
      </c>
      <c r="AJ289" s="45">
        <f t="shared" si="158"/>
        <v>0</v>
      </c>
      <c r="AK289" s="45">
        <f t="shared" si="159"/>
        <v>0</v>
      </c>
      <c r="AL289" s="45">
        <f t="shared" si="160"/>
        <v>0</v>
      </c>
      <c r="AM289" s="8" t="str">
        <f t="shared" si="161"/>
        <v>--</v>
      </c>
      <c r="AN289" s="10">
        <f t="shared" si="162"/>
        <v>0</v>
      </c>
      <c r="AO289" s="10">
        <f t="shared" si="163"/>
        <v>0</v>
      </c>
      <c r="AP289" s="10">
        <f t="shared" si="164"/>
        <v>0</v>
      </c>
      <c r="AQ289" s="10">
        <f t="shared" si="165"/>
        <v>0</v>
      </c>
      <c r="AR289" s="10">
        <f t="shared" si="166"/>
        <v>0</v>
      </c>
      <c r="AS289" s="8">
        <v>23</v>
      </c>
      <c r="AT289" s="9">
        <f t="shared" si="167"/>
        <v>0</v>
      </c>
      <c r="AU289" s="11">
        <f t="shared" si="168"/>
        <v>0</v>
      </c>
      <c r="AV289" s="6"/>
      <c r="AW289" s="6"/>
      <c r="AX289" s="6"/>
      <c r="AZ289" t="str">
        <f t="shared" si="169"/>
        <v>{"group":"A",</v>
      </c>
      <c r="BA289" t="str">
        <f t="shared" si="150"/>
        <v>"lot":0,</v>
      </c>
      <c r="BB289" t="str">
        <f t="shared" si="170"/>
        <v>"name":"0",</v>
      </c>
      <c r="BC289" t="str">
        <f t="shared" si="171"/>
        <v>"team":"",</v>
      </c>
      <c r="BD289" t="str">
        <f t="shared" si="172"/>
        <v>"year":"0",</v>
      </c>
      <c r="BE289" t="str">
        <f t="shared" si="173"/>
        <v>"gender":"0",</v>
      </c>
      <c r="BF289" t="str">
        <f t="shared" si="174"/>
        <v>"gear":"0",</v>
      </c>
      <c r="BG289" t="str">
        <f t="shared" si="175"/>
        <v>"lifts":"0",</v>
      </c>
      <c r="BH289" t="str">
        <f t="shared" si="176"/>
        <v>"division":"--",</v>
      </c>
      <c r="BI289" t="str">
        <f t="shared" si="177"/>
        <v>"wc":"0",</v>
      </c>
      <c r="BJ289" t="str">
        <f t="shared" si="178"/>
        <v>"bw":"",</v>
      </c>
      <c r="BK289" t="str">
        <f t="shared" si="179"/>
        <v>"pb":[0,0,0,0],</v>
      </c>
      <c r="BL289" t="str">
        <f t="shared" si="151"/>
        <v>"idx":"23",</v>
      </c>
      <c r="BM289" t="str">
        <f t="shared" si="152"/>
        <v>"sr":"0",</v>
      </c>
      <c r="BN289" t="str">
        <f t="shared" si="153"/>
        <v>"br":"0",</v>
      </c>
      <c r="BO289" t="str">
        <f t="shared" si="154"/>
        <v>"row":0,</v>
      </c>
      <c r="BP289" t="s">
        <v>55</v>
      </c>
      <c r="BQ289" t="str">
        <f t="shared" si="155"/>
        <v>"sq":{"a1":0,"a2":"","a3":"","s1":0,"s2":0,"s3":0},"bp":{"a1":0,"a2":"","a3":"","s1":0,"s2":0,"s3":0},"dl":{"a1":0,"a2":"","a3":"","s1":0,"s2":0,"s3":0},"sortOrder":0,"act":{}}</v>
      </c>
      <c r="BR289" t="str">
        <f t="shared" si="180"/>
        <v>{"group":"A","lot":0,"name":"0","team":"","year":"0","gender":"0","gear":"0","lifts":"0","division":"--","wc":"0","bw":"","pb":[0,0,0,0],"idx":"23","sr":"0","br":"0","row":0,"sq":{"a1":0,"a2":"","a3":"","s1":0,"s2":0,"s3":0},"bp":{"a1":0,"a2":"","a3":"","s1":0,"s2":0,"s3":0},"dl":{"a1":0,"a2":"","a3":"","s1":0,"s2":0,"s3":0},"sortOrder":0,"act":{}}</v>
      </c>
    </row>
    <row r="290" spans="5:70" x14ac:dyDescent="0.25">
      <c r="E290" s="128"/>
      <c r="F290" s="129"/>
      <c r="G290" s="129"/>
      <c r="H290" s="129"/>
      <c r="I290" s="129"/>
      <c r="J290" s="129"/>
      <c r="K290" s="129"/>
      <c r="L290" s="130"/>
      <c r="M290" s="131"/>
      <c r="N290" s="130"/>
      <c r="O290" s="148">
        <f t="shared" ca="1" si="181"/>
        <v>2023</v>
      </c>
      <c r="P290" s="129"/>
      <c r="Q290" s="129"/>
      <c r="R290" s="129"/>
      <c r="S290" s="129"/>
      <c r="T290" s="129"/>
      <c r="U290" s="129"/>
      <c r="V290" s="129"/>
      <c r="W290" s="129"/>
      <c r="X290" s="129"/>
      <c r="Y290" s="132"/>
      <c r="Z290" s="133"/>
      <c r="AA290" s="133"/>
      <c r="AB290" s="134"/>
      <c r="AE290" s="15" t="str">
        <f t="shared" si="147"/>
        <v>A</v>
      </c>
      <c r="AF290" s="8">
        <f t="shared" si="148"/>
        <v>0</v>
      </c>
      <c r="AG290" s="9">
        <f t="shared" si="156"/>
        <v>0</v>
      </c>
      <c r="AH290" s="9" t="str">
        <f t="shared" si="157"/>
        <v/>
      </c>
      <c r="AI290" s="8">
        <f t="shared" si="149"/>
        <v>0</v>
      </c>
      <c r="AJ290" s="45">
        <f t="shared" si="158"/>
        <v>0</v>
      </c>
      <c r="AK290" s="45">
        <f t="shared" si="159"/>
        <v>0</v>
      </c>
      <c r="AL290" s="45">
        <f t="shared" si="160"/>
        <v>0</v>
      </c>
      <c r="AM290" s="8" t="str">
        <f t="shared" si="161"/>
        <v>--</v>
      </c>
      <c r="AN290" s="10">
        <f t="shared" si="162"/>
        <v>0</v>
      </c>
      <c r="AO290" s="10">
        <f t="shared" si="163"/>
        <v>0</v>
      </c>
      <c r="AP290" s="10">
        <f t="shared" si="164"/>
        <v>0</v>
      </c>
      <c r="AQ290" s="10">
        <f t="shared" si="165"/>
        <v>0</v>
      </c>
      <c r="AR290" s="10">
        <f t="shared" si="166"/>
        <v>0</v>
      </c>
      <c r="AS290" s="8">
        <v>23</v>
      </c>
      <c r="AT290" s="9">
        <f t="shared" si="167"/>
        <v>0</v>
      </c>
      <c r="AU290" s="11">
        <f t="shared" si="168"/>
        <v>0</v>
      </c>
      <c r="AV290" s="6"/>
      <c r="AW290" s="6"/>
      <c r="AX290" s="6"/>
      <c r="AZ290" t="str">
        <f t="shared" si="169"/>
        <v>{"group":"A",</v>
      </c>
      <c r="BA290" t="str">
        <f t="shared" si="150"/>
        <v>"lot":0,</v>
      </c>
      <c r="BB290" t="str">
        <f t="shared" si="170"/>
        <v>"name":"0",</v>
      </c>
      <c r="BC290" t="str">
        <f t="shared" si="171"/>
        <v>"team":"",</v>
      </c>
      <c r="BD290" t="str">
        <f t="shared" si="172"/>
        <v>"year":"0",</v>
      </c>
      <c r="BE290" t="str">
        <f t="shared" si="173"/>
        <v>"gender":"0",</v>
      </c>
      <c r="BF290" t="str">
        <f t="shared" si="174"/>
        <v>"gear":"0",</v>
      </c>
      <c r="BG290" t="str">
        <f t="shared" si="175"/>
        <v>"lifts":"0",</v>
      </c>
      <c r="BH290" t="str">
        <f t="shared" si="176"/>
        <v>"division":"--",</v>
      </c>
      <c r="BI290" t="str">
        <f t="shared" si="177"/>
        <v>"wc":"0",</v>
      </c>
      <c r="BJ290" t="str">
        <f t="shared" si="178"/>
        <v>"bw":"",</v>
      </c>
      <c r="BK290" t="str">
        <f t="shared" si="179"/>
        <v>"pb":[0,0,0,0],</v>
      </c>
      <c r="BL290" t="str">
        <f t="shared" si="151"/>
        <v>"idx":"23",</v>
      </c>
      <c r="BM290" t="str">
        <f t="shared" si="152"/>
        <v>"sr":"0",</v>
      </c>
      <c r="BN290" t="str">
        <f t="shared" si="153"/>
        <v>"br":"0",</v>
      </c>
      <c r="BO290" t="str">
        <f t="shared" si="154"/>
        <v>"row":0,</v>
      </c>
      <c r="BP290" t="s">
        <v>55</v>
      </c>
      <c r="BQ290" t="str">
        <f t="shared" si="155"/>
        <v>"sq":{"a1":0,"a2":"","a3":"","s1":0,"s2":0,"s3":0},"bp":{"a1":0,"a2":"","a3":"","s1":0,"s2":0,"s3":0},"dl":{"a1":0,"a2":"","a3":"","s1":0,"s2":0,"s3":0},"sortOrder":0,"act":{}}</v>
      </c>
      <c r="BR290" t="str">
        <f t="shared" si="180"/>
        <v>{"group":"A","lot":0,"name":"0","team":"","year":"0","gender":"0","gear":"0","lifts":"0","division":"--","wc":"0","bw":"","pb":[0,0,0,0],"idx":"23","sr":"0","br":"0","row":0,"sq":{"a1":0,"a2":"","a3":"","s1":0,"s2":0,"s3":0},"bp":{"a1":0,"a2":"","a3":"","s1":0,"s2":0,"s3":0},"dl":{"a1":0,"a2":"","a3":"","s1":0,"s2":0,"s3":0},"sortOrder":0,"act":{}}</v>
      </c>
    </row>
    <row r="291" spans="5:70" x14ac:dyDescent="0.25">
      <c r="E291" s="128"/>
      <c r="F291" s="129"/>
      <c r="G291" s="129"/>
      <c r="H291" s="129"/>
      <c r="I291" s="129"/>
      <c r="J291" s="129"/>
      <c r="K291" s="129"/>
      <c r="L291" s="130"/>
      <c r="M291" s="131"/>
      <c r="N291" s="130"/>
      <c r="O291" s="148">
        <f t="shared" ca="1" si="181"/>
        <v>2023</v>
      </c>
      <c r="P291" s="129"/>
      <c r="Q291" s="129"/>
      <c r="R291" s="129"/>
      <c r="S291" s="129"/>
      <c r="T291" s="129"/>
      <c r="U291" s="129"/>
      <c r="V291" s="129"/>
      <c r="W291" s="129"/>
      <c r="X291" s="129"/>
      <c r="Y291" s="132"/>
      <c r="Z291" s="133"/>
      <c r="AA291" s="133"/>
      <c r="AB291" s="134"/>
      <c r="AE291" s="15" t="str">
        <f t="shared" si="147"/>
        <v>A</v>
      </c>
      <c r="AF291" s="8">
        <f t="shared" si="148"/>
        <v>0</v>
      </c>
      <c r="AG291" s="9">
        <f t="shared" si="156"/>
        <v>0</v>
      </c>
      <c r="AH291" s="9" t="str">
        <f t="shared" si="157"/>
        <v/>
      </c>
      <c r="AI291" s="8">
        <f t="shared" si="149"/>
        <v>0</v>
      </c>
      <c r="AJ291" s="45">
        <f t="shared" si="158"/>
        <v>0</v>
      </c>
      <c r="AK291" s="45">
        <f t="shared" si="159"/>
        <v>0</v>
      </c>
      <c r="AL291" s="45">
        <f t="shared" si="160"/>
        <v>0</v>
      </c>
      <c r="AM291" s="8" t="str">
        <f t="shared" si="161"/>
        <v>--</v>
      </c>
      <c r="AN291" s="10">
        <f t="shared" si="162"/>
        <v>0</v>
      </c>
      <c r="AO291" s="10">
        <f t="shared" si="163"/>
        <v>0</v>
      </c>
      <c r="AP291" s="10">
        <f t="shared" si="164"/>
        <v>0</v>
      </c>
      <c r="AQ291" s="10">
        <f t="shared" si="165"/>
        <v>0</v>
      </c>
      <c r="AR291" s="10">
        <f t="shared" si="166"/>
        <v>0</v>
      </c>
      <c r="AS291" s="8">
        <v>23</v>
      </c>
      <c r="AT291" s="9">
        <f t="shared" si="167"/>
        <v>0</v>
      </c>
      <c r="AU291" s="11">
        <f t="shared" si="168"/>
        <v>0</v>
      </c>
      <c r="AV291" s="6"/>
      <c r="AW291" s="6"/>
      <c r="AX291" s="6"/>
      <c r="AZ291" t="str">
        <f t="shared" si="169"/>
        <v>{"group":"A",</v>
      </c>
      <c r="BA291" t="str">
        <f t="shared" si="150"/>
        <v>"lot":0,</v>
      </c>
      <c r="BB291" t="str">
        <f t="shared" si="170"/>
        <v>"name":"0",</v>
      </c>
      <c r="BC291" t="str">
        <f t="shared" si="171"/>
        <v>"team":"",</v>
      </c>
      <c r="BD291" t="str">
        <f t="shared" si="172"/>
        <v>"year":"0",</v>
      </c>
      <c r="BE291" t="str">
        <f t="shared" si="173"/>
        <v>"gender":"0",</v>
      </c>
      <c r="BF291" t="str">
        <f t="shared" si="174"/>
        <v>"gear":"0",</v>
      </c>
      <c r="BG291" t="str">
        <f t="shared" si="175"/>
        <v>"lifts":"0",</v>
      </c>
      <c r="BH291" t="str">
        <f t="shared" si="176"/>
        <v>"division":"--",</v>
      </c>
      <c r="BI291" t="str">
        <f t="shared" si="177"/>
        <v>"wc":"0",</v>
      </c>
      <c r="BJ291" t="str">
        <f t="shared" si="178"/>
        <v>"bw":"",</v>
      </c>
      <c r="BK291" t="str">
        <f t="shared" si="179"/>
        <v>"pb":[0,0,0,0],</v>
      </c>
      <c r="BL291" t="str">
        <f t="shared" si="151"/>
        <v>"idx":"23",</v>
      </c>
      <c r="BM291" t="str">
        <f t="shared" si="152"/>
        <v>"sr":"0",</v>
      </c>
      <c r="BN291" t="str">
        <f t="shared" si="153"/>
        <v>"br":"0",</v>
      </c>
      <c r="BO291" t="str">
        <f t="shared" si="154"/>
        <v>"row":0,</v>
      </c>
      <c r="BP291" t="s">
        <v>55</v>
      </c>
      <c r="BQ291" t="str">
        <f t="shared" si="155"/>
        <v>"sq":{"a1":0,"a2":"","a3":"","s1":0,"s2":0,"s3":0},"bp":{"a1":0,"a2":"","a3":"","s1":0,"s2":0,"s3":0},"dl":{"a1":0,"a2":"","a3":"","s1":0,"s2":0,"s3":0},"sortOrder":0,"act":{}}</v>
      </c>
      <c r="BR291" t="str">
        <f t="shared" si="180"/>
        <v>{"group":"A","lot":0,"name":"0","team":"","year":"0","gender":"0","gear":"0","lifts":"0","division":"--","wc":"0","bw":"","pb":[0,0,0,0],"idx":"23","sr":"0","br":"0","row":0,"sq":{"a1":0,"a2":"","a3":"","s1":0,"s2":0,"s3":0},"bp":{"a1":0,"a2":"","a3":"","s1":0,"s2":0,"s3":0},"dl":{"a1":0,"a2":"","a3":"","s1":0,"s2":0,"s3":0},"sortOrder":0,"act":{}}</v>
      </c>
    </row>
    <row r="292" spans="5:70" x14ac:dyDescent="0.25">
      <c r="E292" s="128"/>
      <c r="F292" s="129"/>
      <c r="G292" s="129"/>
      <c r="H292" s="129"/>
      <c r="I292" s="129"/>
      <c r="J292" s="129"/>
      <c r="K292" s="129"/>
      <c r="L292" s="130"/>
      <c r="M292" s="131"/>
      <c r="N292" s="130"/>
      <c r="O292" s="148">
        <f t="shared" ca="1" si="181"/>
        <v>2023</v>
      </c>
      <c r="P292" s="129"/>
      <c r="Q292" s="129"/>
      <c r="R292" s="129"/>
      <c r="S292" s="129"/>
      <c r="T292" s="129"/>
      <c r="U292" s="129"/>
      <c r="V292" s="129"/>
      <c r="W292" s="129"/>
      <c r="X292" s="129"/>
      <c r="Y292" s="132"/>
      <c r="Z292" s="133"/>
      <c r="AA292" s="133"/>
      <c r="AB292" s="134"/>
      <c r="AE292" s="15" t="str">
        <f t="shared" si="147"/>
        <v>A</v>
      </c>
      <c r="AF292" s="8">
        <f t="shared" si="148"/>
        <v>0</v>
      </c>
      <c r="AG292" s="9">
        <f t="shared" si="156"/>
        <v>0</v>
      </c>
      <c r="AH292" s="9" t="str">
        <f t="shared" si="157"/>
        <v/>
      </c>
      <c r="AI292" s="8">
        <f t="shared" si="149"/>
        <v>0</v>
      </c>
      <c r="AJ292" s="45">
        <f t="shared" si="158"/>
        <v>0</v>
      </c>
      <c r="AK292" s="45">
        <f t="shared" si="159"/>
        <v>0</v>
      </c>
      <c r="AL292" s="45">
        <f t="shared" si="160"/>
        <v>0</v>
      </c>
      <c r="AM292" s="8" t="str">
        <f t="shared" si="161"/>
        <v>--</v>
      </c>
      <c r="AN292" s="10">
        <f t="shared" si="162"/>
        <v>0</v>
      </c>
      <c r="AO292" s="10">
        <f t="shared" si="163"/>
        <v>0</v>
      </c>
      <c r="AP292" s="10">
        <f t="shared" si="164"/>
        <v>0</v>
      </c>
      <c r="AQ292" s="10">
        <f t="shared" si="165"/>
        <v>0</v>
      </c>
      <c r="AR292" s="10">
        <f t="shared" si="166"/>
        <v>0</v>
      </c>
      <c r="AS292" s="8">
        <v>23</v>
      </c>
      <c r="AT292" s="9">
        <f t="shared" si="167"/>
        <v>0</v>
      </c>
      <c r="AU292" s="11">
        <f t="shared" si="168"/>
        <v>0</v>
      </c>
      <c r="AV292" s="6"/>
      <c r="AW292" s="6"/>
      <c r="AX292" s="6"/>
      <c r="AZ292" t="str">
        <f t="shared" si="169"/>
        <v>{"group":"A",</v>
      </c>
      <c r="BA292" t="str">
        <f t="shared" si="150"/>
        <v>"lot":0,</v>
      </c>
      <c r="BB292" t="str">
        <f t="shared" si="170"/>
        <v>"name":"0",</v>
      </c>
      <c r="BC292" t="str">
        <f t="shared" si="171"/>
        <v>"team":"",</v>
      </c>
      <c r="BD292" t="str">
        <f t="shared" si="172"/>
        <v>"year":"0",</v>
      </c>
      <c r="BE292" t="str">
        <f t="shared" si="173"/>
        <v>"gender":"0",</v>
      </c>
      <c r="BF292" t="str">
        <f t="shared" si="174"/>
        <v>"gear":"0",</v>
      </c>
      <c r="BG292" t="str">
        <f t="shared" si="175"/>
        <v>"lifts":"0",</v>
      </c>
      <c r="BH292" t="str">
        <f t="shared" si="176"/>
        <v>"division":"--",</v>
      </c>
      <c r="BI292" t="str">
        <f t="shared" si="177"/>
        <v>"wc":"0",</v>
      </c>
      <c r="BJ292" t="str">
        <f t="shared" si="178"/>
        <v>"bw":"",</v>
      </c>
      <c r="BK292" t="str">
        <f t="shared" si="179"/>
        <v>"pb":[0,0,0,0],</v>
      </c>
      <c r="BL292" t="str">
        <f t="shared" si="151"/>
        <v>"idx":"23",</v>
      </c>
      <c r="BM292" t="str">
        <f t="shared" si="152"/>
        <v>"sr":"0",</v>
      </c>
      <c r="BN292" t="str">
        <f t="shared" si="153"/>
        <v>"br":"0",</v>
      </c>
      <c r="BO292" t="str">
        <f t="shared" si="154"/>
        <v>"row":0,</v>
      </c>
      <c r="BP292" t="s">
        <v>55</v>
      </c>
      <c r="BQ292" t="str">
        <f t="shared" si="155"/>
        <v>"sq":{"a1":0,"a2":"","a3":"","s1":0,"s2":0,"s3":0},"bp":{"a1":0,"a2":"","a3":"","s1":0,"s2":0,"s3":0},"dl":{"a1":0,"a2":"","a3":"","s1":0,"s2":0,"s3":0},"sortOrder":0,"act":{}}</v>
      </c>
      <c r="BR292" t="str">
        <f t="shared" si="180"/>
        <v>{"group":"A","lot":0,"name":"0","team":"","year":"0","gender":"0","gear":"0","lifts":"0","division":"--","wc":"0","bw":"","pb":[0,0,0,0],"idx":"23","sr":"0","br":"0","row":0,"sq":{"a1":0,"a2":"","a3":"","s1":0,"s2":0,"s3":0},"bp":{"a1":0,"a2":"","a3":"","s1":0,"s2":0,"s3":0},"dl":{"a1":0,"a2":"","a3":"","s1":0,"s2":0,"s3":0},"sortOrder":0,"act":{}}</v>
      </c>
    </row>
    <row r="293" spans="5:70" x14ac:dyDescent="0.25">
      <c r="E293" s="128"/>
      <c r="F293" s="129"/>
      <c r="G293" s="129"/>
      <c r="H293" s="129"/>
      <c r="I293" s="129"/>
      <c r="J293" s="129"/>
      <c r="K293" s="129"/>
      <c r="L293" s="130"/>
      <c r="M293" s="131"/>
      <c r="N293" s="130"/>
      <c r="O293" s="148">
        <f t="shared" ca="1" si="181"/>
        <v>2023</v>
      </c>
      <c r="P293" s="129"/>
      <c r="Q293" s="129"/>
      <c r="R293" s="129"/>
      <c r="S293" s="129"/>
      <c r="T293" s="129"/>
      <c r="U293" s="129"/>
      <c r="V293" s="129"/>
      <c r="W293" s="129"/>
      <c r="X293" s="129"/>
      <c r="Y293" s="132"/>
      <c r="Z293" s="133"/>
      <c r="AA293" s="133"/>
      <c r="AB293" s="134"/>
      <c r="AE293" s="15" t="str">
        <f t="shared" si="147"/>
        <v>A</v>
      </c>
      <c r="AF293" s="8">
        <f t="shared" si="148"/>
        <v>0</v>
      </c>
      <c r="AG293" s="9">
        <f t="shared" si="156"/>
        <v>0</v>
      </c>
      <c r="AH293" s="9" t="str">
        <f t="shared" si="157"/>
        <v/>
      </c>
      <c r="AI293" s="8">
        <f t="shared" si="149"/>
        <v>0</v>
      </c>
      <c r="AJ293" s="45">
        <f t="shared" si="158"/>
        <v>0</v>
      </c>
      <c r="AK293" s="45">
        <f t="shared" si="159"/>
        <v>0</v>
      </c>
      <c r="AL293" s="45">
        <f t="shared" si="160"/>
        <v>0</v>
      </c>
      <c r="AM293" s="8" t="str">
        <f t="shared" si="161"/>
        <v>--</v>
      </c>
      <c r="AN293" s="10">
        <f t="shared" si="162"/>
        <v>0</v>
      </c>
      <c r="AO293" s="10">
        <f t="shared" si="163"/>
        <v>0</v>
      </c>
      <c r="AP293" s="10">
        <f t="shared" si="164"/>
        <v>0</v>
      </c>
      <c r="AQ293" s="10">
        <f t="shared" si="165"/>
        <v>0</v>
      </c>
      <c r="AR293" s="10">
        <f t="shared" si="166"/>
        <v>0</v>
      </c>
      <c r="AS293" s="8">
        <v>23</v>
      </c>
      <c r="AT293" s="9">
        <f t="shared" si="167"/>
        <v>0</v>
      </c>
      <c r="AU293" s="11">
        <f t="shared" si="168"/>
        <v>0</v>
      </c>
      <c r="AV293" s="6"/>
      <c r="AW293" s="6"/>
      <c r="AX293" s="6"/>
      <c r="AZ293" t="str">
        <f t="shared" si="169"/>
        <v>{"group":"A",</v>
      </c>
      <c r="BA293" t="str">
        <f t="shared" si="150"/>
        <v>"lot":0,</v>
      </c>
      <c r="BB293" t="str">
        <f t="shared" si="170"/>
        <v>"name":"0",</v>
      </c>
      <c r="BC293" t="str">
        <f t="shared" si="171"/>
        <v>"team":"",</v>
      </c>
      <c r="BD293" t="str">
        <f t="shared" si="172"/>
        <v>"year":"0",</v>
      </c>
      <c r="BE293" t="str">
        <f t="shared" si="173"/>
        <v>"gender":"0",</v>
      </c>
      <c r="BF293" t="str">
        <f t="shared" si="174"/>
        <v>"gear":"0",</v>
      </c>
      <c r="BG293" t="str">
        <f t="shared" si="175"/>
        <v>"lifts":"0",</v>
      </c>
      <c r="BH293" t="str">
        <f t="shared" si="176"/>
        <v>"division":"--",</v>
      </c>
      <c r="BI293" t="str">
        <f t="shared" si="177"/>
        <v>"wc":"0",</v>
      </c>
      <c r="BJ293" t="str">
        <f t="shared" si="178"/>
        <v>"bw":"",</v>
      </c>
      <c r="BK293" t="str">
        <f t="shared" si="179"/>
        <v>"pb":[0,0,0,0],</v>
      </c>
      <c r="BL293" t="str">
        <f t="shared" si="151"/>
        <v>"idx":"23",</v>
      </c>
      <c r="BM293" t="str">
        <f t="shared" si="152"/>
        <v>"sr":"0",</v>
      </c>
      <c r="BN293" t="str">
        <f t="shared" si="153"/>
        <v>"br":"0",</v>
      </c>
      <c r="BO293" t="str">
        <f t="shared" si="154"/>
        <v>"row":0,</v>
      </c>
      <c r="BP293" t="s">
        <v>55</v>
      </c>
      <c r="BQ293" t="str">
        <f t="shared" si="155"/>
        <v>"sq":{"a1":0,"a2":"","a3":"","s1":0,"s2":0,"s3":0},"bp":{"a1":0,"a2":"","a3":"","s1":0,"s2":0,"s3":0},"dl":{"a1":0,"a2":"","a3":"","s1":0,"s2":0,"s3":0},"sortOrder":0,"act":{}}</v>
      </c>
      <c r="BR293" t="str">
        <f t="shared" si="180"/>
        <v>{"group":"A","lot":0,"name":"0","team":"","year":"0","gender":"0","gear":"0","lifts":"0","division":"--","wc":"0","bw":"","pb":[0,0,0,0],"idx":"23","sr":"0","br":"0","row":0,"sq":{"a1":0,"a2":"","a3":"","s1":0,"s2":0,"s3":0},"bp":{"a1":0,"a2":"","a3":"","s1":0,"s2":0,"s3":0},"dl":{"a1":0,"a2":"","a3":"","s1":0,"s2":0,"s3":0},"sortOrder":0,"act":{}}</v>
      </c>
    </row>
    <row r="294" spans="5:70" x14ac:dyDescent="0.25">
      <c r="E294" s="128"/>
      <c r="F294" s="129"/>
      <c r="G294" s="129"/>
      <c r="H294" s="129"/>
      <c r="I294" s="129"/>
      <c r="J294" s="129"/>
      <c r="K294" s="129"/>
      <c r="L294" s="130"/>
      <c r="M294" s="131"/>
      <c r="N294" s="130"/>
      <c r="O294" s="148">
        <f t="shared" ca="1" si="181"/>
        <v>2023</v>
      </c>
      <c r="P294" s="129"/>
      <c r="Q294" s="129"/>
      <c r="R294" s="129"/>
      <c r="S294" s="129"/>
      <c r="T294" s="129"/>
      <c r="U294" s="129"/>
      <c r="V294" s="129"/>
      <c r="W294" s="129"/>
      <c r="X294" s="129"/>
      <c r="Y294" s="132"/>
      <c r="Z294" s="133"/>
      <c r="AA294" s="133"/>
      <c r="AB294" s="134"/>
      <c r="AE294" s="15" t="str">
        <f t="shared" si="147"/>
        <v>A</v>
      </c>
      <c r="AF294" s="8">
        <f t="shared" si="148"/>
        <v>0</v>
      </c>
      <c r="AG294" s="9">
        <f t="shared" si="156"/>
        <v>0</v>
      </c>
      <c r="AH294" s="9" t="str">
        <f t="shared" si="157"/>
        <v/>
      </c>
      <c r="AI294" s="8">
        <f t="shared" si="149"/>
        <v>0</v>
      </c>
      <c r="AJ294" s="45">
        <f t="shared" si="158"/>
        <v>0</v>
      </c>
      <c r="AK294" s="45">
        <f t="shared" si="159"/>
        <v>0</v>
      </c>
      <c r="AL294" s="45">
        <f t="shared" si="160"/>
        <v>0</v>
      </c>
      <c r="AM294" s="8" t="str">
        <f t="shared" si="161"/>
        <v>--</v>
      </c>
      <c r="AN294" s="10">
        <f t="shared" si="162"/>
        <v>0</v>
      </c>
      <c r="AO294" s="10">
        <f t="shared" si="163"/>
        <v>0</v>
      </c>
      <c r="AP294" s="10">
        <f t="shared" si="164"/>
        <v>0</v>
      </c>
      <c r="AQ294" s="10">
        <f t="shared" si="165"/>
        <v>0</v>
      </c>
      <c r="AR294" s="10">
        <f t="shared" si="166"/>
        <v>0</v>
      </c>
      <c r="AS294" s="8">
        <v>23</v>
      </c>
      <c r="AT294" s="9">
        <f t="shared" si="167"/>
        <v>0</v>
      </c>
      <c r="AU294" s="11">
        <f t="shared" si="168"/>
        <v>0</v>
      </c>
      <c r="AV294" s="6"/>
      <c r="AW294" s="6"/>
      <c r="AX294" s="6"/>
      <c r="AZ294" t="str">
        <f t="shared" si="169"/>
        <v>{"group":"A",</v>
      </c>
      <c r="BA294" t="str">
        <f t="shared" si="150"/>
        <v>"lot":0,</v>
      </c>
      <c r="BB294" t="str">
        <f t="shared" si="170"/>
        <v>"name":"0",</v>
      </c>
      <c r="BC294" t="str">
        <f t="shared" si="171"/>
        <v>"team":"",</v>
      </c>
      <c r="BD294" t="str">
        <f t="shared" si="172"/>
        <v>"year":"0",</v>
      </c>
      <c r="BE294" t="str">
        <f t="shared" si="173"/>
        <v>"gender":"0",</v>
      </c>
      <c r="BF294" t="str">
        <f t="shared" si="174"/>
        <v>"gear":"0",</v>
      </c>
      <c r="BG294" t="str">
        <f t="shared" si="175"/>
        <v>"lifts":"0",</v>
      </c>
      <c r="BH294" t="str">
        <f t="shared" si="176"/>
        <v>"division":"--",</v>
      </c>
      <c r="BI294" t="str">
        <f t="shared" si="177"/>
        <v>"wc":"0",</v>
      </c>
      <c r="BJ294" t="str">
        <f t="shared" si="178"/>
        <v>"bw":"",</v>
      </c>
      <c r="BK294" t="str">
        <f t="shared" si="179"/>
        <v>"pb":[0,0,0,0],</v>
      </c>
      <c r="BL294" t="str">
        <f t="shared" si="151"/>
        <v>"idx":"23",</v>
      </c>
      <c r="BM294" t="str">
        <f t="shared" si="152"/>
        <v>"sr":"0",</v>
      </c>
      <c r="BN294" t="str">
        <f t="shared" si="153"/>
        <v>"br":"0",</v>
      </c>
      <c r="BO294" t="str">
        <f t="shared" si="154"/>
        <v>"row":0,</v>
      </c>
      <c r="BP294" t="s">
        <v>55</v>
      </c>
      <c r="BQ294" t="str">
        <f t="shared" si="155"/>
        <v>"sq":{"a1":0,"a2":"","a3":"","s1":0,"s2":0,"s3":0},"bp":{"a1":0,"a2":"","a3":"","s1":0,"s2":0,"s3":0},"dl":{"a1":0,"a2":"","a3":"","s1":0,"s2":0,"s3":0},"sortOrder":0,"act":{}}</v>
      </c>
      <c r="BR294" t="str">
        <f t="shared" si="180"/>
        <v>{"group":"A","lot":0,"name":"0","team":"","year":"0","gender":"0","gear":"0","lifts":"0","division":"--","wc":"0","bw":"","pb":[0,0,0,0],"idx":"23","sr":"0","br":"0","row":0,"sq":{"a1":0,"a2":"","a3":"","s1":0,"s2":0,"s3":0},"bp":{"a1":0,"a2":"","a3":"","s1":0,"s2":0,"s3":0},"dl":{"a1":0,"a2":"","a3":"","s1":0,"s2":0,"s3":0},"sortOrder":0,"act":{}}</v>
      </c>
    </row>
    <row r="295" spans="5:70" x14ac:dyDescent="0.25">
      <c r="E295" s="128"/>
      <c r="F295" s="129"/>
      <c r="G295" s="129"/>
      <c r="H295" s="129"/>
      <c r="I295" s="129"/>
      <c r="J295" s="129"/>
      <c r="K295" s="129"/>
      <c r="L295" s="130"/>
      <c r="M295" s="131"/>
      <c r="N295" s="130"/>
      <c r="O295" s="148">
        <f t="shared" ca="1" si="181"/>
        <v>2023</v>
      </c>
      <c r="P295" s="129"/>
      <c r="Q295" s="129"/>
      <c r="R295" s="129"/>
      <c r="S295" s="129"/>
      <c r="T295" s="129"/>
      <c r="U295" s="129"/>
      <c r="V295" s="129"/>
      <c r="W295" s="129"/>
      <c r="X295" s="129"/>
      <c r="Y295" s="132"/>
      <c r="Z295" s="133"/>
      <c r="AA295" s="133"/>
      <c r="AB295" s="134"/>
      <c r="AE295" s="15" t="str">
        <f t="shared" si="147"/>
        <v>A</v>
      </c>
      <c r="AF295" s="8">
        <f t="shared" si="148"/>
        <v>0</v>
      </c>
      <c r="AG295" s="9">
        <f t="shared" si="156"/>
        <v>0</v>
      </c>
      <c r="AH295" s="9" t="str">
        <f t="shared" si="157"/>
        <v/>
      </c>
      <c r="AI295" s="8">
        <f t="shared" si="149"/>
        <v>0</v>
      </c>
      <c r="AJ295" s="45">
        <f t="shared" si="158"/>
        <v>0</v>
      </c>
      <c r="AK295" s="45">
        <f t="shared" si="159"/>
        <v>0</v>
      </c>
      <c r="AL295" s="45">
        <f t="shared" si="160"/>
        <v>0</v>
      </c>
      <c r="AM295" s="8" t="str">
        <f t="shared" si="161"/>
        <v>--</v>
      </c>
      <c r="AN295" s="10">
        <f t="shared" si="162"/>
        <v>0</v>
      </c>
      <c r="AO295" s="10">
        <f t="shared" si="163"/>
        <v>0</v>
      </c>
      <c r="AP295" s="10">
        <f t="shared" si="164"/>
        <v>0</v>
      </c>
      <c r="AQ295" s="10">
        <f t="shared" si="165"/>
        <v>0</v>
      </c>
      <c r="AR295" s="10">
        <f t="shared" si="166"/>
        <v>0</v>
      </c>
      <c r="AS295" s="8">
        <v>23</v>
      </c>
      <c r="AT295" s="9">
        <f t="shared" si="167"/>
        <v>0</v>
      </c>
      <c r="AU295" s="11">
        <f t="shared" si="168"/>
        <v>0</v>
      </c>
      <c r="AV295" s="6"/>
      <c r="AW295" s="6"/>
      <c r="AX295" s="6"/>
      <c r="AZ295" t="str">
        <f t="shared" si="169"/>
        <v>{"group":"A",</v>
      </c>
      <c r="BA295" t="str">
        <f t="shared" si="150"/>
        <v>"lot":0,</v>
      </c>
      <c r="BB295" t="str">
        <f t="shared" si="170"/>
        <v>"name":"0",</v>
      </c>
      <c r="BC295" t="str">
        <f t="shared" si="171"/>
        <v>"team":"",</v>
      </c>
      <c r="BD295" t="str">
        <f t="shared" si="172"/>
        <v>"year":"0",</v>
      </c>
      <c r="BE295" t="str">
        <f t="shared" si="173"/>
        <v>"gender":"0",</v>
      </c>
      <c r="BF295" t="str">
        <f t="shared" si="174"/>
        <v>"gear":"0",</v>
      </c>
      <c r="BG295" t="str">
        <f t="shared" si="175"/>
        <v>"lifts":"0",</v>
      </c>
      <c r="BH295" t="str">
        <f t="shared" si="176"/>
        <v>"division":"--",</v>
      </c>
      <c r="BI295" t="str">
        <f t="shared" si="177"/>
        <v>"wc":"0",</v>
      </c>
      <c r="BJ295" t="str">
        <f t="shared" si="178"/>
        <v>"bw":"",</v>
      </c>
      <c r="BK295" t="str">
        <f t="shared" si="179"/>
        <v>"pb":[0,0,0,0],</v>
      </c>
      <c r="BL295" t="str">
        <f t="shared" si="151"/>
        <v>"idx":"23",</v>
      </c>
      <c r="BM295" t="str">
        <f t="shared" si="152"/>
        <v>"sr":"0",</v>
      </c>
      <c r="BN295" t="str">
        <f t="shared" si="153"/>
        <v>"br":"0",</v>
      </c>
      <c r="BO295" t="str">
        <f t="shared" si="154"/>
        <v>"row":0,</v>
      </c>
      <c r="BP295" t="s">
        <v>55</v>
      </c>
      <c r="BQ295" t="str">
        <f t="shared" si="155"/>
        <v>"sq":{"a1":0,"a2":"","a3":"","s1":0,"s2":0,"s3":0},"bp":{"a1":0,"a2":"","a3":"","s1":0,"s2":0,"s3":0},"dl":{"a1":0,"a2":"","a3":"","s1":0,"s2":0,"s3":0},"sortOrder":0,"act":{}}</v>
      </c>
      <c r="BR295" t="str">
        <f t="shared" si="180"/>
        <v>{"group":"A","lot":0,"name":"0","team":"","year":"0","gender":"0","gear":"0","lifts":"0","division":"--","wc":"0","bw":"","pb":[0,0,0,0],"idx":"23","sr":"0","br":"0","row":0,"sq":{"a1":0,"a2":"","a3":"","s1":0,"s2":0,"s3":0},"bp":{"a1":0,"a2":"","a3":"","s1":0,"s2":0,"s3":0},"dl":{"a1":0,"a2":"","a3":"","s1":0,"s2":0,"s3":0},"sortOrder":0,"act":{}}</v>
      </c>
    </row>
    <row r="296" spans="5:70" x14ac:dyDescent="0.25">
      <c r="E296" s="128"/>
      <c r="F296" s="129"/>
      <c r="G296" s="129"/>
      <c r="H296" s="129"/>
      <c r="I296" s="129"/>
      <c r="J296" s="129"/>
      <c r="K296" s="129"/>
      <c r="L296" s="130"/>
      <c r="M296" s="131"/>
      <c r="N296" s="130"/>
      <c r="O296" s="148">
        <f t="shared" ca="1" si="181"/>
        <v>2023</v>
      </c>
      <c r="P296" s="129"/>
      <c r="Q296" s="129"/>
      <c r="R296" s="129"/>
      <c r="S296" s="129"/>
      <c r="T296" s="129"/>
      <c r="U296" s="129"/>
      <c r="V296" s="129"/>
      <c r="W296" s="129"/>
      <c r="X296" s="129"/>
      <c r="Y296" s="132"/>
      <c r="Z296" s="133"/>
      <c r="AA296" s="133"/>
      <c r="AB296" s="134"/>
      <c r="AE296" s="15" t="str">
        <f t="shared" si="147"/>
        <v>A</v>
      </c>
      <c r="AF296" s="8">
        <f t="shared" si="148"/>
        <v>0</v>
      </c>
      <c r="AG296" s="9">
        <f t="shared" si="156"/>
        <v>0</v>
      </c>
      <c r="AH296" s="9" t="str">
        <f t="shared" si="157"/>
        <v/>
      </c>
      <c r="AI296" s="8">
        <f t="shared" si="149"/>
        <v>0</v>
      </c>
      <c r="AJ296" s="45">
        <f t="shared" si="158"/>
        <v>0</v>
      </c>
      <c r="AK296" s="45">
        <f t="shared" si="159"/>
        <v>0</v>
      </c>
      <c r="AL296" s="45">
        <f t="shared" si="160"/>
        <v>0</v>
      </c>
      <c r="AM296" s="8" t="str">
        <f t="shared" si="161"/>
        <v>--</v>
      </c>
      <c r="AN296" s="10">
        <f t="shared" si="162"/>
        <v>0</v>
      </c>
      <c r="AO296" s="10">
        <f t="shared" si="163"/>
        <v>0</v>
      </c>
      <c r="AP296" s="10">
        <f t="shared" si="164"/>
        <v>0</v>
      </c>
      <c r="AQ296" s="10">
        <f t="shared" si="165"/>
        <v>0</v>
      </c>
      <c r="AR296" s="10">
        <f t="shared" si="166"/>
        <v>0</v>
      </c>
      <c r="AS296" s="8">
        <v>23</v>
      </c>
      <c r="AT296" s="9">
        <f t="shared" si="167"/>
        <v>0</v>
      </c>
      <c r="AU296" s="11">
        <f t="shared" si="168"/>
        <v>0</v>
      </c>
      <c r="AV296" s="6"/>
      <c r="AW296" s="6"/>
      <c r="AX296" s="6"/>
      <c r="AZ296" t="str">
        <f t="shared" si="169"/>
        <v>{"group":"A",</v>
      </c>
      <c r="BA296" t="str">
        <f t="shared" si="150"/>
        <v>"lot":0,</v>
      </c>
      <c r="BB296" t="str">
        <f t="shared" si="170"/>
        <v>"name":"0",</v>
      </c>
      <c r="BC296" t="str">
        <f t="shared" si="171"/>
        <v>"team":"",</v>
      </c>
      <c r="BD296" t="str">
        <f t="shared" si="172"/>
        <v>"year":"0",</v>
      </c>
      <c r="BE296" t="str">
        <f t="shared" si="173"/>
        <v>"gender":"0",</v>
      </c>
      <c r="BF296" t="str">
        <f t="shared" si="174"/>
        <v>"gear":"0",</v>
      </c>
      <c r="BG296" t="str">
        <f t="shared" si="175"/>
        <v>"lifts":"0",</v>
      </c>
      <c r="BH296" t="str">
        <f t="shared" si="176"/>
        <v>"division":"--",</v>
      </c>
      <c r="BI296" t="str">
        <f t="shared" si="177"/>
        <v>"wc":"0",</v>
      </c>
      <c r="BJ296" t="str">
        <f t="shared" si="178"/>
        <v>"bw":"",</v>
      </c>
      <c r="BK296" t="str">
        <f t="shared" si="179"/>
        <v>"pb":[0,0,0,0],</v>
      </c>
      <c r="BL296" t="str">
        <f t="shared" si="151"/>
        <v>"idx":"23",</v>
      </c>
      <c r="BM296" t="str">
        <f t="shared" si="152"/>
        <v>"sr":"0",</v>
      </c>
      <c r="BN296" t="str">
        <f t="shared" si="153"/>
        <v>"br":"0",</v>
      </c>
      <c r="BO296" t="str">
        <f t="shared" si="154"/>
        <v>"row":0,</v>
      </c>
      <c r="BP296" t="s">
        <v>55</v>
      </c>
      <c r="BQ296" t="str">
        <f t="shared" si="155"/>
        <v>"sq":{"a1":0,"a2":"","a3":"","s1":0,"s2":0,"s3":0},"bp":{"a1":0,"a2":"","a3":"","s1":0,"s2":0,"s3":0},"dl":{"a1":0,"a2":"","a3":"","s1":0,"s2":0,"s3":0},"sortOrder":0,"act":{}}</v>
      </c>
      <c r="BR296" t="str">
        <f t="shared" si="180"/>
        <v>{"group":"A","lot":0,"name":"0","team":"","year":"0","gender":"0","gear":"0","lifts":"0","division":"--","wc":"0","bw":"","pb":[0,0,0,0],"idx":"23","sr":"0","br":"0","row":0,"sq":{"a1":0,"a2":"","a3":"","s1":0,"s2":0,"s3":0},"bp":{"a1":0,"a2":"","a3":"","s1":0,"s2":0,"s3":0},"dl":{"a1":0,"a2":"","a3":"","s1":0,"s2":0,"s3":0},"sortOrder":0,"act":{}}</v>
      </c>
    </row>
    <row r="297" spans="5:70" x14ac:dyDescent="0.25">
      <c r="E297" s="128"/>
      <c r="F297" s="129"/>
      <c r="G297" s="129"/>
      <c r="H297" s="129"/>
      <c r="I297" s="129"/>
      <c r="J297" s="129"/>
      <c r="K297" s="129"/>
      <c r="L297" s="130"/>
      <c r="M297" s="131"/>
      <c r="N297" s="130"/>
      <c r="O297" s="148">
        <f t="shared" ca="1" si="181"/>
        <v>2023</v>
      </c>
      <c r="P297" s="129"/>
      <c r="Q297" s="129"/>
      <c r="R297" s="129"/>
      <c r="S297" s="129"/>
      <c r="T297" s="129"/>
      <c r="U297" s="129"/>
      <c r="V297" s="129"/>
      <c r="W297" s="129"/>
      <c r="X297" s="129"/>
      <c r="Y297" s="132"/>
      <c r="Z297" s="133"/>
      <c r="AA297" s="133"/>
      <c r="AB297" s="134"/>
      <c r="AE297" s="15" t="str">
        <f t="shared" si="147"/>
        <v>A</v>
      </c>
      <c r="AF297" s="8">
        <f t="shared" si="148"/>
        <v>0</v>
      </c>
      <c r="AG297" s="9">
        <f t="shared" si="156"/>
        <v>0</v>
      </c>
      <c r="AH297" s="9" t="str">
        <f t="shared" si="157"/>
        <v/>
      </c>
      <c r="AI297" s="8">
        <f t="shared" si="149"/>
        <v>0</v>
      </c>
      <c r="AJ297" s="45">
        <f t="shared" si="158"/>
        <v>0</v>
      </c>
      <c r="AK297" s="45">
        <f t="shared" si="159"/>
        <v>0</v>
      </c>
      <c r="AL297" s="45">
        <f t="shared" si="160"/>
        <v>0</v>
      </c>
      <c r="AM297" s="8" t="str">
        <f t="shared" si="161"/>
        <v>--</v>
      </c>
      <c r="AN297" s="10">
        <f t="shared" si="162"/>
        <v>0</v>
      </c>
      <c r="AO297" s="10">
        <f t="shared" si="163"/>
        <v>0</v>
      </c>
      <c r="AP297" s="10">
        <f t="shared" si="164"/>
        <v>0</v>
      </c>
      <c r="AQ297" s="10">
        <f t="shared" si="165"/>
        <v>0</v>
      </c>
      <c r="AR297" s="10">
        <f t="shared" si="166"/>
        <v>0</v>
      </c>
      <c r="AS297" s="8">
        <v>23</v>
      </c>
      <c r="AT297" s="9">
        <f t="shared" si="167"/>
        <v>0</v>
      </c>
      <c r="AU297" s="11">
        <f t="shared" si="168"/>
        <v>0</v>
      </c>
      <c r="AV297" s="6"/>
      <c r="AW297" s="6"/>
      <c r="AX297" s="6"/>
      <c r="AZ297" t="str">
        <f t="shared" si="169"/>
        <v>{"group":"A",</v>
      </c>
      <c r="BA297" t="str">
        <f t="shared" si="150"/>
        <v>"lot":0,</v>
      </c>
      <c r="BB297" t="str">
        <f t="shared" si="170"/>
        <v>"name":"0",</v>
      </c>
      <c r="BC297" t="str">
        <f t="shared" si="171"/>
        <v>"team":"",</v>
      </c>
      <c r="BD297" t="str">
        <f t="shared" si="172"/>
        <v>"year":"0",</v>
      </c>
      <c r="BE297" t="str">
        <f t="shared" si="173"/>
        <v>"gender":"0",</v>
      </c>
      <c r="BF297" t="str">
        <f t="shared" si="174"/>
        <v>"gear":"0",</v>
      </c>
      <c r="BG297" t="str">
        <f t="shared" si="175"/>
        <v>"lifts":"0",</v>
      </c>
      <c r="BH297" t="str">
        <f t="shared" si="176"/>
        <v>"division":"--",</v>
      </c>
      <c r="BI297" t="str">
        <f t="shared" si="177"/>
        <v>"wc":"0",</v>
      </c>
      <c r="BJ297" t="str">
        <f t="shared" si="178"/>
        <v>"bw":"",</v>
      </c>
      <c r="BK297" t="str">
        <f t="shared" si="179"/>
        <v>"pb":[0,0,0,0],</v>
      </c>
      <c r="BL297" t="str">
        <f t="shared" si="151"/>
        <v>"idx":"23",</v>
      </c>
      <c r="BM297" t="str">
        <f t="shared" si="152"/>
        <v>"sr":"0",</v>
      </c>
      <c r="BN297" t="str">
        <f t="shared" si="153"/>
        <v>"br":"0",</v>
      </c>
      <c r="BO297" t="str">
        <f t="shared" si="154"/>
        <v>"row":0,</v>
      </c>
      <c r="BP297" t="s">
        <v>55</v>
      </c>
      <c r="BQ297" t="str">
        <f t="shared" si="155"/>
        <v>"sq":{"a1":0,"a2":"","a3":"","s1":0,"s2":0,"s3":0},"bp":{"a1":0,"a2":"","a3":"","s1":0,"s2":0,"s3":0},"dl":{"a1":0,"a2":"","a3":"","s1":0,"s2":0,"s3":0},"sortOrder":0,"act":{}}</v>
      </c>
      <c r="BR297" t="str">
        <f t="shared" si="180"/>
        <v>{"group":"A","lot":0,"name":"0","team":"","year":"0","gender":"0","gear":"0","lifts":"0","division":"--","wc":"0","bw":"","pb":[0,0,0,0],"idx":"23","sr":"0","br":"0","row":0,"sq":{"a1":0,"a2":"","a3":"","s1":0,"s2":0,"s3":0},"bp":{"a1":0,"a2":"","a3":"","s1":0,"s2":0,"s3":0},"dl":{"a1":0,"a2":"","a3":"","s1":0,"s2":0,"s3":0},"sortOrder":0,"act":{}}</v>
      </c>
    </row>
    <row r="298" spans="5:70" x14ac:dyDescent="0.25">
      <c r="E298" s="128"/>
      <c r="F298" s="129"/>
      <c r="G298" s="129"/>
      <c r="H298" s="129"/>
      <c r="I298" s="129"/>
      <c r="J298" s="129"/>
      <c r="K298" s="129"/>
      <c r="L298" s="130"/>
      <c r="M298" s="131"/>
      <c r="N298" s="130"/>
      <c r="O298" s="148">
        <f t="shared" ca="1" si="181"/>
        <v>2023</v>
      </c>
      <c r="P298" s="129"/>
      <c r="Q298" s="129"/>
      <c r="R298" s="129"/>
      <c r="S298" s="129"/>
      <c r="T298" s="129"/>
      <c r="U298" s="129"/>
      <c r="V298" s="129"/>
      <c r="W298" s="129"/>
      <c r="X298" s="129"/>
      <c r="Y298" s="132"/>
      <c r="Z298" s="133"/>
      <c r="AA298" s="133"/>
      <c r="AB298" s="134"/>
      <c r="AE298" s="15" t="str">
        <f t="shared" si="147"/>
        <v>A</v>
      </c>
      <c r="AF298" s="8">
        <f t="shared" si="148"/>
        <v>0</v>
      </c>
      <c r="AG298" s="9">
        <f t="shared" si="156"/>
        <v>0</v>
      </c>
      <c r="AH298" s="9" t="str">
        <f t="shared" si="157"/>
        <v/>
      </c>
      <c r="AI298" s="8">
        <f t="shared" si="149"/>
        <v>0</v>
      </c>
      <c r="AJ298" s="45">
        <f t="shared" si="158"/>
        <v>0</v>
      </c>
      <c r="AK298" s="45">
        <f t="shared" si="159"/>
        <v>0</v>
      </c>
      <c r="AL298" s="45">
        <f t="shared" si="160"/>
        <v>0</v>
      </c>
      <c r="AM298" s="8" t="str">
        <f t="shared" si="161"/>
        <v>--</v>
      </c>
      <c r="AN298" s="10">
        <f t="shared" si="162"/>
        <v>0</v>
      </c>
      <c r="AO298" s="10">
        <f t="shared" si="163"/>
        <v>0</v>
      </c>
      <c r="AP298" s="10">
        <f t="shared" si="164"/>
        <v>0</v>
      </c>
      <c r="AQ298" s="10">
        <f t="shared" si="165"/>
        <v>0</v>
      </c>
      <c r="AR298" s="10">
        <f t="shared" si="166"/>
        <v>0</v>
      </c>
      <c r="AS298" s="8">
        <v>23</v>
      </c>
      <c r="AT298" s="9">
        <f t="shared" si="167"/>
        <v>0</v>
      </c>
      <c r="AU298" s="11">
        <f t="shared" si="168"/>
        <v>0</v>
      </c>
      <c r="AV298" s="6"/>
      <c r="AW298" s="6"/>
      <c r="AX298" s="6"/>
      <c r="AZ298" t="str">
        <f t="shared" si="169"/>
        <v>{"group":"A",</v>
      </c>
      <c r="BA298" t="str">
        <f t="shared" si="150"/>
        <v>"lot":0,</v>
      </c>
      <c r="BB298" t="str">
        <f t="shared" si="170"/>
        <v>"name":"0",</v>
      </c>
      <c r="BC298" t="str">
        <f t="shared" si="171"/>
        <v>"team":"",</v>
      </c>
      <c r="BD298" t="str">
        <f t="shared" si="172"/>
        <v>"year":"0",</v>
      </c>
      <c r="BE298" t="str">
        <f t="shared" si="173"/>
        <v>"gender":"0",</v>
      </c>
      <c r="BF298" t="str">
        <f t="shared" si="174"/>
        <v>"gear":"0",</v>
      </c>
      <c r="BG298" t="str">
        <f t="shared" si="175"/>
        <v>"lifts":"0",</v>
      </c>
      <c r="BH298" t="str">
        <f t="shared" si="176"/>
        <v>"division":"--",</v>
      </c>
      <c r="BI298" t="str">
        <f t="shared" si="177"/>
        <v>"wc":"0",</v>
      </c>
      <c r="BJ298" t="str">
        <f t="shared" si="178"/>
        <v>"bw":"",</v>
      </c>
      <c r="BK298" t="str">
        <f t="shared" si="179"/>
        <v>"pb":[0,0,0,0],</v>
      </c>
      <c r="BL298" t="str">
        <f t="shared" si="151"/>
        <v>"idx":"23",</v>
      </c>
      <c r="BM298" t="str">
        <f t="shared" si="152"/>
        <v>"sr":"0",</v>
      </c>
      <c r="BN298" t="str">
        <f t="shared" si="153"/>
        <v>"br":"0",</v>
      </c>
      <c r="BO298" t="str">
        <f t="shared" si="154"/>
        <v>"row":0,</v>
      </c>
      <c r="BP298" t="s">
        <v>55</v>
      </c>
      <c r="BQ298" t="str">
        <f t="shared" si="155"/>
        <v>"sq":{"a1":0,"a2":"","a3":"","s1":0,"s2":0,"s3":0},"bp":{"a1":0,"a2":"","a3":"","s1":0,"s2":0,"s3":0},"dl":{"a1":0,"a2":"","a3":"","s1":0,"s2":0,"s3":0},"sortOrder":0,"act":{}}</v>
      </c>
      <c r="BR298" t="str">
        <f t="shared" si="180"/>
        <v>{"group":"A","lot":0,"name":"0","team":"","year":"0","gender":"0","gear":"0","lifts":"0","division":"--","wc":"0","bw":"","pb":[0,0,0,0],"idx":"23","sr":"0","br":"0","row":0,"sq":{"a1":0,"a2":"","a3":"","s1":0,"s2":0,"s3":0},"bp":{"a1":0,"a2":"","a3":"","s1":0,"s2":0,"s3":0},"dl":{"a1":0,"a2":"","a3":"","s1":0,"s2":0,"s3":0},"sortOrder":0,"act":{}}</v>
      </c>
    </row>
    <row r="299" spans="5:70" ht="15.75" thickBot="1" x14ac:dyDescent="0.3">
      <c r="E299" s="135"/>
      <c r="F299" s="136"/>
      <c r="G299" s="136"/>
      <c r="H299" s="136"/>
      <c r="I299" s="136"/>
      <c r="J299" s="136"/>
      <c r="K299" s="136"/>
      <c r="L299" s="130"/>
      <c r="M299" s="131"/>
      <c r="N299" s="130"/>
      <c r="O299" s="148">
        <f t="shared" ca="1" si="181"/>
        <v>2023</v>
      </c>
      <c r="P299" s="136"/>
      <c r="Q299" s="136"/>
      <c r="R299" s="136"/>
      <c r="S299" s="136"/>
      <c r="T299" s="136"/>
      <c r="U299" s="136"/>
      <c r="V299" s="136"/>
      <c r="W299" s="136"/>
      <c r="X299" s="136"/>
      <c r="Y299" s="137"/>
      <c r="Z299" s="138"/>
      <c r="AA299" s="138"/>
      <c r="AB299" s="139"/>
      <c r="AE299" s="15" t="str">
        <f t="shared" si="147"/>
        <v>A</v>
      </c>
      <c r="AF299" s="8">
        <f t="shared" si="148"/>
        <v>0</v>
      </c>
      <c r="AG299" s="9">
        <f t="shared" si="156"/>
        <v>0</v>
      </c>
      <c r="AH299" s="9" t="str">
        <f t="shared" si="157"/>
        <v/>
      </c>
      <c r="AI299" s="8">
        <f t="shared" si="149"/>
        <v>0</v>
      </c>
      <c r="AJ299" s="45">
        <f t="shared" si="158"/>
        <v>0</v>
      </c>
      <c r="AK299" s="45">
        <f t="shared" si="159"/>
        <v>0</v>
      </c>
      <c r="AL299" s="45">
        <f t="shared" si="160"/>
        <v>0</v>
      </c>
      <c r="AM299" s="8" t="str">
        <f t="shared" si="161"/>
        <v>--</v>
      </c>
      <c r="AN299" s="10">
        <f t="shared" si="162"/>
        <v>0</v>
      </c>
      <c r="AO299" s="10">
        <f t="shared" si="163"/>
        <v>0</v>
      </c>
      <c r="AP299" s="10">
        <f t="shared" si="164"/>
        <v>0</v>
      </c>
      <c r="AQ299" s="10">
        <f t="shared" si="165"/>
        <v>0</v>
      </c>
      <c r="AR299" s="10">
        <f t="shared" si="166"/>
        <v>0</v>
      </c>
      <c r="AS299" s="8">
        <v>23</v>
      </c>
      <c r="AT299" s="9">
        <f t="shared" si="167"/>
        <v>0</v>
      </c>
      <c r="AU299" s="11">
        <f t="shared" si="168"/>
        <v>0</v>
      </c>
      <c r="AV299" s="6"/>
      <c r="AW299" s="6"/>
      <c r="AX299" s="6"/>
      <c r="AZ299" t="str">
        <f t="shared" si="169"/>
        <v>{"group":"A",</v>
      </c>
      <c r="BA299" t="str">
        <f t="shared" si="150"/>
        <v>"lot":0,</v>
      </c>
      <c r="BB299" t="str">
        <f t="shared" si="170"/>
        <v>"name":"0",</v>
      </c>
      <c r="BC299" t="str">
        <f t="shared" si="171"/>
        <v>"team":"",</v>
      </c>
      <c r="BD299" t="str">
        <f t="shared" si="172"/>
        <v>"year":"0",</v>
      </c>
      <c r="BE299" t="str">
        <f t="shared" si="173"/>
        <v>"gender":"0",</v>
      </c>
      <c r="BF299" t="str">
        <f t="shared" si="174"/>
        <v>"gear":"0",</v>
      </c>
      <c r="BG299" t="str">
        <f t="shared" si="175"/>
        <v>"lifts":"0",</v>
      </c>
      <c r="BH299" t="str">
        <f t="shared" si="176"/>
        <v>"division":"--",</v>
      </c>
      <c r="BI299" t="str">
        <f t="shared" si="177"/>
        <v>"wc":"0",</v>
      </c>
      <c r="BJ299" t="str">
        <f t="shared" si="178"/>
        <v>"bw":"",</v>
      </c>
      <c r="BK299" t="str">
        <f t="shared" si="179"/>
        <v>"pb":[0,0,0,0],</v>
      </c>
      <c r="BL299" t="str">
        <f t="shared" si="151"/>
        <v>"idx":"23",</v>
      </c>
      <c r="BM299" t="str">
        <f t="shared" si="152"/>
        <v>"sr":"0",</v>
      </c>
      <c r="BN299" t="str">
        <f t="shared" si="153"/>
        <v>"br":"0",</v>
      </c>
      <c r="BO299" t="str">
        <f t="shared" si="154"/>
        <v>"row":0,</v>
      </c>
      <c r="BP299" t="s">
        <v>55</v>
      </c>
      <c r="BQ299" t="str">
        <f t="shared" si="155"/>
        <v>"sq":{"a1":0,"a2":"","a3":"","s1":0,"s2":0,"s3":0},"bp":{"a1":0,"a2":"","a3":"","s1":0,"s2":0,"s3":0},"dl":{"a1":0,"a2":"","a3":"","s1":0,"s2":0,"s3":0},"sortOrder":0,"act":{}}</v>
      </c>
      <c r="BR299" t="str">
        <f t="shared" si="180"/>
        <v>{"group":"A","lot":0,"name":"0","team":"","year":"0","gender":"0","gear":"0","lifts":"0","division":"--","wc":"0","bw":"","pb":[0,0,0,0],"idx":"23","sr":"0","br":"0","row":0,"sq":{"a1":0,"a2":"","a3":"","s1":0,"s2":0,"s3":0},"bp":{"a1":0,"a2":"","a3":"","s1":0,"s2":0,"s3":0},"dl":{"a1":0,"a2":"","a3":"","s1":0,"s2":0,"s3":0},"sortOrder":0,"act":{}}</v>
      </c>
    </row>
  </sheetData>
  <protectedRanges>
    <protectedRange sqref="X5:AB23 AA34:AB54 Z24:AB33 Z34:Z50 X24:Y50 X51:Z54 F55:K70 E43:E70 E71:K299 P55:AB299" name="Edit Cols"/>
    <protectedRange sqref="F5:N5 F43:K54 L6:N299 F6:K12 E5:E12 E13:K42 P5:W54" name="Edit Cols_2"/>
  </protectedRanges>
  <autoFilter ref="E3:AB299" xr:uid="{03B4BF56-A988-4DB5-93AE-5B8669CB3ADA}">
    <sortState xmlns:xlrd2="http://schemas.microsoft.com/office/spreadsheetml/2017/richdata2" ref="E4:AB299">
      <sortCondition ref="Q3:Q299"/>
    </sortState>
  </autoFilter>
  <mergeCells count="2">
    <mergeCell ref="E2:Q2"/>
    <mergeCell ref="W2:AB2"/>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0</xdr:col>
                    <xdr:colOff>152400</xdr:colOff>
                    <xdr:row>8</xdr:row>
                    <xdr:rowOff>190500</xdr:rowOff>
                  </from>
                  <to>
                    <xdr:col>3</xdr:col>
                    <xdr:colOff>381000</xdr:colOff>
                    <xdr:row>12</xdr:row>
                    <xdr:rowOff>161925</xdr:rowOff>
                  </to>
                </anchor>
              </controlPr>
            </control>
          </mc:Choice>
        </mc:AlternateContent>
        <mc:AlternateContent xmlns:mc="http://schemas.openxmlformats.org/markup-compatibility/2006">
          <mc:Choice Requires="x14">
            <control shapeId="1030" r:id="rId5" name="Button 6">
              <controlPr defaultSize="0" print="0" autoFill="0" autoPict="0" macro="[0]!Button6_Click">
                <anchor moveWithCells="1" sizeWithCells="1">
                  <from>
                    <xdr:col>0</xdr:col>
                    <xdr:colOff>171450</xdr:colOff>
                    <xdr:row>13</xdr:row>
                    <xdr:rowOff>0</xdr:rowOff>
                  </from>
                  <to>
                    <xdr:col>3</xdr:col>
                    <xdr:colOff>381000</xdr:colOff>
                    <xdr:row>17</xdr:row>
                    <xdr:rowOff>0</xdr:rowOff>
                  </to>
                </anchor>
              </controlPr>
            </control>
          </mc:Choice>
        </mc:AlternateContent>
        <mc:AlternateContent xmlns:mc="http://schemas.openxmlformats.org/markup-compatibility/2006">
          <mc:Choice Requires="x14">
            <control shapeId="1031" r:id="rId6" name="Button 7">
              <controlPr defaultSize="0" print="0" autoFill="0" autoPict="0" macro="[0]!Button7_Click">
                <anchor moveWithCells="1" sizeWithCells="1">
                  <from>
                    <xdr:col>0</xdr:col>
                    <xdr:colOff>152400</xdr:colOff>
                    <xdr:row>4</xdr:row>
                    <xdr:rowOff>9525</xdr:rowOff>
                  </from>
                  <to>
                    <xdr:col>3</xdr:col>
                    <xdr:colOff>371475</xdr:colOff>
                    <xdr:row>8</xdr:row>
                    <xdr:rowOff>133350</xdr:rowOff>
                  </to>
                </anchor>
              </controlPr>
            </control>
          </mc:Choice>
        </mc:AlternateContent>
        <mc:AlternateContent xmlns:mc="http://schemas.openxmlformats.org/markup-compatibility/2006">
          <mc:Choice Requires="x14">
            <control shapeId="1046" r:id="rId7" name="Button 22">
              <controlPr defaultSize="0" print="0" autoFill="0" autoPict="0" macro="[0]!setPBS">
                <anchor moveWithCells="1" sizeWithCells="1">
                  <from>
                    <xdr:col>0</xdr:col>
                    <xdr:colOff>180975</xdr:colOff>
                    <xdr:row>17</xdr:row>
                    <xdr:rowOff>57150</xdr:rowOff>
                  </from>
                  <to>
                    <xdr:col>3</xdr:col>
                    <xdr:colOff>400050</xdr:colOff>
                    <xdr:row>21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DDFBA-B4D0-44AA-80F2-FA35F7B37F2B}">
  <sheetPr codeName="Sheet4"/>
  <dimension ref="C1:U49"/>
  <sheetViews>
    <sheetView showGridLines="0" workbookViewId="0">
      <selection activeCell="D51" sqref="D51"/>
    </sheetView>
  </sheetViews>
  <sheetFormatPr defaultRowHeight="15" x14ac:dyDescent="0.25"/>
  <cols>
    <col min="3" max="3" width="12.28515625" bestFit="1" customWidth="1"/>
    <col min="4" max="4" width="29.42578125" bestFit="1" customWidth="1"/>
  </cols>
  <sheetData>
    <row r="1" spans="3:19" ht="15.75" thickBot="1" x14ac:dyDescent="0.3"/>
    <row r="2" spans="3:19" x14ac:dyDescent="0.25">
      <c r="C2" s="46" t="s">
        <v>79</v>
      </c>
      <c r="D2" s="47"/>
      <c r="E2" s="47"/>
      <c r="F2" s="47"/>
      <c r="G2" s="47"/>
      <c r="H2" s="47"/>
      <c r="I2" s="47"/>
      <c r="J2" s="47"/>
      <c r="K2" s="47"/>
      <c r="L2" s="47"/>
      <c r="M2" s="47"/>
      <c r="N2" s="47"/>
      <c r="O2" s="47"/>
      <c r="P2" s="47"/>
      <c r="Q2" s="47"/>
      <c r="R2" s="47"/>
      <c r="S2" s="48"/>
    </row>
    <row r="3" spans="3:19" ht="15.75" thickBot="1" x14ac:dyDescent="0.3">
      <c r="C3" s="49"/>
      <c r="D3" s="50"/>
      <c r="E3" s="50"/>
      <c r="F3" s="50"/>
      <c r="G3" s="50"/>
      <c r="H3" s="50"/>
      <c r="I3" s="50"/>
      <c r="J3" s="50"/>
      <c r="K3" s="50"/>
      <c r="L3" s="50"/>
      <c r="M3" s="50"/>
      <c r="N3" s="50"/>
      <c r="O3" s="50"/>
      <c r="P3" s="50"/>
      <c r="Q3" s="50"/>
      <c r="R3" s="50"/>
      <c r="S3" s="51"/>
    </row>
    <row r="4" spans="3:19" hidden="1" x14ac:dyDescent="0.25">
      <c r="C4" s="5" t="s">
        <v>72</v>
      </c>
      <c r="D4">
        <f>_xlfn.XMATCH("JSON:",C24:C44,0)+24</f>
        <v>27</v>
      </c>
    </row>
    <row r="5" spans="3:19" ht="15.75" thickBot="1" x14ac:dyDescent="0.3">
      <c r="C5" s="21"/>
      <c r="D5" s="4"/>
    </row>
    <row r="6" spans="3:19" x14ac:dyDescent="0.25">
      <c r="C6" s="27" t="s">
        <v>32</v>
      </c>
      <c r="D6" s="22">
        <v>25</v>
      </c>
      <c r="F6" s="30" t="s">
        <v>34</v>
      </c>
      <c r="G6" s="31"/>
      <c r="H6" s="31"/>
      <c r="I6" s="31"/>
      <c r="J6" s="31"/>
      <c r="K6" s="31"/>
      <c r="L6" s="31"/>
      <c r="M6" s="31"/>
      <c r="N6" s="31"/>
      <c r="O6" s="31"/>
      <c r="P6" s="31"/>
      <c r="Q6" s="31"/>
      <c r="R6" s="31"/>
      <c r="S6" s="32"/>
    </row>
    <row r="7" spans="3:19" x14ac:dyDescent="0.25">
      <c r="C7" s="28" t="s">
        <v>18</v>
      </c>
      <c r="D7" s="23" t="s">
        <v>81</v>
      </c>
      <c r="F7" s="33" t="s">
        <v>35</v>
      </c>
      <c r="G7" s="34"/>
      <c r="H7" s="34"/>
      <c r="I7" s="34"/>
      <c r="J7" s="34"/>
      <c r="K7" s="34"/>
      <c r="L7" s="34"/>
      <c r="M7" s="34"/>
      <c r="N7" s="34"/>
      <c r="O7" s="34"/>
      <c r="P7" s="34"/>
      <c r="Q7" s="34"/>
      <c r="R7" s="34"/>
      <c r="S7" s="35"/>
    </row>
    <row r="8" spans="3:19" x14ac:dyDescent="0.25">
      <c r="C8" s="28" t="s">
        <v>19</v>
      </c>
      <c r="D8" s="24" t="s">
        <v>33</v>
      </c>
      <c r="F8" s="33" t="s">
        <v>38</v>
      </c>
      <c r="G8" s="34"/>
      <c r="H8" s="34"/>
      <c r="I8" s="34"/>
      <c r="J8" s="34"/>
      <c r="K8" s="34"/>
      <c r="L8" s="34"/>
      <c r="M8" s="34"/>
      <c r="N8" s="34"/>
      <c r="O8" s="34"/>
      <c r="P8" s="34"/>
      <c r="Q8" s="34"/>
      <c r="R8" s="34"/>
      <c r="S8" s="35"/>
    </row>
    <row r="9" spans="3:19" hidden="1" x14ac:dyDescent="0.25">
      <c r="C9" s="28" t="s">
        <v>20</v>
      </c>
      <c r="D9" s="24">
        <v>28</v>
      </c>
      <c r="F9" s="33" t="s">
        <v>36</v>
      </c>
      <c r="G9" s="34"/>
      <c r="H9" s="34"/>
      <c r="I9" s="34"/>
      <c r="J9" s="34"/>
      <c r="K9" s="34"/>
      <c r="L9" s="34"/>
      <c r="M9" s="34"/>
      <c r="N9" s="34"/>
      <c r="O9" s="34"/>
      <c r="P9" s="34"/>
      <c r="Q9" s="34"/>
      <c r="R9" s="34"/>
      <c r="S9" s="35"/>
    </row>
    <row r="10" spans="3:19" x14ac:dyDescent="0.25">
      <c r="C10" s="28" t="s">
        <v>21</v>
      </c>
      <c r="D10" s="23" t="b">
        <v>1</v>
      </c>
      <c r="F10" s="33" t="s">
        <v>39</v>
      </c>
      <c r="G10" s="34"/>
      <c r="H10" s="34"/>
      <c r="I10" s="34"/>
      <c r="J10" s="34"/>
      <c r="K10" s="34"/>
      <c r="L10" s="34"/>
      <c r="M10" s="34"/>
      <c r="N10" s="34"/>
      <c r="O10" s="34"/>
      <c r="P10" s="34"/>
      <c r="Q10" s="34"/>
      <c r="R10" s="34"/>
      <c r="S10" s="35"/>
    </row>
    <row r="11" spans="3:19" x14ac:dyDescent="0.25">
      <c r="C11" s="28" t="s">
        <v>22</v>
      </c>
      <c r="D11" s="23" t="b">
        <v>0</v>
      </c>
      <c r="F11" s="33" t="s">
        <v>40</v>
      </c>
      <c r="G11" s="34"/>
      <c r="H11" s="34"/>
      <c r="I11" s="34"/>
      <c r="J11" s="34"/>
      <c r="K11" s="34"/>
      <c r="L11" s="34"/>
      <c r="M11" s="34"/>
      <c r="N11" s="34"/>
      <c r="O11" s="34"/>
      <c r="P11" s="34"/>
      <c r="Q11" s="34"/>
      <c r="R11" s="34"/>
      <c r="S11" s="35"/>
    </row>
    <row r="12" spans="3:19" x14ac:dyDescent="0.25">
      <c r="C12" s="28" t="s">
        <v>23</v>
      </c>
      <c r="D12" s="23" t="b">
        <v>1</v>
      </c>
      <c r="F12" s="33" t="s">
        <v>41</v>
      </c>
      <c r="G12" s="34"/>
      <c r="H12" s="34"/>
      <c r="I12" s="34"/>
      <c r="J12" s="34"/>
      <c r="K12" s="34"/>
      <c r="L12" s="34"/>
      <c r="M12" s="34"/>
      <c r="N12" s="34"/>
      <c r="O12" s="34"/>
      <c r="P12" s="34"/>
      <c r="Q12" s="34"/>
      <c r="R12" s="34"/>
      <c r="S12" s="35"/>
    </row>
    <row r="13" spans="3:19" x14ac:dyDescent="0.25">
      <c r="C13" s="28" t="s">
        <v>24</v>
      </c>
      <c r="D13" s="23" t="b">
        <v>0</v>
      </c>
      <c r="F13" s="33" t="s">
        <v>42</v>
      </c>
      <c r="G13" s="34"/>
      <c r="H13" s="34"/>
      <c r="I13" s="34"/>
      <c r="J13" s="34"/>
      <c r="K13" s="34"/>
      <c r="L13" s="34"/>
      <c r="M13" s="34"/>
      <c r="N13" s="34"/>
      <c r="O13" s="34"/>
      <c r="P13" s="34"/>
      <c r="Q13" s="34"/>
      <c r="R13" s="34"/>
      <c r="S13" s="35"/>
    </row>
    <row r="14" spans="3:19" x14ac:dyDescent="0.25">
      <c r="C14" s="28" t="s">
        <v>25</v>
      </c>
      <c r="D14" s="23" t="s">
        <v>77</v>
      </c>
      <c r="F14" s="33" t="s">
        <v>86</v>
      </c>
      <c r="G14" s="34"/>
      <c r="H14" s="34"/>
      <c r="I14" s="34"/>
      <c r="J14" s="34"/>
      <c r="K14" s="34"/>
      <c r="L14" s="34"/>
      <c r="M14" s="34"/>
      <c r="N14" s="34"/>
      <c r="O14" s="34"/>
      <c r="P14" s="34"/>
      <c r="Q14" s="34"/>
      <c r="R14" s="34"/>
      <c r="S14" s="35"/>
    </row>
    <row r="15" spans="3:19" x14ac:dyDescent="0.25">
      <c r="C15" s="28" t="s">
        <v>26</v>
      </c>
      <c r="D15" s="24" t="str">
        <f>D7</f>
        <v>B</v>
      </c>
      <c r="F15" s="33" t="s">
        <v>76</v>
      </c>
      <c r="G15" s="34"/>
      <c r="H15" s="34"/>
      <c r="I15" s="34"/>
      <c r="J15" s="34"/>
      <c r="K15" s="34"/>
      <c r="L15" s="34"/>
      <c r="M15" s="34"/>
      <c r="N15" s="34"/>
      <c r="O15" s="34"/>
      <c r="P15" s="34"/>
      <c r="Q15" s="34"/>
      <c r="R15" s="34"/>
      <c r="S15" s="35"/>
    </row>
    <row r="16" spans="3:19" x14ac:dyDescent="0.25">
      <c r="C16" s="28" t="s">
        <v>27</v>
      </c>
      <c r="D16" s="23" t="b">
        <v>0</v>
      </c>
      <c r="F16" s="33" t="s">
        <v>75</v>
      </c>
      <c r="G16" s="34"/>
      <c r="H16" s="34"/>
      <c r="I16" s="34"/>
      <c r="J16" s="34"/>
      <c r="K16" s="34"/>
      <c r="L16" s="34"/>
      <c r="M16" s="34"/>
      <c r="N16" s="34"/>
      <c r="O16" s="34"/>
      <c r="P16" s="34"/>
      <c r="Q16" s="34"/>
      <c r="R16" s="34"/>
      <c r="S16" s="35"/>
    </row>
    <row r="17" spans="3:21" x14ac:dyDescent="0.25">
      <c r="C17" s="28" t="s">
        <v>28</v>
      </c>
      <c r="D17" s="23" t="b">
        <v>1</v>
      </c>
      <c r="F17" s="33" t="s">
        <v>43</v>
      </c>
      <c r="G17" s="34"/>
      <c r="H17" s="34"/>
      <c r="I17" s="34"/>
      <c r="J17" s="34"/>
      <c r="K17" s="34"/>
      <c r="L17" s="34"/>
      <c r="M17" s="34"/>
      <c r="N17" s="34"/>
      <c r="O17" s="34"/>
      <c r="P17" s="34"/>
      <c r="Q17" s="34"/>
      <c r="R17" s="34"/>
      <c r="S17" s="35"/>
    </row>
    <row r="18" spans="3:21" x14ac:dyDescent="0.25">
      <c r="C18" s="28" t="s">
        <v>31</v>
      </c>
      <c r="D18" s="23">
        <v>0</v>
      </c>
      <c r="F18" s="33" t="s">
        <v>37</v>
      </c>
      <c r="G18" s="34"/>
      <c r="H18" s="34"/>
      <c r="I18" s="34"/>
      <c r="J18" s="34"/>
      <c r="K18" s="34"/>
      <c r="L18" s="34"/>
      <c r="M18" s="34"/>
      <c r="N18" s="34"/>
      <c r="O18" s="34"/>
      <c r="P18" s="34"/>
      <c r="Q18" s="34"/>
      <c r="R18" s="34"/>
      <c r="S18" s="35"/>
    </row>
    <row r="19" spans="3:21" x14ac:dyDescent="0.25">
      <c r="C19" s="28" t="s">
        <v>29</v>
      </c>
      <c r="D19" s="23" t="b">
        <v>1</v>
      </c>
      <c r="F19" s="33" t="s">
        <v>44</v>
      </c>
      <c r="G19" s="34"/>
      <c r="H19" s="34"/>
      <c r="I19" s="34"/>
      <c r="J19" s="34"/>
      <c r="K19" s="34"/>
      <c r="L19" s="34"/>
      <c r="M19" s="34"/>
      <c r="N19" s="34"/>
      <c r="O19" s="34"/>
      <c r="P19" s="34"/>
      <c r="Q19" s="34"/>
      <c r="R19" s="34"/>
      <c r="S19" s="35"/>
    </row>
    <row r="20" spans="3:21" x14ac:dyDescent="0.25">
      <c r="C20" s="28" t="s">
        <v>30</v>
      </c>
      <c r="D20" s="23" t="b">
        <v>0</v>
      </c>
      <c r="F20" s="33" t="s">
        <v>70</v>
      </c>
      <c r="G20" s="34"/>
      <c r="H20" s="34"/>
      <c r="I20" s="34"/>
      <c r="J20" s="34"/>
      <c r="K20" s="34"/>
      <c r="L20" s="34"/>
      <c r="M20" s="34"/>
      <c r="N20" s="34"/>
      <c r="O20" s="34"/>
      <c r="P20" s="34"/>
      <c r="Q20" s="34"/>
      <c r="R20" s="34"/>
      <c r="S20" s="35"/>
    </row>
    <row r="21" spans="3:21" x14ac:dyDescent="0.25">
      <c r="C21" s="28" t="s">
        <v>64</v>
      </c>
      <c r="D21" s="23" t="s">
        <v>67</v>
      </c>
      <c r="F21" s="33" t="s">
        <v>68</v>
      </c>
      <c r="G21" s="34"/>
      <c r="H21" s="34"/>
      <c r="I21" s="34"/>
      <c r="J21" s="34"/>
      <c r="K21" s="34"/>
      <c r="L21" s="34"/>
      <c r="M21" s="34"/>
      <c r="N21" s="34"/>
      <c r="O21" s="34"/>
      <c r="P21" s="34"/>
      <c r="Q21" s="34"/>
      <c r="R21" s="34"/>
      <c r="S21" s="35"/>
      <c r="T21" s="25" t="s">
        <v>78</v>
      </c>
      <c r="U21" s="26" t="s">
        <v>67</v>
      </c>
    </row>
    <row r="22" spans="3:21" x14ac:dyDescent="0.25">
      <c r="C22" s="28" t="s">
        <v>65</v>
      </c>
      <c r="D22" s="23" t="s">
        <v>80</v>
      </c>
      <c r="F22" s="33" t="s">
        <v>69</v>
      </c>
      <c r="G22" s="34"/>
      <c r="H22" s="34"/>
      <c r="I22" s="34"/>
      <c r="J22" s="34"/>
      <c r="K22" s="34"/>
      <c r="L22" s="34"/>
      <c r="M22" s="34"/>
      <c r="N22" s="34"/>
      <c r="O22" s="34"/>
      <c r="P22" s="34"/>
      <c r="Q22" s="34"/>
      <c r="R22" s="34"/>
      <c r="S22" s="35"/>
      <c r="T22" s="25" t="s">
        <v>78</v>
      </c>
      <c r="U22" s="26" t="s">
        <v>80</v>
      </c>
    </row>
    <row r="23" spans="3:21" ht="15.75" thickBot="1" x14ac:dyDescent="0.3">
      <c r="C23" s="29" t="s">
        <v>66</v>
      </c>
      <c r="D23" s="23" t="s">
        <v>67</v>
      </c>
      <c r="F23" s="36" t="s">
        <v>71</v>
      </c>
      <c r="G23" s="37"/>
      <c r="H23" s="37"/>
      <c r="I23" s="37"/>
      <c r="J23" s="37"/>
      <c r="K23" s="37"/>
      <c r="L23" s="37"/>
      <c r="M23" s="37"/>
      <c r="N23" s="37"/>
      <c r="O23" s="37"/>
      <c r="P23" s="37"/>
      <c r="Q23" s="37"/>
      <c r="R23" s="37"/>
      <c r="S23" s="38"/>
    </row>
    <row r="26" spans="3:21" hidden="1" x14ac:dyDescent="0.25">
      <c r="C26" t="s">
        <v>73</v>
      </c>
    </row>
    <row r="27" spans="3:21" hidden="1" x14ac:dyDescent="0.25">
      <c r="C27" t="str">
        <f>CHAR(34) &amp;C6 &amp; CHAR(34)&amp;":"</f>
        <v>"bar":</v>
      </c>
      <c r="D27" t="str">
        <f>D6&amp;","</f>
        <v>25,</v>
      </c>
    </row>
    <row r="28" spans="3:21" hidden="1" x14ac:dyDescent="0.25">
      <c r="C28" t="str">
        <f t="shared" ref="C28:C44" si="0">CHAR(34) &amp;C7 &amp; CHAR(34)&amp;":"</f>
        <v>"startGroup":</v>
      </c>
      <c r="D28" t="str">
        <f t="shared" ref="D28:D36" si="1">CHAR(34)&amp;D7&amp;CHAR(34)&amp;","</f>
        <v>"B",</v>
      </c>
    </row>
    <row r="29" spans="3:21" hidden="1" x14ac:dyDescent="0.25">
      <c r="C29" t="str">
        <f t="shared" si="0"/>
        <v>"plates":</v>
      </c>
      <c r="D29" t="str">
        <f>"["&amp;D8&amp;"]"&amp;","</f>
        <v>[25,20,15,10,5,2.5,1.25,0.5,0.25],</v>
      </c>
    </row>
    <row r="30" spans="3:21" hidden="1" x14ac:dyDescent="0.25">
      <c r="C30" t="str">
        <f t="shared" si="0"/>
        <v>"lifterCount":</v>
      </c>
      <c r="D30" t="str">
        <f>D9&amp;","</f>
        <v>28,</v>
      </c>
    </row>
    <row r="31" spans="3:21" hidden="1" x14ac:dyDescent="0.25">
      <c r="C31" t="str">
        <f t="shared" si="0"/>
        <v>"auto":</v>
      </c>
      <c r="D31" t="str">
        <f>LOWER(D10)&amp;","</f>
        <v>true,</v>
      </c>
    </row>
    <row r="32" spans="3:21" hidden="1" x14ac:dyDescent="0.25">
      <c r="C32" t="str">
        <f t="shared" si="0"/>
        <v>"countUp":</v>
      </c>
      <c r="D32" t="str">
        <f>LOWER(D11)&amp;","</f>
        <v>false,</v>
      </c>
    </row>
    <row r="33" spans="3:4" hidden="1" x14ac:dyDescent="0.25">
      <c r="C33" t="str">
        <f t="shared" si="0"/>
        <v>"showLights":</v>
      </c>
      <c r="D33" t="str">
        <f>LOWER(D12)&amp;","</f>
        <v>true,</v>
      </c>
    </row>
    <row r="34" spans="3:4" hidden="1" x14ac:dyDescent="0.25">
      <c r="C34" t="str">
        <f t="shared" si="0"/>
        <v>"BP":</v>
      </c>
      <c r="D34" t="str">
        <f>LOWER(D13)&amp;","</f>
        <v>false,</v>
      </c>
    </row>
    <row r="35" spans="3:4" hidden="1" x14ac:dyDescent="0.25">
      <c r="C35" t="str">
        <f t="shared" si="0"/>
        <v>"activeLi":</v>
      </c>
      <c r="D35" t="str">
        <f t="shared" si="1"/>
        <v>"Weigh In",</v>
      </c>
    </row>
    <row r="36" spans="3:4" hidden="1" x14ac:dyDescent="0.25">
      <c r="C36" t="str">
        <f t="shared" si="0"/>
        <v>"activeGp":</v>
      </c>
      <c r="D36" t="str">
        <f t="shared" si="1"/>
        <v>"B",</v>
      </c>
    </row>
    <row r="37" spans="3:4" hidden="1" x14ac:dyDescent="0.25">
      <c r="C37" t="str">
        <f t="shared" si="0"/>
        <v>"autoRefs":</v>
      </c>
      <c r="D37" t="str">
        <f>LOWER(D16)&amp;","</f>
        <v>false,</v>
      </c>
    </row>
    <row r="38" spans="3:4" hidden="1" x14ac:dyDescent="0.25">
      <c r="C38" t="str">
        <f t="shared" si="0"/>
        <v>"stream":</v>
      </c>
      <c r="D38" t="str">
        <f>LOWER(D17)&amp;","</f>
        <v>true,</v>
      </c>
    </row>
    <row r="39" spans="3:4" hidden="1" x14ac:dyDescent="0.25">
      <c r="C39" t="str">
        <f t="shared" si="0"/>
        <v>"activeRow":</v>
      </c>
      <c r="D39" t="str">
        <f>D18&amp;","</f>
        <v>0,</v>
      </c>
    </row>
    <row r="40" spans="3:4" hidden="1" x14ac:dyDescent="0.25">
      <c r="C40" t="str">
        <f t="shared" si="0"/>
        <v>"openOnly":</v>
      </c>
      <c r="D40" t="str">
        <f>LOWER(D19)&amp;","</f>
        <v>true,</v>
      </c>
    </row>
    <row r="41" spans="3:4" hidden="1" x14ac:dyDescent="0.25">
      <c r="C41" t="str">
        <f t="shared" si="0"/>
        <v>"CAPO":</v>
      </c>
      <c r="D41" t="str">
        <f>LOWER(D20)&amp;","</f>
        <v>false,</v>
      </c>
    </row>
    <row r="42" spans="3:4" hidden="1" x14ac:dyDescent="0.25">
      <c r="C42" t="str">
        <f t="shared" si="0"/>
        <v>"mW":</v>
      </c>
      <c r="D42" t="str">
        <f>"["&amp;D21&amp;",1000]"&amp;","</f>
        <v>[56,59,66,74,83,93,105,120,1000],</v>
      </c>
    </row>
    <row r="43" spans="3:4" hidden="1" x14ac:dyDescent="0.25">
      <c r="C43" t="str">
        <f t="shared" si="0"/>
        <v>"fW":</v>
      </c>
      <c r="D43" t="str">
        <f>"["&amp;D22&amp;",1000]"&amp;","</f>
        <v>[43,47,52,57,63,69,76,84,1000],</v>
      </c>
    </row>
    <row r="44" spans="3:4" hidden="1" x14ac:dyDescent="0.25">
      <c r="C44" t="str">
        <f t="shared" si="0"/>
        <v>"xW":</v>
      </c>
      <c r="D44" t="str">
        <f>"["&amp;D23&amp;",1000]"&amp;","</f>
        <v>[56,59,66,74,83,93,105,120,1000],</v>
      </c>
    </row>
    <row r="45" spans="3:4" hidden="1" x14ac:dyDescent="0.25">
      <c r="C45" t="s">
        <v>110</v>
      </c>
    </row>
    <row r="46" spans="3:4" hidden="1" x14ac:dyDescent="0.25"/>
    <row r="47" spans="3:4" hidden="1" x14ac:dyDescent="0.25"/>
    <row r="48" spans="3:4" hidden="1" x14ac:dyDescent="0.25"/>
    <row r="49" hidden="1" x14ac:dyDescent="0.25"/>
  </sheetData>
  <mergeCells count="1">
    <mergeCell ref="C2:S3"/>
  </mergeCells>
  <dataValidations count="2">
    <dataValidation type="list" allowBlank="1" showInputMessage="1" showErrorMessage="1" sqref="D19:D20 D16:D17 D10:D13" xr:uid="{23D9097C-A3E4-4CC2-90D1-8A97E6813EF2}">
      <formula1>"TRUE,FALSE"</formula1>
    </dataValidation>
    <dataValidation type="list" allowBlank="1" showInputMessage="1" showErrorMessage="1" sqref="D14" xr:uid="{FDC4EDC0-BA76-4416-B54E-4834CBF55371}">
      <formula1>"SQ-1,BP-1,DL-1,Weigh In"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C7C1F-5174-4083-B421-D35B81C39CD4}">
  <sheetPr codeName="Sheet5"/>
  <dimension ref="AK2:AK5"/>
  <sheetViews>
    <sheetView showGridLines="0" workbookViewId="0">
      <selection sqref="A1:XFD1048576"/>
    </sheetView>
  </sheetViews>
  <sheetFormatPr defaultRowHeight="15" x14ac:dyDescent="0.25"/>
  <sheetData>
    <row r="2" spans="37:37" x14ac:dyDescent="0.25">
      <c r="AK2" s="2"/>
    </row>
    <row r="3" spans="37:37" x14ac:dyDescent="0.25">
      <c r="AK3" s="2"/>
    </row>
    <row r="4" spans="37:37" x14ac:dyDescent="0.25">
      <c r="AK4" s="2"/>
    </row>
    <row r="5" spans="37:37" x14ac:dyDescent="0.25">
      <c r="AK5"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194F3-3AB8-4369-81C5-39BBAC8D82B9}">
  <sheetPr codeName="Sheet2"/>
  <dimension ref="E2:AB22"/>
  <sheetViews>
    <sheetView showGridLines="0" zoomScale="130" zoomScaleNormal="130" workbookViewId="0">
      <selection activeCell="G18" sqref="G18:G22"/>
    </sheetView>
  </sheetViews>
  <sheetFormatPr defaultColWidth="8.85546875" defaultRowHeight="15" x14ac:dyDescent="0.25"/>
  <cols>
    <col min="5" max="5" width="31.85546875" bestFit="1" customWidth="1"/>
    <col min="6" max="6" width="7.140625" bestFit="1" customWidth="1"/>
    <col min="7" max="7" width="17.7109375" bestFit="1" customWidth="1"/>
    <col min="26" max="27" width="81.140625" hidden="1" customWidth="1"/>
    <col min="28" max="28" width="1.42578125" hidden="1" customWidth="1"/>
  </cols>
  <sheetData>
    <row r="2" spans="5:28" ht="409.5" hidden="1" x14ac:dyDescent="0.25">
      <c r="AA2" s="44" t="s">
        <v>127</v>
      </c>
      <c r="AB2" t="s">
        <v>110</v>
      </c>
    </row>
    <row r="3" spans="5:28" x14ac:dyDescent="0.25">
      <c r="Z3" t="s">
        <v>89</v>
      </c>
    </row>
    <row r="5" spans="5:28" x14ac:dyDescent="0.25">
      <c r="E5" t="s">
        <v>88</v>
      </c>
    </row>
    <row r="8" spans="5:28" ht="15.75" thickBot="1" x14ac:dyDescent="0.3">
      <c r="J8" t="str">
        <f>VLOOKUP("2023 Apu NSW Open Women's State Championships Day 1 Session 1", E10:F100, 2, FALSE)</f>
        <v>AJM</v>
      </c>
    </row>
    <row r="9" spans="5:28" ht="15.75" thickBot="1" x14ac:dyDescent="0.3">
      <c r="E9" s="16" t="s">
        <v>45</v>
      </c>
      <c r="F9" s="17" t="s">
        <v>47</v>
      </c>
      <c r="G9" s="18" t="s">
        <v>46</v>
      </c>
    </row>
    <row r="10" spans="5:28" x14ac:dyDescent="0.25">
      <c r="E10" t="s">
        <v>82</v>
      </c>
      <c r="F10" t="s">
        <v>83</v>
      </c>
      <c r="I10" s="2"/>
      <c r="J10" s="2"/>
      <c r="K10" s="3"/>
      <c r="L10" s="3"/>
      <c r="N10" s="3"/>
    </row>
    <row r="11" spans="5:28" x14ac:dyDescent="0.25">
      <c r="E11" t="s">
        <v>84</v>
      </c>
      <c r="F11" t="s">
        <v>85</v>
      </c>
      <c r="I11" s="2"/>
      <c r="J11" s="2"/>
      <c r="K11" s="3"/>
      <c r="L11" s="3"/>
      <c r="N11" s="3"/>
    </row>
    <row r="12" spans="5:28" x14ac:dyDescent="0.25">
      <c r="E12" t="s">
        <v>90</v>
      </c>
      <c r="F12" t="s">
        <v>91</v>
      </c>
      <c r="I12" s="2"/>
      <c r="J12" s="2"/>
      <c r="K12" s="3"/>
      <c r="L12" s="3"/>
      <c r="N12" s="3"/>
    </row>
    <row r="13" spans="5:28" x14ac:dyDescent="0.25">
      <c r="E13" t="s">
        <v>92</v>
      </c>
      <c r="F13" t="s">
        <v>93</v>
      </c>
      <c r="I13" s="2"/>
      <c r="J13" s="2"/>
      <c r="K13" s="3"/>
      <c r="L13" s="3"/>
      <c r="N13" s="3"/>
    </row>
    <row r="14" spans="5:28" x14ac:dyDescent="0.25">
      <c r="E14" t="s">
        <v>94</v>
      </c>
      <c r="F14" t="s">
        <v>95</v>
      </c>
      <c r="I14" s="2"/>
      <c r="J14" s="2"/>
      <c r="K14" s="3"/>
      <c r="L14" s="3"/>
      <c r="N14" s="3"/>
    </row>
    <row r="15" spans="5:28" x14ac:dyDescent="0.25">
      <c r="E15" t="s">
        <v>92</v>
      </c>
      <c r="F15" t="s">
        <v>96</v>
      </c>
      <c r="I15" s="2"/>
      <c r="J15" s="2"/>
      <c r="K15" s="3"/>
      <c r="L15" s="3"/>
      <c r="N15" s="3"/>
    </row>
    <row r="16" spans="5:28" x14ac:dyDescent="0.25">
      <c r="E16" t="s">
        <v>94</v>
      </c>
      <c r="F16" t="s">
        <v>97</v>
      </c>
      <c r="I16" s="2"/>
      <c r="J16" s="2"/>
      <c r="K16" s="3"/>
      <c r="L16" s="3"/>
      <c r="N16" s="3"/>
    </row>
    <row r="17" spans="5:14" x14ac:dyDescent="0.25">
      <c r="E17" t="s">
        <v>98</v>
      </c>
      <c r="F17" t="s">
        <v>99</v>
      </c>
      <c r="I17" s="2"/>
      <c r="J17" s="2"/>
      <c r="K17" s="3"/>
      <c r="L17" s="3"/>
      <c r="N17" s="3"/>
    </row>
    <row r="18" spans="5:14" x14ac:dyDescent="0.25">
      <c r="E18" t="s">
        <v>100</v>
      </c>
      <c r="F18" t="s">
        <v>101</v>
      </c>
      <c r="I18" s="2"/>
      <c r="J18" s="2"/>
      <c r="K18" s="3"/>
      <c r="L18" s="3"/>
      <c r="N18" s="3"/>
    </row>
    <row r="19" spans="5:14" x14ac:dyDescent="0.25">
      <c r="E19" t="s">
        <v>102</v>
      </c>
      <c r="F19" t="s">
        <v>103</v>
      </c>
      <c r="I19" s="2"/>
      <c r="J19" s="2"/>
      <c r="K19" s="3"/>
      <c r="L19" s="3"/>
      <c r="N19" s="3"/>
    </row>
    <row r="20" spans="5:14" x14ac:dyDescent="0.25">
      <c r="E20" t="s">
        <v>104</v>
      </c>
      <c r="F20" t="s">
        <v>105</v>
      </c>
    </row>
    <row r="21" spans="5:14" x14ac:dyDescent="0.25">
      <c r="E21" t="s">
        <v>106</v>
      </c>
      <c r="F21" t="s">
        <v>107</v>
      </c>
    </row>
    <row r="22" spans="5:14" x14ac:dyDescent="0.25">
      <c r="E22" t="s">
        <v>108</v>
      </c>
      <c r="F22" t="s">
        <v>109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220</vt:i4>
      </vt:variant>
    </vt:vector>
  </HeadingPairs>
  <TitlesOfParts>
    <vt:vector size="224" baseType="lpstr">
      <vt:lpstr>Entry</vt:lpstr>
      <vt:lpstr>Setup</vt:lpstr>
      <vt:lpstr>CSV Transfer</vt:lpstr>
      <vt:lpstr>Comps</vt:lpstr>
      <vt:lpstr>Comps</vt:lpstr>
      <vt:lpstr>Comps!ExternalData_1</vt:lpstr>
      <vt:lpstr>Comps!ExternalData_10</vt:lpstr>
      <vt:lpstr>Comps!ExternalData_100</vt:lpstr>
      <vt:lpstr>Comps!ExternalData_101</vt:lpstr>
      <vt:lpstr>Comps!ExternalData_102</vt:lpstr>
      <vt:lpstr>Comps!ExternalData_103</vt:lpstr>
      <vt:lpstr>Comps!ExternalData_104</vt:lpstr>
      <vt:lpstr>Comps!ExternalData_105</vt:lpstr>
      <vt:lpstr>Comps!ExternalData_106</vt:lpstr>
      <vt:lpstr>Comps!ExternalData_107</vt:lpstr>
      <vt:lpstr>Comps!ExternalData_108</vt:lpstr>
      <vt:lpstr>Comps!ExternalData_109</vt:lpstr>
      <vt:lpstr>Comps!ExternalData_11</vt:lpstr>
      <vt:lpstr>Comps!ExternalData_110</vt:lpstr>
      <vt:lpstr>Comps!ExternalData_111</vt:lpstr>
      <vt:lpstr>Comps!ExternalData_112</vt:lpstr>
      <vt:lpstr>Comps!ExternalData_113</vt:lpstr>
      <vt:lpstr>Comps!ExternalData_114</vt:lpstr>
      <vt:lpstr>Comps!ExternalData_115</vt:lpstr>
      <vt:lpstr>Comps!ExternalData_116</vt:lpstr>
      <vt:lpstr>Comps!ExternalData_117</vt:lpstr>
      <vt:lpstr>Comps!ExternalData_118</vt:lpstr>
      <vt:lpstr>Comps!ExternalData_119</vt:lpstr>
      <vt:lpstr>Comps!ExternalData_12</vt:lpstr>
      <vt:lpstr>Comps!ExternalData_120</vt:lpstr>
      <vt:lpstr>Comps!ExternalData_121</vt:lpstr>
      <vt:lpstr>Comps!ExternalData_122</vt:lpstr>
      <vt:lpstr>Comps!ExternalData_123</vt:lpstr>
      <vt:lpstr>Comps!ExternalData_124</vt:lpstr>
      <vt:lpstr>Comps!ExternalData_125</vt:lpstr>
      <vt:lpstr>Comps!ExternalData_126</vt:lpstr>
      <vt:lpstr>Comps!ExternalData_127</vt:lpstr>
      <vt:lpstr>Comps!ExternalData_128</vt:lpstr>
      <vt:lpstr>Comps!ExternalData_129</vt:lpstr>
      <vt:lpstr>Comps!ExternalData_13</vt:lpstr>
      <vt:lpstr>Comps!ExternalData_130</vt:lpstr>
      <vt:lpstr>Comps!ExternalData_131</vt:lpstr>
      <vt:lpstr>Comps!ExternalData_132</vt:lpstr>
      <vt:lpstr>Comps!ExternalData_133</vt:lpstr>
      <vt:lpstr>Comps!ExternalData_134</vt:lpstr>
      <vt:lpstr>Comps!ExternalData_135</vt:lpstr>
      <vt:lpstr>Comps!ExternalData_136</vt:lpstr>
      <vt:lpstr>Comps!ExternalData_137</vt:lpstr>
      <vt:lpstr>Comps!ExternalData_138</vt:lpstr>
      <vt:lpstr>Comps!ExternalData_139</vt:lpstr>
      <vt:lpstr>Comps!ExternalData_14</vt:lpstr>
      <vt:lpstr>Comps!ExternalData_140</vt:lpstr>
      <vt:lpstr>Comps!ExternalData_141</vt:lpstr>
      <vt:lpstr>Comps!ExternalData_142</vt:lpstr>
      <vt:lpstr>Comps!ExternalData_143</vt:lpstr>
      <vt:lpstr>Comps!ExternalData_144</vt:lpstr>
      <vt:lpstr>Comps!ExternalData_145</vt:lpstr>
      <vt:lpstr>Comps!ExternalData_146</vt:lpstr>
      <vt:lpstr>Comps!ExternalData_147</vt:lpstr>
      <vt:lpstr>Comps!ExternalData_148</vt:lpstr>
      <vt:lpstr>Comps!ExternalData_149</vt:lpstr>
      <vt:lpstr>Comps!ExternalData_15</vt:lpstr>
      <vt:lpstr>Comps!ExternalData_150</vt:lpstr>
      <vt:lpstr>Comps!ExternalData_151</vt:lpstr>
      <vt:lpstr>Comps!ExternalData_152</vt:lpstr>
      <vt:lpstr>Comps!ExternalData_153</vt:lpstr>
      <vt:lpstr>Comps!ExternalData_154</vt:lpstr>
      <vt:lpstr>Comps!ExternalData_155</vt:lpstr>
      <vt:lpstr>Comps!ExternalData_156</vt:lpstr>
      <vt:lpstr>Comps!ExternalData_157</vt:lpstr>
      <vt:lpstr>Comps!ExternalData_158</vt:lpstr>
      <vt:lpstr>Comps!ExternalData_159</vt:lpstr>
      <vt:lpstr>Comps!ExternalData_16</vt:lpstr>
      <vt:lpstr>Comps!ExternalData_160</vt:lpstr>
      <vt:lpstr>Comps!ExternalData_161</vt:lpstr>
      <vt:lpstr>Comps!ExternalData_162</vt:lpstr>
      <vt:lpstr>Comps!ExternalData_163</vt:lpstr>
      <vt:lpstr>Comps!ExternalData_164</vt:lpstr>
      <vt:lpstr>Comps!ExternalData_165</vt:lpstr>
      <vt:lpstr>Comps!ExternalData_166</vt:lpstr>
      <vt:lpstr>Comps!ExternalData_167</vt:lpstr>
      <vt:lpstr>Comps!ExternalData_168</vt:lpstr>
      <vt:lpstr>Comps!ExternalData_169</vt:lpstr>
      <vt:lpstr>Comps!ExternalData_17</vt:lpstr>
      <vt:lpstr>Comps!ExternalData_170</vt:lpstr>
      <vt:lpstr>Comps!ExternalData_171</vt:lpstr>
      <vt:lpstr>Comps!ExternalData_172</vt:lpstr>
      <vt:lpstr>Comps!ExternalData_173</vt:lpstr>
      <vt:lpstr>Comps!ExternalData_174</vt:lpstr>
      <vt:lpstr>Comps!ExternalData_175</vt:lpstr>
      <vt:lpstr>Comps!ExternalData_176</vt:lpstr>
      <vt:lpstr>Comps!ExternalData_177</vt:lpstr>
      <vt:lpstr>Comps!ExternalData_178</vt:lpstr>
      <vt:lpstr>Comps!ExternalData_179</vt:lpstr>
      <vt:lpstr>Comps!ExternalData_18</vt:lpstr>
      <vt:lpstr>Comps!ExternalData_180</vt:lpstr>
      <vt:lpstr>Comps!ExternalData_181</vt:lpstr>
      <vt:lpstr>Comps!ExternalData_182</vt:lpstr>
      <vt:lpstr>Comps!ExternalData_183</vt:lpstr>
      <vt:lpstr>Comps!ExternalData_184</vt:lpstr>
      <vt:lpstr>Comps!ExternalData_185</vt:lpstr>
      <vt:lpstr>Comps!ExternalData_186</vt:lpstr>
      <vt:lpstr>Comps!ExternalData_187</vt:lpstr>
      <vt:lpstr>Comps!ExternalData_188</vt:lpstr>
      <vt:lpstr>Comps!ExternalData_189</vt:lpstr>
      <vt:lpstr>Comps!ExternalData_19</vt:lpstr>
      <vt:lpstr>Comps!ExternalData_192</vt:lpstr>
      <vt:lpstr>Comps!ExternalData_193</vt:lpstr>
      <vt:lpstr>Comps!ExternalData_194</vt:lpstr>
      <vt:lpstr>Comps!ExternalData_195</vt:lpstr>
      <vt:lpstr>Comps!ExternalData_196</vt:lpstr>
      <vt:lpstr>Comps!ExternalData_197</vt:lpstr>
      <vt:lpstr>Comps!ExternalData_198</vt:lpstr>
      <vt:lpstr>Comps!ExternalData_199</vt:lpstr>
      <vt:lpstr>Comps!ExternalData_2</vt:lpstr>
      <vt:lpstr>Comps!ExternalData_20</vt:lpstr>
      <vt:lpstr>Comps!ExternalData_201</vt:lpstr>
      <vt:lpstr>Comps!ExternalData_203</vt:lpstr>
      <vt:lpstr>Comps!ExternalData_204</vt:lpstr>
      <vt:lpstr>Comps!ExternalData_205</vt:lpstr>
      <vt:lpstr>Comps!ExternalData_207</vt:lpstr>
      <vt:lpstr>Comps!ExternalData_208</vt:lpstr>
      <vt:lpstr>Comps!ExternalData_209</vt:lpstr>
      <vt:lpstr>Comps!ExternalData_21</vt:lpstr>
      <vt:lpstr>Comps!ExternalData_210</vt:lpstr>
      <vt:lpstr>Comps!ExternalData_211</vt:lpstr>
      <vt:lpstr>Comps!ExternalData_213</vt:lpstr>
      <vt:lpstr>Comps!ExternalData_215</vt:lpstr>
      <vt:lpstr>Comps!ExternalData_216</vt:lpstr>
      <vt:lpstr>Comps!ExternalData_218</vt:lpstr>
      <vt:lpstr>Comps!ExternalData_22</vt:lpstr>
      <vt:lpstr>Comps!ExternalData_220</vt:lpstr>
      <vt:lpstr>Comps!ExternalData_222</vt:lpstr>
      <vt:lpstr>Comps!ExternalData_223</vt:lpstr>
      <vt:lpstr>Comps!ExternalData_224</vt:lpstr>
      <vt:lpstr>Comps!ExternalData_225</vt:lpstr>
      <vt:lpstr>Comps!ExternalData_226</vt:lpstr>
      <vt:lpstr>Comps!ExternalData_227</vt:lpstr>
      <vt:lpstr>Comps!ExternalData_228</vt:lpstr>
      <vt:lpstr>Comps!ExternalData_23</vt:lpstr>
      <vt:lpstr>Comps!ExternalData_230</vt:lpstr>
      <vt:lpstr>Comps!ExternalData_235</vt:lpstr>
      <vt:lpstr>Comps!ExternalData_237</vt:lpstr>
      <vt:lpstr>Comps!ExternalData_238</vt:lpstr>
      <vt:lpstr>Comps!ExternalData_239</vt:lpstr>
      <vt:lpstr>Comps!ExternalData_24</vt:lpstr>
      <vt:lpstr>Comps!ExternalData_240</vt:lpstr>
      <vt:lpstr>Comps!ExternalData_241</vt:lpstr>
      <vt:lpstr>Comps!ExternalData_242</vt:lpstr>
      <vt:lpstr>Comps!ExternalData_243</vt:lpstr>
      <vt:lpstr>Comps!ExternalData_244</vt:lpstr>
      <vt:lpstr>Comps!ExternalData_245</vt:lpstr>
      <vt:lpstr>Comps!ExternalData_246</vt:lpstr>
      <vt:lpstr>Comps!ExternalData_247</vt:lpstr>
      <vt:lpstr>Comps!ExternalData_248</vt:lpstr>
      <vt:lpstr>Comps!ExternalData_25</vt:lpstr>
      <vt:lpstr>Comps!ExternalData_253</vt:lpstr>
      <vt:lpstr>Comps!ExternalData_254</vt:lpstr>
      <vt:lpstr>Comps!ExternalData_255</vt:lpstr>
      <vt:lpstr>Comps!ExternalData_256</vt:lpstr>
      <vt:lpstr>Comps!ExternalData_257</vt:lpstr>
      <vt:lpstr>Comps!ExternalData_258</vt:lpstr>
      <vt:lpstr>Comps!ExternalData_259</vt:lpstr>
      <vt:lpstr>Comps!ExternalData_26</vt:lpstr>
      <vt:lpstr>Comps!ExternalData_260</vt:lpstr>
      <vt:lpstr>Comps!ExternalData_261</vt:lpstr>
      <vt:lpstr>Comps!ExternalData_262</vt:lpstr>
      <vt:lpstr>Comps!ExternalData_28</vt:lpstr>
      <vt:lpstr>Comps!ExternalData_3</vt:lpstr>
      <vt:lpstr>Comps!ExternalData_30</vt:lpstr>
      <vt:lpstr>Comps!ExternalData_32</vt:lpstr>
      <vt:lpstr>Comps!ExternalData_33</vt:lpstr>
      <vt:lpstr>Comps!ExternalData_34</vt:lpstr>
      <vt:lpstr>Comps!ExternalData_35</vt:lpstr>
      <vt:lpstr>Comps!ExternalData_37</vt:lpstr>
      <vt:lpstr>Comps!ExternalData_39</vt:lpstr>
      <vt:lpstr>Comps!ExternalData_4</vt:lpstr>
      <vt:lpstr>Comps!ExternalData_42</vt:lpstr>
      <vt:lpstr>Comps!ExternalData_44</vt:lpstr>
      <vt:lpstr>Comps!ExternalData_46</vt:lpstr>
      <vt:lpstr>Comps!ExternalData_48</vt:lpstr>
      <vt:lpstr>Comps!ExternalData_49</vt:lpstr>
      <vt:lpstr>Comps!ExternalData_5</vt:lpstr>
      <vt:lpstr>Comps!ExternalData_51</vt:lpstr>
      <vt:lpstr>Comps!ExternalData_53</vt:lpstr>
      <vt:lpstr>Comps!ExternalData_54</vt:lpstr>
      <vt:lpstr>Comps!ExternalData_56</vt:lpstr>
      <vt:lpstr>Comps!ExternalData_58</vt:lpstr>
      <vt:lpstr>Comps!ExternalData_6</vt:lpstr>
      <vt:lpstr>Comps!ExternalData_60</vt:lpstr>
      <vt:lpstr>Comps!ExternalData_62</vt:lpstr>
      <vt:lpstr>Comps!ExternalData_64</vt:lpstr>
      <vt:lpstr>Comps!ExternalData_66</vt:lpstr>
      <vt:lpstr>Comps!ExternalData_67</vt:lpstr>
      <vt:lpstr>Comps!ExternalData_68</vt:lpstr>
      <vt:lpstr>Comps!ExternalData_7</vt:lpstr>
      <vt:lpstr>Comps!ExternalData_71</vt:lpstr>
      <vt:lpstr>Comps!ExternalData_72</vt:lpstr>
      <vt:lpstr>Comps!ExternalData_73</vt:lpstr>
      <vt:lpstr>Comps!ExternalData_74</vt:lpstr>
      <vt:lpstr>Comps!ExternalData_75</vt:lpstr>
      <vt:lpstr>Comps!ExternalData_76</vt:lpstr>
      <vt:lpstr>Comps!ExternalData_77</vt:lpstr>
      <vt:lpstr>Comps!ExternalData_78</vt:lpstr>
      <vt:lpstr>Comps!ExternalData_79</vt:lpstr>
      <vt:lpstr>Comps!ExternalData_8</vt:lpstr>
      <vt:lpstr>Comps!ExternalData_80</vt:lpstr>
      <vt:lpstr>Comps!ExternalData_82</vt:lpstr>
      <vt:lpstr>Comps!ExternalData_83</vt:lpstr>
      <vt:lpstr>Comps!ExternalData_84</vt:lpstr>
      <vt:lpstr>Comps!ExternalData_85</vt:lpstr>
      <vt:lpstr>Comps!ExternalData_86</vt:lpstr>
      <vt:lpstr>Comps!ExternalData_87</vt:lpstr>
      <vt:lpstr>Comps!ExternalData_88</vt:lpstr>
      <vt:lpstr>Comps!ExternalData_89</vt:lpstr>
      <vt:lpstr>Comps!ExternalData_90</vt:lpstr>
      <vt:lpstr>Comps!ExternalData_92</vt:lpstr>
      <vt:lpstr>Comps!ExternalData_93</vt:lpstr>
      <vt:lpstr>Comps!ExternalData_94</vt:lpstr>
      <vt:lpstr>Comps!ExternalData_95</vt:lpstr>
      <vt:lpstr>Comps!ExternalData_96</vt:lpstr>
      <vt:lpstr>Comps!ExternalData_97</vt:lpstr>
      <vt:lpstr>Comps!ExternalData_98</vt:lpstr>
      <vt:lpstr>Comps!ExternalData_99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 McCloy</dc:creator>
  <cp:lastModifiedBy>evan</cp:lastModifiedBy>
  <dcterms:created xsi:type="dcterms:W3CDTF">2022-10-01T10:33:57Z</dcterms:created>
  <dcterms:modified xsi:type="dcterms:W3CDTF">2023-10-18T22:30:21Z</dcterms:modified>
</cp:coreProperties>
</file>